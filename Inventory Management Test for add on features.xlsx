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 File" sheetId="1" r:id="rId5"/>
    <sheet state="visible" name="Return and Deployment Inventory" sheetId="2" r:id="rId6"/>
    <sheet state="visible" name="Return Unit" sheetId="3" r:id="rId7"/>
    <sheet state="visible" name="WFH Deployment" sheetId="4" r:id="rId8"/>
    <sheet state="visible" name="Laptop Inventory" sheetId="5" r:id="rId9"/>
    <sheet state="hidden" name="Logs" sheetId="6" r:id="rId10"/>
    <sheet state="visible" name="Desktop Inventory" sheetId="7" r:id="rId11"/>
    <sheet state="hidden" name="C3-6 2nd floor storage" sheetId="8" r:id="rId12"/>
    <sheet state="visible" name="IT storage" sheetId="9" r:id="rId13"/>
    <sheet state="hidden" name="Transferred" sheetId="10" r:id="rId14"/>
    <sheet state="hidden" name="Disposal" sheetId="11" r:id="rId15"/>
    <sheet state="visible" name="Production floor" sheetId="12" r:id="rId16"/>
    <sheet state="visible" name="Production database" sheetId="13" r:id="rId17"/>
    <sheet state="visible" name="IT Area" sheetId="14" r:id="rId18"/>
    <sheet state="hidden" name="FMG Cabinet" sheetId="15" r:id="rId19"/>
    <sheet state="hidden" name="WFH" sheetId="16" r:id="rId20"/>
    <sheet state="hidden" name="Deployed Onsite" sheetId="17" r:id="rId21"/>
    <sheet state="hidden" name="Mezzanine" sheetId="18" r:id="rId22"/>
  </sheets>
  <definedNames/>
  <calcPr/>
</workbook>
</file>

<file path=xl/sharedStrings.xml><?xml version="1.0" encoding="utf-8"?>
<sst xmlns="http://schemas.openxmlformats.org/spreadsheetml/2006/main" count="27791" uniqueCount="5154">
  <si>
    <t>Hostname</t>
  </si>
  <si>
    <t>Asset Number</t>
  </si>
  <si>
    <t>Serial Number</t>
  </si>
  <si>
    <t>Unit Type</t>
  </si>
  <si>
    <t>Model</t>
  </si>
  <si>
    <t>Status</t>
  </si>
  <si>
    <t>Brand</t>
  </si>
  <si>
    <t>SOPLAGWK035383</t>
  </si>
  <si>
    <t>GPC000035383</t>
  </si>
  <si>
    <t>PC1P3YBQ</t>
  </si>
  <si>
    <t>Desktop</t>
  </si>
  <si>
    <t>ThinkCentre M70s</t>
  </si>
  <si>
    <t>Deployed</t>
  </si>
  <si>
    <t>Lenovo</t>
  </si>
  <si>
    <t>SOPLAGWK035397</t>
  </si>
  <si>
    <t>GPC000035397</t>
  </si>
  <si>
    <t>PC1P3YBX</t>
  </si>
  <si>
    <t>For check location</t>
  </si>
  <si>
    <t>SOPLAGWK035377</t>
  </si>
  <si>
    <t>GPC000035377</t>
  </si>
  <si>
    <t>PC1P3YBT</t>
  </si>
  <si>
    <t>SOPLAGWK035378</t>
  </si>
  <si>
    <t>GPC000035378</t>
  </si>
  <si>
    <t>PC1P3YBS</t>
  </si>
  <si>
    <t>SOPLAGWK035376</t>
  </si>
  <si>
    <t>GPC000035376</t>
  </si>
  <si>
    <t>PC1P3YC5</t>
  </si>
  <si>
    <t>SOPLAGWK035387</t>
  </si>
  <si>
    <t>GPC000035387</t>
  </si>
  <si>
    <t>SOPLAGWK035391</t>
  </si>
  <si>
    <t>GPC000035391</t>
  </si>
  <si>
    <t>PC1P3YBR</t>
  </si>
  <si>
    <t>BGPC000034125P</t>
  </si>
  <si>
    <t>GPC000034125</t>
  </si>
  <si>
    <t>7YC89V2</t>
  </si>
  <si>
    <t>OptiPlex 3050</t>
  </si>
  <si>
    <t>Dell</t>
  </si>
  <si>
    <t>SOPLAGWK029792</t>
  </si>
  <si>
    <t>GPC000029792</t>
  </si>
  <si>
    <t>3K7SG52</t>
  </si>
  <si>
    <t>OptiPlex 7020</t>
  </si>
  <si>
    <t>BGPC000032572P</t>
  </si>
  <si>
    <t>GPC000032572</t>
  </si>
  <si>
    <t>7G3R7N2</t>
  </si>
  <si>
    <t>SOPLAGWK026725</t>
  </si>
  <si>
    <t>GPC000026725</t>
  </si>
  <si>
    <t>PB4CW9F</t>
  </si>
  <si>
    <t>ThinkCentre M92p</t>
  </si>
  <si>
    <t>BGPC000032718P</t>
  </si>
  <si>
    <t>GPC000032718</t>
  </si>
  <si>
    <t>795N7N2</t>
  </si>
  <si>
    <t>BGPC000022639P</t>
  </si>
  <si>
    <t>GPC000022639</t>
  </si>
  <si>
    <t>R8F9ACL</t>
  </si>
  <si>
    <t>ThinkCentre M91p</t>
  </si>
  <si>
    <t>For ITstorage</t>
  </si>
  <si>
    <t>SOPLAGWK035255</t>
  </si>
  <si>
    <t>GPC000035255</t>
  </si>
  <si>
    <t>PC1FV28Y</t>
  </si>
  <si>
    <t>ThinkCentre M720t</t>
  </si>
  <si>
    <t>BGPC000032574P</t>
  </si>
  <si>
    <t>GPC000032574</t>
  </si>
  <si>
    <t>7BQT7N2</t>
  </si>
  <si>
    <t>BGPC000029795P</t>
  </si>
  <si>
    <t>GPC000029795</t>
  </si>
  <si>
    <t>H95SG52</t>
  </si>
  <si>
    <t>SOPLAGWK035262</t>
  </si>
  <si>
    <t>GPC000035262</t>
  </si>
  <si>
    <t>PC1FTG1J</t>
  </si>
  <si>
    <t>BGPC000026147P</t>
  </si>
  <si>
    <t>GPC000026147</t>
  </si>
  <si>
    <t>PBXNNND</t>
  </si>
  <si>
    <t>BGPC000032719P</t>
  </si>
  <si>
    <t>GPC000032719</t>
  </si>
  <si>
    <t>790R7N2</t>
  </si>
  <si>
    <t>SOPLAGWK029420</t>
  </si>
  <si>
    <t>GPC000029420</t>
  </si>
  <si>
    <t>SGH511PLLG</t>
  </si>
  <si>
    <t>EliteDesk 800 G1 SFF</t>
  </si>
  <si>
    <t>HP</t>
  </si>
  <si>
    <t>BGPC000032712P</t>
  </si>
  <si>
    <t>GPC000032712</t>
  </si>
  <si>
    <t>793M7N2</t>
  </si>
  <si>
    <t>SOPLAGWK033386</t>
  </si>
  <si>
    <t>GPC000033386</t>
  </si>
  <si>
    <t>78LQ6Q2</t>
  </si>
  <si>
    <t>BGPC000034230P</t>
  </si>
  <si>
    <t>GPC000034230</t>
  </si>
  <si>
    <t>8SX4F13</t>
  </si>
  <si>
    <t>OptiPlex 3060</t>
  </si>
  <si>
    <t>SOPLAGWK035320</t>
  </si>
  <si>
    <t>GPC000035320</t>
  </si>
  <si>
    <t>PC1JFKCR</t>
  </si>
  <si>
    <t>ThinkCentre M720s</t>
  </si>
  <si>
    <t>SOPLAGWK035322</t>
  </si>
  <si>
    <t>GPC000035322</t>
  </si>
  <si>
    <t>PC1JFN0N</t>
  </si>
  <si>
    <t>SOPLAGWK035319</t>
  </si>
  <si>
    <t>GPC000035319</t>
  </si>
  <si>
    <t>PC1JFKEJ</t>
  </si>
  <si>
    <t>BGPC0000026150</t>
  </si>
  <si>
    <t>GPC000026150</t>
  </si>
  <si>
    <t>PBXNNTE</t>
  </si>
  <si>
    <t>SOPLAGWK035323</t>
  </si>
  <si>
    <t>GPC000035323</t>
  </si>
  <si>
    <t>PC1JFN1F</t>
  </si>
  <si>
    <t>BGPC000027908P</t>
  </si>
  <si>
    <t>GPC000027908</t>
  </si>
  <si>
    <t>6CR4362NZW</t>
  </si>
  <si>
    <t>BGPC000034043P</t>
  </si>
  <si>
    <t>GPC000034043</t>
  </si>
  <si>
    <t>7Y8F9V2</t>
  </si>
  <si>
    <t>BGPC000034229P</t>
  </si>
  <si>
    <t>GPC000034229</t>
  </si>
  <si>
    <t>8SX8F13</t>
  </si>
  <si>
    <t>SOPLAGWK033381</t>
  </si>
  <si>
    <t>GPC000033381</t>
  </si>
  <si>
    <t>77JN6Q2</t>
  </si>
  <si>
    <t>BGPC000034231P</t>
  </si>
  <si>
    <t>GPC000034231</t>
  </si>
  <si>
    <t>8SV8F13</t>
  </si>
  <si>
    <t>SOPLAGWK022855</t>
  </si>
  <si>
    <t>GPC000022855</t>
  </si>
  <si>
    <t>PBV8135</t>
  </si>
  <si>
    <t>BGPC000030737P</t>
  </si>
  <si>
    <t>GPC000030737</t>
  </si>
  <si>
    <t>BGPC000034099P</t>
  </si>
  <si>
    <t>GPC000034099</t>
  </si>
  <si>
    <t>7Y4B9V2</t>
  </si>
  <si>
    <t>BGPC000027689P</t>
  </si>
  <si>
    <t>GPC000027689</t>
  </si>
  <si>
    <t>OptiPlex 5040</t>
  </si>
  <si>
    <t>BGPC000034095P</t>
  </si>
  <si>
    <t>GPC000034095</t>
  </si>
  <si>
    <t>7YBF9V2</t>
  </si>
  <si>
    <t>BGPC000022911P</t>
  </si>
  <si>
    <t>GPC000022911</t>
  </si>
  <si>
    <t>R8G6WYE</t>
  </si>
  <si>
    <t>SOPLAGWK029546</t>
  </si>
  <si>
    <t>GPC000029546</t>
  </si>
  <si>
    <t>SGH510TYWZ</t>
  </si>
  <si>
    <t>SOPLAGWK032839</t>
  </si>
  <si>
    <t>GPC000032839</t>
  </si>
  <si>
    <t>HZNZCK2</t>
  </si>
  <si>
    <t>OptiPlex 5050</t>
  </si>
  <si>
    <t>SOPLAGWK032840</t>
  </si>
  <si>
    <t>GPC000032840</t>
  </si>
  <si>
    <t>HYV0DK2</t>
  </si>
  <si>
    <t>SOPLAGWK032841</t>
  </si>
  <si>
    <t>GPC000032841</t>
  </si>
  <si>
    <t>HYXVCK2</t>
  </si>
  <si>
    <t>BGPC000032842P</t>
  </si>
  <si>
    <t>GPC000032842</t>
  </si>
  <si>
    <t>HZDWCK2</t>
  </si>
  <si>
    <t>BGPC000032844P</t>
  </si>
  <si>
    <t>GPC000032844</t>
  </si>
  <si>
    <t>HZ00DK2</t>
  </si>
  <si>
    <t>Returned</t>
  </si>
  <si>
    <t>SOPLAGWK032845</t>
  </si>
  <si>
    <t>GPC000032845</t>
  </si>
  <si>
    <t>HZFVCK2</t>
  </si>
  <si>
    <t>SOPLAGWK032832</t>
  </si>
  <si>
    <t>GPC000032832</t>
  </si>
  <si>
    <t>HZ82DK2</t>
  </si>
  <si>
    <t>BGPC000032833P</t>
  </si>
  <si>
    <t>GPC000032833</t>
  </si>
  <si>
    <t>HZ40DK2</t>
  </si>
  <si>
    <t>SOPLAGWK032838</t>
  </si>
  <si>
    <t>GPC000032838</t>
  </si>
  <si>
    <t>HYL0DK2</t>
  </si>
  <si>
    <t>BGPC000032836P</t>
  </si>
  <si>
    <t>GPC000032836</t>
  </si>
  <si>
    <t>HYCVCK2</t>
  </si>
  <si>
    <t>SOPLAGWK032837</t>
  </si>
  <si>
    <t>GPC000032837</t>
  </si>
  <si>
    <t>HZ62DK2</t>
  </si>
  <si>
    <t>BGPC000032834P</t>
  </si>
  <si>
    <t>GPC000032834</t>
  </si>
  <si>
    <t>HZJWCK2</t>
  </si>
  <si>
    <t>BGPC000032823P</t>
  </si>
  <si>
    <t>GPC000032823</t>
  </si>
  <si>
    <t>HZKZCK2</t>
  </si>
  <si>
    <t>BGPC000032825P</t>
  </si>
  <si>
    <t>GPC000032825</t>
  </si>
  <si>
    <t>HZQYCK2</t>
  </si>
  <si>
    <t>SOPLAGWK032826</t>
  </si>
  <si>
    <t>GPC000032826</t>
  </si>
  <si>
    <t>HZMTCK2</t>
  </si>
  <si>
    <t>BGPC000032827P</t>
  </si>
  <si>
    <t>GPC000032827</t>
  </si>
  <si>
    <t>HZQ1DK2</t>
  </si>
  <si>
    <t>BGPC000032828P</t>
  </si>
  <si>
    <t>GPC000032828</t>
  </si>
  <si>
    <t>HYB2DK2</t>
  </si>
  <si>
    <t>SOPLAGWK032809</t>
  </si>
  <si>
    <t>GPC000032809</t>
  </si>
  <si>
    <t>HZLYCK2</t>
  </si>
  <si>
    <t>BGPC000032810P</t>
  </si>
  <si>
    <t>GPC000032810</t>
  </si>
  <si>
    <t>HY71DK2</t>
  </si>
  <si>
    <t>BGPC000032811P</t>
  </si>
  <si>
    <t>GPC000032811</t>
  </si>
  <si>
    <t>HZPWCK2</t>
  </si>
  <si>
    <t>SOPLAGWK032814</t>
  </si>
  <si>
    <t>GPC000032814</t>
  </si>
  <si>
    <t>HZH2DK2</t>
  </si>
  <si>
    <t>SOPLAGWK032817</t>
  </si>
  <si>
    <t>GPC000032817</t>
  </si>
  <si>
    <t>HYYWCK2</t>
  </si>
  <si>
    <t>SOPLAGWK032822</t>
  </si>
  <si>
    <t>GPC000032822</t>
  </si>
  <si>
    <t>HY2YCK2</t>
  </si>
  <si>
    <t>SOPLAGW60019681</t>
  </si>
  <si>
    <t>GCTYRR3</t>
  </si>
  <si>
    <t>OptiPlex 3000</t>
  </si>
  <si>
    <t>SOPLAGW60019682</t>
  </si>
  <si>
    <t>5DTYRR3</t>
  </si>
  <si>
    <t>SOPLAGW60019683</t>
  </si>
  <si>
    <t>8CTYRR3</t>
  </si>
  <si>
    <t>SOPLAGW60019684</t>
  </si>
  <si>
    <t>BCTYRR3</t>
  </si>
  <si>
    <t>SOPLAGWK032665</t>
  </si>
  <si>
    <t>GPC000032665</t>
  </si>
  <si>
    <t>PC0MJHPL</t>
  </si>
  <si>
    <t>ThinkCentre M710s</t>
  </si>
  <si>
    <t>SOPLAGWK032671</t>
  </si>
  <si>
    <t>GPC000032671</t>
  </si>
  <si>
    <t>PC0MJHNX</t>
  </si>
  <si>
    <t>SOPLAGWK033260</t>
  </si>
  <si>
    <t>GPC000033260</t>
  </si>
  <si>
    <t>PC0T8XXG</t>
  </si>
  <si>
    <t>SOPLAGWK032334</t>
  </si>
  <si>
    <t>GPC000032334</t>
  </si>
  <si>
    <t>PC0MJHP1</t>
  </si>
  <si>
    <t>SOPLAGWK032673</t>
  </si>
  <si>
    <t>GPC000032673</t>
  </si>
  <si>
    <t>PC0MJHN4</t>
  </si>
  <si>
    <t>SOPLAGWK032332</t>
  </si>
  <si>
    <t>GPC000032332</t>
  </si>
  <si>
    <t>PC0MJHP6</t>
  </si>
  <si>
    <t>SOPLAGWK033255</t>
  </si>
  <si>
    <t>GPC000033255</t>
  </si>
  <si>
    <t>PC0T8XZ5</t>
  </si>
  <si>
    <t>SOPLAGWK032675</t>
  </si>
  <si>
    <t>GPC000032675</t>
  </si>
  <si>
    <t>PC0MJHPT</t>
  </si>
  <si>
    <t>SOPLAGWK032337</t>
  </si>
  <si>
    <t>GPC000032337</t>
  </si>
  <si>
    <t>PC0MJHQ6</t>
  </si>
  <si>
    <t>SOPLAGWK032888</t>
  </si>
  <si>
    <t>GPC000032888</t>
  </si>
  <si>
    <t>PC0MJHQL</t>
  </si>
  <si>
    <t>SOPLAGW60019690</t>
  </si>
  <si>
    <t>2HTYRR3</t>
  </si>
  <si>
    <t>SOPLAGW60019675</t>
  </si>
  <si>
    <t>7JTYRR3</t>
  </si>
  <si>
    <t>SOPLAGW60019676</t>
  </si>
  <si>
    <t>1GTYRR3</t>
  </si>
  <si>
    <t>SOPLAGW60019677</t>
  </si>
  <si>
    <t>HGTYRR3</t>
  </si>
  <si>
    <t>SOPLAGW60019678</t>
  </si>
  <si>
    <t>8BTYRR3</t>
  </si>
  <si>
    <t>SOPLAGW60019679</t>
  </si>
  <si>
    <t>BKTYRR3</t>
  </si>
  <si>
    <t>SOPLAGW60019680</t>
  </si>
  <si>
    <t>BFTYRR3</t>
  </si>
  <si>
    <t>SOPLAGW60019670</t>
  </si>
  <si>
    <t>7CTYRR3</t>
  </si>
  <si>
    <t>SOPLAGW60019671</t>
  </si>
  <si>
    <t>5JTYRR3</t>
  </si>
  <si>
    <t>SOPLAGW60019672</t>
  </si>
  <si>
    <t>DHTYRR3</t>
  </si>
  <si>
    <t>SOPLAGW60019673</t>
  </si>
  <si>
    <t>GKTYRR3</t>
  </si>
  <si>
    <t>SOPLAGW60019674</t>
  </si>
  <si>
    <t>1JTYRR3</t>
  </si>
  <si>
    <t>SOPLAGW60019685</t>
  </si>
  <si>
    <t>4FTYRR3</t>
  </si>
  <si>
    <t>SOPLAGWK031598</t>
  </si>
  <si>
    <t>GPC000031598</t>
  </si>
  <si>
    <t>1630VG2</t>
  </si>
  <si>
    <t>SOPLAGW60019689</t>
  </si>
  <si>
    <t>6BTYRR3</t>
  </si>
  <si>
    <t>SOPLAGWK033561</t>
  </si>
  <si>
    <t>GPC000033561</t>
  </si>
  <si>
    <t>416DBS2</t>
  </si>
  <si>
    <t>SOPLAGWK032344</t>
  </si>
  <si>
    <t>GPC000032344</t>
  </si>
  <si>
    <t>PC0MJHNZ</t>
  </si>
  <si>
    <t>SOPLAGW60019688</t>
  </si>
  <si>
    <t>JJTYRR3</t>
  </si>
  <si>
    <t>SOPLAGWK033560</t>
  </si>
  <si>
    <t>GPC000033560</t>
  </si>
  <si>
    <t>4169BS2</t>
  </si>
  <si>
    <t>SOPLAGW60019687</t>
  </si>
  <si>
    <t>GJTYRR3</t>
  </si>
  <si>
    <t>SOPLAGWK031608</t>
  </si>
  <si>
    <t>GPC000031608</t>
  </si>
  <si>
    <t>16N5VG2</t>
  </si>
  <si>
    <t>SOPLAGWK031603</t>
  </si>
  <si>
    <t>GPC000031603</t>
  </si>
  <si>
    <t>16KZTG2</t>
  </si>
  <si>
    <t>SOPLAGWK031606</t>
  </si>
  <si>
    <t>GPC000031606</t>
  </si>
  <si>
    <t>16M2VG2</t>
  </si>
  <si>
    <t>SOPLAGWK031605</t>
  </si>
  <si>
    <t>GPC000031605</t>
  </si>
  <si>
    <t>1692VG2</t>
  </si>
  <si>
    <t>SOPLAGWK031607</t>
  </si>
  <si>
    <t>GPC000031607</t>
  </si>
  <si>
    <t>15Y1VG2</t>
  </si>
  <si>
    <t>SOPLAGWK031601</t>
  </si>
  <si>
    <t>GPC000031601</t>
  </si>
  <si>
    <t>16Q0VG2</t>
  </si>
  <si>
    <t>SOPLAGWK031600</t>
  </si>
  <si>
    <t>GPC000031600</t>
  </si>
  <si>
    <t>16R1VG2</t>
  </si>
  <si>
    <t>SOPLAGW60019686</t>
  </si>
  <si>
    <t>9DTYRR3</t>
  </si>
  <si>
    <t>SOPLAGWK031602</t>
  </si>
  <si>
    <t>GPC000031602</t>
  </si>
  <si>
    <t>16G4VG2</t>
  </si>
  <si>
    <t>SOPLAGWK031604</t>
  </si>
  <si>
    <t>GPC000031604</t>
  </si>
  <si>
    <t>16F4VG2</t>
  </si>
  <si>
    <t>SOPLAGWK032850</t>
  </si>
  <si>
    <t>GPC000032850</t>
  </si>
  <si>
    <t>7K5N7N2</t>
  </si>
  <si>
    <t>SOPLAGWK032849</t>
  </si>
  <si>
    <t>GPC000032849</t>
  </si>
  <si>
    <t>7H2Q7N2</t>
  </si>
  <si>
    <t>SOPLAGWK032848</t>
  </si>
  <si>
    <t>GPC000032848</t>
  </si>
  <si>
    <t>7GRN7N2</t>
  </si>
  <si>
    <t>SOPLAGWK032847</t>
  </si>
  <si>
    <t>GPC000032847</t>
  </si>
  <si>
    <t>HZ91DK2</t>
  </si>
  <si>
    <t>SOPLAGWK032813</t>
  </si>
  <si>
    <t>GPC000032813</t>
  </si>
  <si>
    <t>HYN1DK2</t>
  </si>
  <si>
    <t>SOPLAGWK032812</t>
  </si>
  <si>
    <t>GPC000032812</t>
  </si>
  <si>
    <t>HY8WCK2</t>
  </si>
  <si>
    <t>SOPLAGWK032819</t>
  </si>
  <si>
    <t>GPC000032819</t>
  </si>
  <si>
    <t>HYRTCK2</t>
  </si>
  <si>
    <t>SOPLAGWK032816</t>
  </si>
  <si>
    <t>GPC000032816</t>
  </si>
  <si>
    <t>HZKTCK2</t>
  </si>
  <si>
    <t>SOPLAGWK032815</t>
  </si>
  <si>
    <t>GPC000032815</t>
  </si>
  <si>
    <t>HYPTCK2</t>
  </si>
  <si>
    <t>SOPLAGWK032821</t>
  </si>
  <si>
    <t>GPC000032821</t>
  </si>
  <si>
    <t>HZN2DK2</t>
  </si>
  <si>
    <t>SOPLAGWK034134</t>
  </si>
  <si>
    <t>GPC000034134</t>
  </si>
  <si>
    <t>7YD79V2</t>
  </si>
  <si>
    <t>SOPLAGWK028232</t>
  </si>
  <si>
    <t>GPC000028232</t>
  </si>
  <si>
    <t>6CR4362NZZ</t>
  </si>
  <si>
    <t>BGPC000032735P</t>
  </si>
  <si>
    <t>GPC000032735</t>
  </si>
  <si>
    <t>78TL7N2</t>
  </si>
  <si>
    <t>SOPLAGWK029615</t>
  </si>
  <si>
    <t>GPC000029615</t>
  </si>
  <si>
    <t>SGH514SRF6</t>
  </si>
  <si>
    <t>SOPLAGW60019705</t>
  </si>
  <si>
    <t>JHTYRR3</t>
  </si>
  <si>
    <t>SOPLAGW60019706</t>
  </si>
  <si>
    <t>6DTYRR3</t>
  </si>
  <si>
    <t>SOPLAGWK034130</t>
  </si>
  <si>
    <t>GPC000034130</t>
  </si>
  <si>
    <t>7YF79V2</t>
  </si>
  <si>
    <t>SOPLAGWK029182</t>
  </si>
  <si>
    <t>GPC000029182</t>
  </si>
  <si>
    <t>SGH509T84S</t>
  </si>
  <si>
    <t>BGPC000027998P</t>
  </si>
  <si>
    <t>GPC000027998</t>
  </si>
  <si>
    <t>6CR4362PKL</t>
  </si>
  <si>
    <t>SOPLAGW60019707</t>
  </si>
  <si>
    <t>HDTYRR3</t>
  </si>
  <si>
    <t>SOPLAGWK033860</t>
  </si>
  <si>
    <t>GPC000033860</t>
  </si>
  <si>
    <t>7XYG9V2</t>
  </si>
  <si>
    <t>SOPLAGWK034138</t>
  </si>
  <si>
    <t>GPC000034138</t>
  </si>
  <si>
    <t>7XX89V2</t>
  </si>
  <si>
    <t>SOPLAGW60019708</t>
  </si>
  <si>
    <t>6FTYRR3</t>
  </si>
  <si>
    <t>BGPC000034126P</t>
  </si>
  <si>
    <t>GPC000034126</t>
  </si>
  <si>
    <t>7XS79V2</t>
  </si>
  <si>
    <t>SOPLAGW60019699</t>
  </si>
  <si>
    <t>CHTYRR3</t>
  </si>
  <si>
    <t>SOPLAGW60019694</t>
  </si>
  <si>
    <t>2CTYRR3</t>
  </si>
  <si>
    <t>SOPLAGW60019697</t>
  </si>
  <si>
    <t>3CTYRR3</t>
  </si>
  <si>
    <t>SOPLAGW60019691</t>
  </si>
  <si>
    <t>F9TYRR3</t>
  </si>
  <si>
    <t>SOPLAGWK034137</t>
  </si>
  <si>
    <t>GPC000034137</t>
  </si>
  <si>
    <t>7Y0J9V2</t>
  </si>
  <si>
    <t>SOPLAGW60019693</t>
  </si>
  <si>
    <t>3JTYRR3</t>
  </si>
  <si>
    <t>SOPLAGW60019692</t>
  </si>
  <si>
    <t>3BTYRR3</t>
  </si>
  <si>
    <t>SOPLAGWK034129</t>
  </si>
  <si>
    <t>GPC000034129</t>
  </si>
  <si>
    <t>HB33BD2</t>
  </si>
  <si>
    <t>SOPLAGW60019698</t>
  </si>
  <si>
    <t>9LTYRR3</t>
  </si>
  <si>
    <t>BGPC000033863</t>
  </si>
  <si>
    <t>GPC000033863</t>
  </si>
  <si>
    <t>660T8T2</t>
  </si>
  <si>
    <t>SOPLAGWK031774</t>
  </si>
  <si>
    <t>GPC000031774</t>
  </si>
  <si>
    <t>44440J2</t>
  </si>
  <si>
    <t>SOPLAGWK031784</t>
  </si>
  <si>
    <t>GPC000031784</t>
  </si>
  <si>
    <t>44730J2</t>
  </si>
  <si>
    <t>SOPLAGWK032739</t>
  </si>
  <si>
    <t>GPC000032739</t>
  </si>
  <si>
    <t>78YM7N2</t>
  </si>
  <si>
    <t>SOPLAGWK032737</t>
  </si>
  <si>
    <t>GPC000032737</t>
  </si>
  <si>
    <t>78DP7N2</t>
  </si>
  <si>
    <t>SOPLAGW60019704</t>
  </si>
  <si>
    <t>4LTYRR3</t>
  </si>
  <si>
    <t>SOPLAGW60019700</t>
  </si>
  <si>
    <t>5CTYRR3</t>
  </si>
  <si>
    <t>SOPLAGW60019701</t>
  </si>
  <si>
    <t>5LTYRR3</t>
  </si>
  <si>
    <t>SOPLAGW60019702</t>
  </si>
  <si>
    <t>FJTYRR3</t>
  </si>
  <si>
    <t>SOPLAGW60019703</t>
  </si>
  <si>
    <t>GHTYRR3</t>
  </si>
  <si>
    <t>SOPLAGWK035328</t>
  </si>
  <si>
    <t>GPC000035328</t>
  </si>
  <si>
    <t>PC1JFN2T</t>
  </si>
  <si>
    <t>SOPLAGWK035228</t>
  </si>
  <si>
    <t>GPC000035228</t>
  </si>
  <si>
    <t>PC1FV2EY</t>
  </si>
  <si>
    <t>ThinkCentre M70t</t>
  </si>
  <si>
    <t>SOPLAGWK035229</t>
  </si>
  <si>
    <t>GPC000035229</t>
  </si>
  <si>
    <t>PC1FTG3E</t>
  </si>
  <si>
    <t>SOPLAGWK035374</t>
  </si>
  <si>
    <t>GPC000035374</t>
  </si>
  <si>
    <t>PC1P3YC2</t>
  </si>
  <si>
    <t>SOPLAGWK035227</t>
  </si>
  <si>
    <t>GPC000035227</t>
  </si>
  <si>
    <t>PC1FV2F0</t>
  </si>
  <si>
    <t>SOPLAGWK035329</t>
  </si>
  <si>
    <t>GPC000035329</t>
  </si>
  <si>
    <t>PC1JFMZH</t>
  </si>
  <si>
    <t>SOPLAGWK035380</t>
  </si>
  <si>
    <t>GPC000035380</t>
  </si>
  <si>
    <t>PC1P3YBY</t>
  </si>
  <si>
    <t>SOPLAGWK035231</t>
  </si>
  <si>
    <t>GPC000035231</t>
  </si>
  <si>
    <t>PC18DKQV</t>
  </si>
  <si>
    <t>SOPLAGWK035248</t>
  </si>
  <si>
    <t>GPC000035248</t>
  </si>
  <si>
    <t>PC18DKA7</t>
  </si>
  <si>
    <t>SOPLAGWK035234</t>
  </si>
  <si>
    <t>GPC000035234</t>
  </si>
  <si>
    <t>PC18DK9X</t>
  </si>
  <si>
    <t>SOPLAGWK035230</t>
  </si>
  <si>
    <t>GPC000035230</t>
  </si>
  <si>
    <t>PC1FV27H</t>
  </si>
  <si>
    <t>SOPLAGWK035332</t>
  </si>
  <si>
    <t>GPC000035332</t>
  </si>
  <si>
    <t>PC1JFN1Q</t>
  </si>
  <si>
    <t>SOPLAGWK035327</t>
  </si>
  <si>
    <t>GPC000035327</t>
  </si>
  <si>
    <t>PC1JFKCV</t>
  </si>
  <si>
    <t>SOPLAGWK035233</t>
  </si>
  <si>
    <t>GPC000035233</t>
  </si>
  <si>
    <t>PC18DKLR</t>
  </si>
  <si>
    <t>SOPLAGWK035247</t>
  </si>
  <si>
    <t>GPC000035247</t>
  </si>
  <si>
    <t>PC1CP6QR</t>
  </si>
  <si>
    <t>SOPLAGWK035235</t>
  </si>
  <si>
    <t>GPC000035235</t>
  </si>
  <si>
    <t>PC18DKD4</t>
  </si>
  <si>
    <t>SOPLAGWK035399</t>
  </si>
  <si>
    <t>GPC000035399</t>
  </si>
  <si>
    <t>SOPLAGWK035325</t>
  </si>
  <si>
    <t>GPC000035325</t>
  </si>
  <si>
    <t>PC1JFKB1</t>
  </si>
  <si>
    <t>SOPLAGWK035333</t>
  </si>
  <si>
    <t>GPC000035333</t>
  </si>
  <si>
    <t>PC1JFN3L</t>
  </si>
  <si>
    <t>SOPLAGWK035326</t>
  </si>
  <si>
    <t>GPC000035326</t>
  </si>
  <si>
    <t>PC1JFN3M</t>
  </si>
  <si>
    <t>SOPLAGWK036761</t>
  </si>
  <si>
    <t>GPC000036761</t>
  </si>
  <si>
    <t>PC258HGP</t>
  </si>
  <si>
    <t>SOPLAGWK035394</t>
  </si>
  <si>
    <t>GPC000035394</t>
  </si>
  <si>
    <t>PC1P3YC0</t>
  </si>
  <si>
    <t>SOPLAGWK035237</t>
  </si>
  <si>
    <t>GPC000035237</t>
  </si>
  <si>
    <t>PC18DKFW</t>
  </si>
  <si>
    <t>SOPLAGWK035244</t>
  </si>
  <si>
    <t>GPC000035244</t>
  </si>
  <si>
    <t>PC1FTG45</t>
  </si>
  <si>
    <t>SOPLAGWK035251</t>
  </si>
  <si>
    <t>GPC000035251</t>
  </si>
  <si>
    <t>PC1FTG35</t>
  </si>
  <si>
    <t>SOPLAGWK035246</t>
  </si>
  <si>
    <t>GPC000035246</t>
  </si>
  <si>
    <t>PC1FTG3C</t>
  </si>
  <si>
    <t>SOPLAGWK035395</t>
  </si>
  <si>
    <t>GPC000035395</t>
  </si>
  <si>
    <t>PC1P3YBW</t>
  </si>
  <si>
    <t>SOPLAGWK035249</t>
  </si>
  <si>
    <t>GPC000035249</t>
  </si>
  <si>
    <t>PC18DKDK</t>
  </si>
  <si>
    <t>SOPLAGWK036762</t>
  </si>
  <si>
    <t>GPC000036762</t>
  </si>
  <si>
    <t>PC1FTG3B</t>
  </si>
  <si>
    <t>SOPLAGWK035252</t>
  </si>
  <si>
    <t>GPC000035252</t>
  </si>
  <si>
    <t>PC18DKR8</t>
  </si>
  <si>
    <t>SOPLAGWK035238</t>
  </si>
  <si>
    <t>GPC000035238</t>
  </si>
  <si>
    <t>PC1FV2EW</t>
  </si>
  <si>
    <t>SOPLAGWK035242</t>
  </si>
  <si>
    <t>GPC000035242</t>
  </si>
  <si>
    <t>PC18DKEE</t>
  </si>
  <si>
    <t>SOPLAGWK035386</t>
  </si>
  <si>
    <t>GPC000035386</t>
  </si>
  <si>
    <t>PC1P3YBM</t>
  </si>
  <si>
    <t>SOPLAGWK035232</t>
  </si>
  <si>
    <t>GPC000035232</t>
  </si>
  <si>
    <t>PC1FV27J</t>
  </si>
  <si>
    <t>SOPLAGWK035243</t>
  </si>
  <si>
    <t>GPC000035243</t>
  </si>
  <si>
    <t>PC18DKEZ</t>
  </si>
  <si>
    <t>SOPLAGWK035240</t>
  </si>
  <si>
    <t>GPC000035240</t>
  </si>
  <si>
    <t>PC18DKF7</t>
  </si>
  <si>
    <t>SOPLAGWK035239</t>
  </si>
  <si>
    <t>GPC000035239</t>
  </si>
  <si>
    <t>SOPLAGWK035245</t>
  </si>
  <si>
    <t>GPC000035245</t>
  </si>
  <si>
    <t>PC18DKC7</t>
  </si>
  <si>
    <t>BGPC000032734</t>
  </si>
  <si>
    <t>GPC000032734</t>
  </si>
  <si>
    <t>792T7N2</t>
  </si>
  <si>
    <t>SOPLAGWK035316</t>
  </si>
  <si>
    <t>GPC000035316</t>
  </si>
  <si>
    <t>PC1JFKCW</t>
  </si>
  <si>
    <t>SOPLAGWK035318</t>
  </si>
  <si>
    <t>GPC000035318</t>
  </si>
  <si>
    <t>PC1JFN1N</t>
  </si>
  <si>
    <t>SOPLAGWK035722</t>
  </si>
  <si>
    <t>GPC000035722</t>
  </si>
  <si>
    <t>PC1LZNP9</t>
  </si>
  <si>
    <t>SOPLAGWK035254</t>
  </si>
  <si>
    <t>GPC000035254</t>
  </si>
  <si>
    <t>PC1FTG3J</t>
  </si>
  <si>
    <t>SOPLAGWK035727</t>
  </si>
  <si>
    <t>GPC000035727</t>
  </si>
  <si>
    <t>PC1LZPV7</t>
  </si>
  <si>
    <t>SOPLAGWK035257</t>
  </si>
  <si>
    <t>GPC000035257</t>
  </si>
  <si>
    <t>PC1FTG3H</t>
  </si>
  <si>
    <t>SOPLAGWK035253</t>
  </si>
  <si>
    <t>GPC000035253</t>
  </si>
  <si>
    <t>PC1FTG48</t>
  </si>
  <si>
    <t>SOPLAGWK035731</t>
  </si>
  <si>
    <t>GPC000035731</t>
  </si>
  <si>
    <t>PC1LZQDK</t>
  </si>
  <si>
    <t>BGPC000035735</t>
  </si>
  <si>
    <t>GPC000035735</t>
  </si>
  <si>
    <t>PC1LZNTQ</t>
  </si>
  <si>
    <t>SOPLAGWK035324</t>
  </si>
  <si>
    <t>GPC000035324</t>
  </si>
  <si>
    <t>PC1JFN1D</t>
  </si>
  <si>
    <t>SOPLAGWK036432</t>
  </si>
  <si>
    <t>GPC000036432</t>
  </si>
  <si>
    <t>PC258R96</t>
  </si>
  <si>
    <t>SOPLAGWK036163</t>
  </si>
  <si>
    <t>GPC000036163</t>
  </si>
  <si>
    <t>PC1WLCK4</t>
  </si>
  <si>
    <t>SOPLAGWK036431</t>
  </si>
  <si>
    <t>GPC000036431</t>
  </si>
  <si>
    <t>PC258R4G</t>
  </si>
  <si>
    <t>SOPLAGWK036426</t>
  </si>
  <si>
    <t>GPC000036426</t>
  </si>
  <si>
    <t>PC258HH9</t>
  </si>
  <si>
    <t>SOPLAGWK036165</t>
  </si>
  <si>
    <t>GPC000036165</t>
  </si>
  <si>
    <t>PC1WLT8P</t>
  </si>
  <si>
    <t>SOPLAGWK036160</t>
  </si>
  <si>
    <t>GPC000036160</t>
  </si>
  <si>
    <t>PC1WLCNX</t>
  </si>
  <si>
    <t>SOPLAGWK036158</t>
  </si>
  <si>
    <t>GPC000036158</t>
  </si>
  <si>
    <t>PC1WLT5L</t>
  </si>
  <si>
    <t>SOPLAGWK036166</t>
  </si>
  <si>
    <t>GPC000036166</t>
  </si>
  <si>
    <t>PC1WLQ8P</t>
  </si>
  <si>
    <t>SOPLAGWK036430</t>
  </si>
  <si>
    <t>GPC000036430</t>
  </si>
  <si>
    <t>PC258HKC</t>
  </si>
  <si>
    <t>SOPLAGWK036167</t>
  </si>
  <si>
    <t>GPC000036167</t>
  </si>
  <si>
    <t>PC1WLRFW</t>
  </si>
  <si>
    <t>SOPLAGWK036162</t>
  </si>
  <si>
    <t>GPC000036162</t>
  </si>
  <si>
    <t>PC1WK0T1</t>
  </si>
  <si>
    <t>SOPLAGWK036428</t>
  </si>
  <si>
    <t>GPC000036428</t>
  </si>
  <si>
    <t>PC258HJG</t>
  </si>
  <si>
    <t>SOPLAGWK036429</t>
  </si>
  <si>
    <t>GPC000036429</t>
  </si>
  <si>
    <t>PC258R4A</t>
  </si>
  <si>
    <t>SOPLAGWK036427</t>
  </si>
  <si>
    <t>GPC000036427</t>
  </si>
  <si>
    <t>PC258HJ7</t>
  </si>
  <si>
    <t>SOPLAGWK036424</t>
  </si>
  <si>
    <t>GPC000036424</t>
  </si>
  <si>
    <t>PC258HKH</t>
  </si>
  <si>
    <t>SOPLAGWK036425</t>
  </si>
  <si>
    <t>GPC000036425</t>
  </si>
  <si>
    <t>PC258R3N</t>
  </si>
  <si>
    <t>SOPLAGWK036164</t>
  </si>
  <si>
    <t>GPC000036164</t>
  </si>
  <si>
    <t>PC1WLQDY</t>
  </si>
  <si>
    <t>SOPLAGWK036161</t>
  </si>
  <si>
    <t>GPC000036161</t>
  </si>
  <si>
    <t>PC1WK0XP</t>
  </si>
  <si>
    <t>SOPLAGWK036159</t>
  </si>
  <si>
    <t>GPC000036159</t>
  </si>
  <si>
    <t>PC1WLTDF</t>
  </si>
  <si>
    <t>SOPLAGW60019772</t>
  </si>
  <si>
    <t>CJTYRR3</t>
  </si>
  <si>
    <t>SOPLAGW60019780</t>
  </si>
  <si>
    <t>8LTYRR3</t>
  </si>
  <si>
    <t>SOPLAGW60019778</t>
  </si>
  <si>
    <t>CBTYRR3</t>
  </si>
  <si>
    <t>IT17290001</t>
  </si>
  <si>
    <t>IT-17290001</t>
  </si>
  <si>
    <t>B34QRK2</t>
  </si>
  <si>
    <t>OptiPlex 7050</t>
  </si>
  <si>
    <t>IT17290002</t>
  </si>
  <si>
    <t>IT-17290002</t>
  </si>
  <si>
    <t>B33XTK2</t>
  </si>
  <si>
    <t>SOPLAGWK035736</t>
  </si>
  <si>
    <t>GPC000035736</t>
  </si>
  <si>
    <t>PC1LZQDG</t>
  </si>
  <si>
    <t>SOPLAGW60019813</t>
  </si>
  <si>
    <t>JBTYRR3</t>
  </si>
  <si>
    <t>SOPLAGW60019812</t>
  </si>
  <si>
    <t>4GTYRR3</t>
  </si>
  <si>
    <t>SOPLAGW60019814</t>
  </si>
  <si>
    <t>6GTYRR3</t>
  </si>
  <si>
    <t>BGPC000033552P</t>
  </si>
  <si>
    <t>GPC000033552</t>
  </si>
  <si>
    <t>4167BS2</t>
  </si>
  <si>
    <t>SOPLAGW60019811</t>
  </si>
  <si>
    <t>5GTYRR3</t>
  </si>
  <si>
    <t>BGPC000033554P</t>
  </si>
  <si>
    <t>GPC000033554</t>
  </si>
  <si>
    <t>418FBS2</t>
  </si>
  <si>
    <t>BGPC000031304P</t>
  </si>
  <si>
    <t>GPC000031304</t>
  </si>
  <si>
    <t>1TD5CD2</t>
  </si>
  <si>
    <t>BGPC000033557P</t>
  </si>
  <si>
    <t>GPC000033557</t>
  </si>
  <si>
    <t>4186BS2</t>
  </si>
  <si>
    <t>BGPC000033549P</t>
  </si>
  <si>
    <t>GPC000033549</t>
  </si>
  <si>
    <t>64MS8T2</t>
  </si>
  <si>
    <t>BGPC000032731P</t>
  </si>
  <si>
    <t>GPC000032731</t>
  </si>
  <si>
    <t>7C1P7N2</t>
  </si>
  <si>
    <t>BGPC000032729P</t>
  </si>
  <si>
    <t>GPC000032729</t>
  </si>
  <si>
    <t>7BHM7N2</t>
  </si>
  <si>
    <t>BGPC000030175P</t>
  </si>
  <si>
    <t>GPC000030175</t>
  </si>
  <si>
    <t>8895T92</t>
  </si>
  <si>
    <t>BGPC000033350P</t>
  </si>
  <si>
    <t>GPC000033350</t>
  </si>
  <si>
    <t>BGPC000032716P</t>
  </si>
  <si>
    <t>GPC000032716</t>
  </si>
  <si>
    <t>789M7N2</t>
  </si>
  <si>
    <t>SOPLAGW60019796</t>
  </si>
  <si>
    <t>1HTYRR3</t>
  </si>
  <si>
    <t>SOPLAGW60019795</t>
  </si>
  <si>
    <t>FHTYRR3</t>
  </si>
  <si>
    <t>SOPLAGW60019794</t>
  </si>
  <si>
    <t>3KTYRR3</t>
  </si>
  <si>
    <t>SOPLAGW60019793</t>
  </si>
  <si>
    <t>CGTYRR3</t>
  </si>
  <si>
    <t>SOPLAGW60019776</t>
  </si>
  <si>
    <t>9JTYRR3</t>
  </si>
  <si>
    <t>SOPLAGW60019783</t>
  </si>
  <si>
    <t>C9TYRR3</t>
  </si>
  <si>
    <t>SOPLAGW60019790</t>
  </si>
  <si>
    <t>HCTYRR3</t>
  </si>
  <si>
    <t>SOPLAGW60019782</t>
  </si>
  <si>
    <t>9BTYRR3</t>
  </si>
  <si>
    <t>SOPLAGW60019788</t>
  </si>
  <si>
    <t>DFTYRR3</t>
  </si>
  <si>
    <t>SOPLAGW60019774</t>
  </si>
  <si>
    <t>JKTYRR3</t>
  </si>
  <si>
    <t>SOPLAGW60019781</t>
  </si>
  <si>
    <t>FFTYRR3</t>
  </si>
  <si>
    <t>SOPLAGW60019775</t>
  </si>
  <si>
    <t>3FTYRR3</t>
  </si>
  <si>
    <t>SOPLAGW60019791</t>
  </si>
  <si>
    <t>JGTYRR3</t>
  </si>
  <si>
    <t>SOPLAGW60019789</t>
  </si>
  <si>
    <t>7DTYRR3</t>
  </si>
  <si>
    <t>SOPLAGWK035729</t>
  </si>
  <si>
    <t>GPC000035729</t>
  </si>
  <si>
    <t>PC1LZMV7</t>
  </si>
  <si>
    <t>SOPLAGW60019792</t>
  </si>
  <si>
    <t>2FTYRR3</t>
  </si>
  <si>
    <t>SOPLAGW60019779</t>
  </si>
  <si>
    <t>BBTYRR3</t>
  </si>
  <si>
    <t>SOPLAGW60019785</t>
  </si>
  <si>
    <t>9HTYRR3</t>
  </si>
  <si>
    <t>SOPLAGW60019773</t>
  </si>
  <si>
    <t>7GTYRR3</t>
  </si>
  <si>
    <t>SOPLAGWK035732</t>
  </si>
  <si>
    <t>GPC000035732</t>
  </si>
  <si>
    <t>PC1LZNMQ</t>
  </si>
  <si>
    <t>SOPLAGW60019786</t>
  </si>
  <si>
    <t>1CTYRR3</t>
  </si>
  <si>
    <t>SOPLAGW60019784</t>
  </si>
  <si>
    <t>CFTYRR3</t>
  </si>
  <si>
    <t>SOPLAGWK035256</t>
  </si>
  <si>
    <t>GPC000035256</t>
  </si>
  <si>
    <t>PC1FTG6E</t>
  </si>
  <si>
    <t>SOPLAGW60019787</t>
  </si>
  <si>
    <t>BHTYRR3</t>
  </si>
  <si>
    <t>SOPLAGW60019777</t>
  </si>
  <si>
    <t>H9TYRR3</t>
  </si>
  <si>
    <t>BGPC000032742P</t>
  </si>
  <si>
    <t>GPC000032742</t>
  </si>
  <si>
    <t>790M7N2</t>
  </si>
  <si>
    <t>BGPC000034228P</t>
  </si>
  <si>
    <t>GPC000034228</t>
  </si>
  <si>
    <t>8SX7F13</t>
  </si>
  <si>
    <t>SOPLAGWK034812</t>
  </si>
  <si>
    <t>GPC000034812</t>
  </si>
  <si>
    <t>2471B33</t>
  </si>
  <si>
    <t>OptiPlex 3070</t>
  </si>
  <si>
    <t>SOPLAGWK026476</t>
  </si>
  <si>
    <t>GPC000026476</t>
  </si>
  <si>
    <t>PB4CW8P</t>
  </si>
  <si>
    <t>SOPLAGWK032722</t>
  </si>
  <si>
    <t>GPC000032722</t>
  </si>
  <si>
    <t>78JP7N2</t>
  </si>
  <si>
    <t>BGPC000033382</t>
  </si>
  <si>
    <t>GPC000033382</t>
  </si>
  <si>
    <t>799K6Q2</t>
  </si>
  <si>
    <t>BGPC000034232P</t>
  </si>
  <si>
    <t>GPC000034232</t>
  </si>
  <si>
    <t>8SX9F13</t>
  </si>
  <si>
    <t>SOPLAGWK032745</t>
  </si>
  <si>
    <t>GPC000032745</t>
  </si>
  <si>
    <t>792L7N2</t>
  </si>
  <si>
    <t>SOPLAGWK035802</t>
  </si>
  <si>
    <t>GPC000035802</t>
  </si>
  <si>
    <t>1CZ04000M0</t>
  </si>
  <si>
    <t>HP ProDesk 400 G6 SFF</t>
  </si>
  <si>
    <t>SOPLAGWK035798</t>
  </si>
  <si>
    <t>GPC000035798</t>
  </si>
  <si>
    <t>1CZ04000SY</t>
  </si>
  <si>
    <t>SOPLAGWK036890</t>
  </si>
  <si>
    <t>GPC000036890</t>
  </si>
  <si>
    <t>PC26Q3EF</t>
  </si>
  <si>
    <t>SOPLAGWK035801</t>
  </si>
  <si>
    <t>GPC000035801</t>
  </si>
  <si>
    <t>1CZ040016W</t>
  </si>
  <si>
    <t>SOPLAGWK036886</t>
  </si>
  <si>
    <t>GPC000036886</t>
  </si>
  <si>
    <t>PC26Q3BG</t>
  </si>
  <si>
    <t>SOPLAGWK035797</t>
  </si>
  <si>
    <t>GPC000035797</t>
  </si>
  <si>
    <t>1CZ040011T</t>
  </si>
  <si>
    <t>SOPLAGWK036887</t>
  </si>
  <si>
    <t>GPC000036887</t>
  </si>
  <si>
    <t>PC258R3P</t>
  </si>
  <si>
    <t>SOPLAGWK036889</t>
  </si>
  <si>
    <t>GPC000036889</t>
  </si>
  <si>
    <t>PC258RAN</t>
  </si>
  <si>
    <t>SOPLAGWK033731</t>
  </si>
  <si>
    <t>GPC000033731</t>
  </si>
  <si>
    <t>66BN8T2</t>
  </si>
  <si>
    <t>SOPLAGWK035800</t>
  </si>
  <si>
    <t>GPC000035800</t>
  </si>
  <si>
    <t>1CZ040012Q</t>
  </si>
  <si>
    <t>SOPLAGWK036888</t>
  </si>
  <si>
    <t>GPC000036888</t>
  </si>
  <si>
    <t>PC26Q367</t>
  </si>
  <si>
    <t>SOPLAGWK035795</t>
  </si>
  <si>
    <t>GPC000035795</t>
  </si>
  <si>
    <t>1CZ04000NF</t>
  </si>
  <si>
    <t>SOPLAGWK036885</t>
  </si>
  <si>
    <t>GPC000036885</t>
  </si>
  <si>
    <t>PC26Q3AY</t>
  </si>
  <si>
    <t>SOPLAGWK035799</t>
  </si>
  <si>
    <t>GPC000035799</t>
  </si>
  <si>
    <t>1CZ04000Z8</t>
  </si>
  <si>
    <t>SOPLAGWK033750</t>
  </si>
  <si>
    <t>GPC000033750</t>
  </si>
  <si>
    <t>65HS8T2</t>
  </si>
  <si>
    <t>SOPLAGWK035008</t>
  </si>
  <si>
    <t>GPC000035008</t>
  </si>
  <si>
    <t>FFH2B33</t>
  </si>
  <si>
    <t>SOPLAGWK033758</t>
  </si>
  <si>
    <t>GPC000033758</t>
  </si>
  <si>
    <t>64TS8T2</t>
  </si>
  <si>
    <t>SOPLAGWK033794</t>
  </si>
  <si>
    <t>GPC000033794</t>
  </si>
  <si>
    <t>64PN8T2</t>
  </si>
  <si>
    <t>SOPLAGWK034996</t>
  </si>
  <si>
    <t>GPC000034996</t>
  </si>
  <si>
    <t>FF8Z933</t>
  </si>
  <si>
    <t>SOPLAGWK035272</t>
  </si>
  <si>
    <t>GPC000035272</t>
  </si>
  <si>
    <t>PC1FTG58</t>
  </si>
  <si>
    <t>SOPLAGWK034989</t>
  </si>
  <si>
    <t>GPC000034989</t>
  </si>
  <si>
    <t>FFC0B33</t>
  </si>
  <si>
    <t>SOPLAGWK035796</t>
  </si>
  <si>
    <t>GPC000035796</t>
  </si>
  <si>
    <t>1CZ04000RC</t>
  </si>
  <si>
    <t>SOPLAGWK035276</t>
  </si>
  <si>
    <t>GPC000035276</t>
  </si>
  <si>
    <t>PC1FV2C6</t>
  </si>
  <si>
    <t>SOPLAGWK031611</t>
  </si>
  <si>
    <t>GPC000031611</t>
  </si>
  <si>
    <t>8WZYBD2</t>
  </si>
  <si>
    <t>SOPLAGWK033764</t>
  </si>
  <si>
    <t>GPC000033764</t>
  </si>
  <si>
    <t>64ST8T2</t>
  </si>
  <si>
    <t>SOPLAGWK031412</t>
  </si>
  <si>
    <t>GPC000031412</t>
  </si>
  <si>
    <t>1SVXBD2</t>
  </si>
  <si>
    <t>SOPLAGWK035002</t>
  </si>
  <si>
    <t>GPC000035002</t>
  </si>
  <si>
    <t>FFHV933</t>
  </si>
  <si>
    <t>SOPLAGWK032242</t>
  </si>
  <si>
    <t>GPC000032242</t>
  </si>
  <si>
    <t>HZ13DK2</t>
  </si>
  <si>
    <t>SOPLAGWK033748</t>
  </si>
  <si>
    <t>GPC000033748</t>
  </si>
  <si>
    <t>65QM8T2</t>
  </si>
  <si>
    <t>SOPLAGWK029634</t>
  </si>
  <si>
    <t>GPC000029634</t>
  </si>
  <si>
    <t>6M3SG52</t>
  </si>
  <si>
    <t>BGPC000031781</t>
  </si>
  <si>
    <t>GPC000031781</t>
  </si>
  <si>
    <t>44180J2</t>
  </si>
  <si>
    <t>SOPLAGWK032741</t>
  </si>
  <si>
    <t>GPC000032741</t>
  </si>
  <si>
    <t>796V7N2</t>
  </si>
  <si>
    <t>SOPLAGWK035544</t>
  </si>
  <si>
    <t>GPC000035544</t>
  </si>
  <si>
    <t>PC1LZM88</t>
  </si>
  <si>
    <t>SOPLAGWK035542</t>
  </si>
  <si>
    <t>GPC000035542</t>
  </si>
  <si>
    <t>PC1LZPZA</t>
  </si>
  <si>
    <t>SOPLAGWK036096</t>
  </si>
  <si>
    <t>GPC000036096</t>
  </si>
  <si>
    <t>PC1TX9AH</t>
  </si>
  <si>
    <t>SOPLAGW60019739</t>
  </si>
  <si>
    <t>5HTYRR3</t>
  </si>
  <si>
    <t>SOPLAGWK035891</t>
  </si>
  <si>
    <t>GPC000035891</t>
  </si>
  <si>
    <t>1CZ04000BT</t>
  </si>
  <si>
    <t>SOPLAGWK035572</t>
  </si>
  <si>
    <t>GPC000035572</t>
  </si>
  <si>
    <t>PC1LZNVT</t>
  </si>
  <si>
    <t>SOPLAGWK035336</t>
  </si>
  <si>
    <t>GPC000035336</t>
  </si>
  <si>
    <t>PC1JFMZ6</t>
  </si>
  <si>
    <t>SOPLAGWK035858</t>
  </si>
  <si>
    <t>GPC000035858</t>
  </si>
  <si>
    <t>1CZ04000R3</t>
  </si>
  <si>
    <t>SOPLAGWK035577</t>
  </si>
  <si>
    <t>GPC000035577</t>
  </si>
  <si>
    <t>PC1LZMC5</t>
  </si>
  <si>
    <t>SOPLAGW60019740</t>
  </si>
  <si>
    <t>4DTYRR3</t>
  </si>
  <si>
    <t>SOPLAGW60019741</t>
  </si>
  <si>
    <t>7BTYRR3</t>
  </si>
  <si>
    <t>SOPLAGWK035345</t>
  </si>
  <si>
    <t>GPC000035345</t>
  </si>
  <si>
    <t>PC1JFN3S</t>
  </si>
  <si>
    <t>SOPLAGWK035543</t>
  </si>
  <si>
    <t>GPC000035543</t>
  </si>
  <si>
    <t>PC1LZMCF</t>
  </si>
  <si>
    <t>SOPLAGWK035907</t>
  </si>
  <si>
    <t>GPC000035907</t>
  </si>
  <si>
    <t>1CZ04000R2</t>
  </si>
  <si>
    <t>SOPLAGWK036086</t>
  </si>
  <si>
    <t>GPC000036086</t>
  </si>
  <si>
    <t>PC1TX97T</t>
  </si>
  <si>
    <t>SOPLAGWK035557</t>
  </si>
  <si>
    <t>GPC000035557</t>
  </si>
  <si>
    <t>PC1LZNVX</t>
  </si>
  <si>
    <t>SOPLAGWK035558</t>
  </si>
  <si>
    <t>GPC000035558</t>
  </si>
  <si>
    <t>PC1LZM3L</t>
  </si>
  <si>
    <t>SOPLAGW60019742</t>
  </si>
  <si>
    <t>1FTYRR3</t>
  </si>
  <si>
    <t>SOPLAGWK035917</t>
  </si>
  <si>
    <t>GPC000035917</t>
  </si>
  <si>
    <t>1CZ04000TH</t>
  </si>
  <si>
    <t>SOPLAGWK035347</t>
  </si>
  <si>
    <t>GPC000035347</t>
  </si>
  <si>
    <t>PC1JFN0S</t>
  </si>
  <si>
    <t>SOPLAGWK035921</t>
  </si>
  <si>
    <t>GPC000035921</t>
  </si>
  <si>
    <t>1CZ04000NP</t>
  </si>
  <si>
    <t>SOPLAGWK035338</t>
  </si>
  <si>
    <t>GPC000035338</t>
  </si>
  <si>
    <t>PC1JFN3K</t>
  </si>
  <si>
    <t>SOPLAGWK036083</t>
  </si>
  <si>
    <t>GPC000036083</t>
  </si>
  <si>
    <t>PC1TX9K7</t>
  </si>
  <si>
    <t>SOPLAGWK035545</t>
  </si>
  <si>
    <t>GPC000035545</t>
  </si>
  <si>
    <t>PC1LZLX7</t>
  </si>
  <si>
    <t>SOPLAGWK035555</t>
  </si>
  <si>
    <t>GPC000035555</t>
  </si>
  <si>
    <t>PC1LZP12</t>
  </si>
  <si>
    <t>SOPLAGWK035924</t>
  </si>
  <si>
    <t>GPC000035924</t>
  </si>
  <si>
    <t>1CZ04000CB</t>
  </si>
  <si>
    <t>SOPLAGW60019743</t>
  </si>
  <si>
    <t>DGTYRR3</t>
  </si>
  <si>
    <t>SOPLAGWK035905</t>
  </si>
  <si>
    <t>GPC000035905</t>
  </si>
  <si>
    <t>1CZ0400178</t>
  </si>
  <si>
    <t>SOPLAGWK035915</t>
  </si>
  <si>
    <t>GPC000035915</t>
  </si>
  <si>
    <t>1CZ040012G</t>
  </si>
  <si>
    <t>SOPLAGWK035910</t>
  </si>
  <si>
    <t>GPC000035910</t>
  </si>
  <si>
    <t>1CZ040012Y</t>
  </si>
  <si>
    <t>SOPLAGWK035916</t>
  </si>
  <si>
    <t>GPC000035916</t>
  </si>
  <si>
    <t>1CZ04000G4</t>
  </si>
  <si>
    <t>SOPLAGWK035339</t>
  </si>
  <si>
    <t>GPC000035339</t>
  </si>
  <si>
    <t>PC1JFN1M</t>
  </si>
  <si>
    <t>SOPLAGWK035908</t>
  </si>
  <si>
    <t>GPC000035908</t>
  </si>
  <si>
    <t>1CZ04000JQ</t>
  </si>
  <si>
    <t>SOPLAGWK035922</t>
  </si>
  <si>
    <t>GPC000035922</t>
  </si>
  <si>
    <t>1CZ04000HQ</t>
  </si>
  <si>
    <t>SOPLAGWK035864</t>
  </si>
  <si>
    <t>GPC000035864</t>
  </si>
  <si>
    <t>1CZ04000Z4</t>
  </si>
  <si>
    <t>SOPLAGWK036099</t>
  </si>
  <si>
    <t>GPC000036099</t>
  </si>
  <si>
    <t>PC1TRTQQ</t>
  </si>
  <si>
    <t>SOPLAGWK035343</t>
  </si>
  <si>
    <t>GPC000035343</t>
  </si>
  <si>
    <t>PC1JFN2V</t>
  </si>
  <si>
    <t>SOPLAGWK036093</t>
  </si>
  <si>
    <t>GPC000036093</t>
  </si>
  <si>
    <t>PC1TX71D</t>
  </si>
  <si>
    <t>SOPLAGWK034813</t>
  </si>
  <si>
    <t>GPC000034813</t>
  </si>
  <si>
    <t>2481B33</t>
  </si>
  <si>
    <t>SOPLAGWK035547</t>
  </si>
  <si>
    <t>GPC000035547</t>
  </si>
  <si>
    <t>PC1LZNS2</t>
  </si>
  <si>
    <t>SOPLAGWK035556</t>
  </si>
  <si>
    <t>GPC000035556</t>
  </si>
  <si>
    <t>PC1LZNR8</t>
  </si>
  <si>
    <t>SOPLAGW60019744</t>
  </si>
  <si>
    <t>8GTYRR3</t>
  </si>
  <si>
    <t>SOPLAGW60019745</t>
  </si>
  <si>
    <t>7KTYRR3</t>
  </si>
  <si>
    <t>Return unit</t>
  </si>
  <si>
    <t>SOPLAGW60019746</t>
  </si>
  <si>
    <t>BLTYRR3</t>
  </si>
  <si>
    <t>SOPLAGWK034819</t>
  </si>
  <si>
    <t>GPC000034819</t>
  </si>
  <si>
    <t>247Z933</t>
  </si>
  <si>
    <t>SOPLAGWK034822</t>
  </si>
  <si>
    <t>GPC000034822</t>
  </si>
  <si>
    <t>245Y933</t>
  </si>
  <si>
    <t>SOPLAGWK036092</t>
  </si>
  <si>
    <t>GPC000036092</t>
  </si>
  <si>
    <t>PC1TW0GG</t>
  </si>
  <si>
    <t>SOPLAGWK035559</t>
  </si>
  <si>
    <t>GPC000035559</t>
  </si>
  <si>
    <t>PC1LZLYD</t>
  </si>
  <si>
    <t>SOPLAGWK035896</t>
  </si>
  <si>
    <t>GPC000035896</t>
  </si>
  <si>
    <t>1CZ04000FY</t>
  </si>
  <si>
    <t>SOPLAGWK034808</t>
  </si>
  <si>
    <t>GPC000034808</t>
  </si>
  <si>
    <t>2462B33</t>
  </si>
  <si>
    <t>SOPLAGWK035540</t>
  </si>
  <si>
    <t>GPC000035540</t>
  </si>
  <si>
    <t>PC1LZPZF</t>
  </si>
  <si>
    <t>SOPLAGWK036095</t>
  </si>
  <si>
    <t>GPC000036095</t>
  </si>
  <si>
    <t>PC1TRTVP</t>
  </si>
  <si>
    <t>SOPLAGWK036085</t>
  </si>
  <si>
    <t>GPC000036085</t>
  </si>
  <si>
    <t>PC1TX9AA</t>
  </si>
  <si>
    <t>SOPLAGW60019747</t>
  </si>
  <si>
    <t>6CTYRR3</t>
  </si>
  <si>
    <t>SOPLAGWK035919</t>
  </si>
  <si>
    <t>GPC000035919</t>
  </si>
  <si>
    <t>1CZ04000PD</t>
  </si>
  <si>
    <t>SOPLAGW60019748</t>
  </si>
  <si>
    <t>2LTYRR3</t>
  </si>
  <si>
    <t>SOPLAGWK035909</t>
  </si>
  <si>
    <t>GPC000035909</t>
  </si>
  <si>
    <t>1CZ040013F</t>
  </si>
  <si>
    <t>SOPLAGWK035862</t>
  </si>
  <si>
    <t>GPC000035862</t>
  </si>
  <si>
    <t>1CZ04000S6</t>
  </si>
  <si>
    <t>SOPLAGWK035575</t>
  </si>
  <si>
    <t>GPC000035575</t>
  </si>
  <si>
    <t>PC1LZMF4</t>
  </si>
  <si>
    <t>SOPLAGWK035912</t>
  </si>
  <si>
    <t>GPC000035912</t>
  </si>
  <si>
    <t>1CZ04000JY</t>
  </si>
  <si>
    <t>SOPLAGWK035553</t>
  </si>
  <si>
    <t>GPC000035553</t>
  </si>
  <si>
    <t>PC1LZM8F</t>
  </si>
  <si>
    <t>SOPLAGWK036084</t>
  </si>
  <si>
    <t>GPC000036084</t>
  </si>
  <si>
    <t>PC1TRTVV</t>
  </si>
  <si>
    <t>SOPLAGWK035565</t>
  </si>
  <si>
    <t>GPC000035565</t>
  </si>
  <si>
    <t>PC1LZLWP</t>
  </si>
  <si>
    <t>SOPLAGWK034802</t>
  </si>
  <si>
    <t>GPC000034802</t>
  </si>
  <si>
    <t>244X933</t>
  </si>
  <si>
    <t>SOPLAGWK035566</t>
  </si>
  <si>
    <t>GPC000035566</t>
  </si>
  <si>
    <t>PC1LZMD2</t>
  </si>
  <si>
    <t>SOPLAGWK036090</t>
  </si>
  <si>
    <t>GPC000036090</t>
  </si>
  <si>
    <t>PC1TRTVZ</t>
  </si>
  <si>
    <t>SOPLAGWK036091</t>
  </si>
  <si>
    <t>GPC000036091</t>
  </si>
  <si>
    <t>PC1TW083</t>
  </si>
  <si>
    <t>SOPLAGWK035344</t>
  </si>
  <si>
    <t>GPC000035344</t>
  </si>
  <si>
    <t>PC1JFKCQ</t>
  </si>
  <si>
    <t>SOPLAGWK035564</t>
  </si>
  <si>
    <t>GPC000035564</t>
  </si>
  <si>
    <t>PC1LZM3R</t>
  </si>
  <si>
    <t>SOPLAGWK035863</t>
  </si>
  <si>
    <t>GPC000035863</t>
  </si>
  <si>
    <t>1CZ0400180</t>
  </si>
  <si>
    <t>SOPLAGWK034825</t>
  </si>
  <si>
    <t>GPC000034825</t>
  </si>
  <si>
    <t>247Y933</t>
  </si>
  <si>
    <t>SOPLAGWK035561</t>
  </si>
  <si>
    <t>GPC000035561</t>
  </si>
  <si>
    <t>PC1LZPHC</t>
  </si>
  <si>
    <t>SOPLAGWK035562</t>
  </si>
  <si>
    <t>GPC000035562</t>
  </si>
  <si>
    <t>PC1LZM0M</t>
  </si>
  <si>
    <t>SOPLAGWK035895</t>
  </si>
  <si>
    <t>GPC000035895</t>
  </si>
  <si>
    <t>1CZ04000RY</t>
  </si>
  <si>
    <t>SOPLAGWK034805</t>
  </si>
  <si>
    <t>GPC000034805</t>
  </si>
  <si>
    <t>2470B33</t>
  </si>
  <si>
    <t>SOPLAGWK035346</t>
  </si>
  <si>
    <t>GPC000035346</t>
  </si>
  <si>
    <t>PC1JFKDS</t>
  </si>
  <si>
    <t>SOPLAGWK035887</t>
  </si>
  <si>
    <t>GPC000035887</t>
  </si>
  <si>
    <t>1CZ04000C2</t>
  </si>
  <si>
    <t>SOPLAGWK034811</t>
  </si>
  <si>
    <t>GPC000034811</t>
  </si>
  <si>
    <t>244V933</t>
  </si>
  <si>
    <t>SOPLAGWK034815</t>
  </si>
  <si>
    <t>GPC000034815</t>
  </si>
  <si>
    <t>246V933</t>
  </si>
  <si>
    <t>SOPLAGWK035574</t>
  </si>
  <si>
    <t>GPC000035574</t>
  </si>
  <si>
    <t>PC1LZP5A</t>
  </si>
  <si>
    <t>SOPLAGWK035551</t>
  </si>
  <si>
    <t>GPC000035551</t>
  </si>
  <si>
    <t>PC1LZPHF</t>
  </si>
  <si>
    <t>SOPLAGWK036104</t>
  </si>
  <si>
    <t>GPC000036104</t>
  </si>
  <si>
    <t>PC1TX9M0</t>
  </si>
  <si>
    <t>SOPLAGWK036100</t>
  </si>
  <si>
    <t>GPC000036100</t>
  </si>
  <si>
    <t>PC1TX707</t>
  </si>
  <si>
    <t>SOPLAGWK035861</t>
  </si>
  <si>
    <t>GPC000035861</t>
  </si>
  <si>
    <t>1CZ04000C7</t>
  </si>
  <si>
    <t>SOPLAGWK035860</t>
  </si>
  <si>
    <t>GPC000035860</t>
  </si>
  <si>
    <t>1CZ040012T</t>
  </si>
  <si>
    <t>SOPLAGWK035865</t>
  </si>
  <si>
    <t>GPC000035865</t>
  </si>
  <si>
    <t>1CZ040012Z</t>
  </si>
  <si>
    <t>SOPLAGWK034818</t>
  </si>
  <si>
    <t>GPC000034818</t>
  </si>
  <si>
    <t>2482B33</t>
  </si>
  <si>
    <t>SOPLAGWK036097</t>
  </si>
  <si>
    <t>GPC000036097</t>
  </si>
  <si>
    <t>PC1TX99L</t>
  </si>
  <si>
    <t>SOPLAGWK035560</t>
  </si>
  <si>
    <t>GPC000035560</t>
  </si>
  <si>
    <t>PC1LZNR6</t>
  </si>
  <si>
    <t>SOPLAGWK034824</t>
  </si>
  <si>
    <t>GPC000034824</t>
  </si>
  <si>
    <t>2450B33</t>
  </si>
  <si>
    <t>SOPLAGWK034816</t>
  </si>
  <si>
    <t>GPC000034816</t>
  </si>
  <si>
    <t>247V933</t>
  </si>
  <si>
    <t>SOPLAGWK035903</t>
  </si>
  <si>
    <t>GPC000035903</t>
  </si>
  <si>
    <t>1CZ04000TG</t>
  </si>
  <si>
    <t>SOPLAGWK035900</t>
  </si>
  <si>
    <t>GPC000035900</t>
  </si>
  <si>
    <t>1CZ04000JS</t>
  </si>
  <si>
    <t>SOPLAGWK035859</t>
  </si>
  <si>
    <t>GPC000035859</t>
  </si>
  <si>
    <t>1CZ040016F</t>
  </si>
  <si>
    <t>SOPLAGWK036101</t>
  </si>
  <si>
    <t>GPC000036101</t>
  </si>
  <si>
    <t>PC1TX9JS</t>
  </si>
  <si>
    <t>SOPLAGWK034807</t>
  </si>
  <si>
    <t>GPC000034807</t>
  </si>
  <si>
    <t>244Y933</t>
  </si>
  <si>
    <t>SOPLAGWK035923</t>
  </si>
  <si>
    <t>GPC000035923</t>
  </si>
  <si>
    <t>1CZ0400154</t>
  </si>
  <si>
    <t>SOPLAGWK035578</t>
  </si>
  <si>
    <t>GPC000035578</t>
  </si>
  <si>
    <t>PC1LZPH8</t>
  </si>
  <si>
    <t>SOPLAGWK036089</t>
  </si>
  <si>
    <t>GPC000036089</t>
  </si>
  <si>
    <t>PC1TX71T</t>
  </si>
  <si>
    <t>SOPLAGWK035538</t>
  </si>
  <si>
    <t>GPC000035538</t>
  </si>
  <si>
    <t>PC1LZNQW</t>
  </si>
  <si>
    <t>SOPLAGWK035549</t>
  </si>
  <si>
    <t>GPC000035549</t>
  </si>
  <si>
    <t>PC1LZMRX</t>
  </si>
  <si>
    <t>SOPLAGWK035554</t>
  </si>
  <si>
    <t>GPC000035554</t>
  </si>
  <si>
    <t>PC1LZPZE</t>
  </si>
  <si>
    <t>SOPLAGWK035548</t>
  </si>
  <si>
    <t>GPC000035548</t>
  </si>
  <si>
    <t>PC1LZKE8</t>
  </si>
  <si>
    <t>SOPLAGWK036082</t>
  </si>
  <si>
    <t>GPC000036082</t>
  </si>
  <si>
    <t>PC1TRTWN</t>
  </si>
  <si>
    <t>SOPLAGWK036094</t>
  </si>
  <si>
    <t>GPC000036094</t>
  </si>
  <si>
    <t>PC1TX9FA</t>
  </si>
  <si>
    <t>SOPLAGWK036102</t>
  </si>
  <si>
    <t>GPC000036102</t>
  </si>
  <si>
    <t>PC1TRTNB</t>
  </si>
  <si>
    <t>SOPLAGWK035898</t>
  </si>
  <si>
    <t>GPC000035898</t>
  </si>
  <si>
    <t>1CZ04000ZZ</t>
  </si>
  <si>
    <t>SOPLAGWK036106</t>
  </si>
  <si>
    <t>GPC000036106</t>
  </si>
  <si>
    <t>PC1TX9PL</t>
  </si>
  <si>
    <t>SOPLAGWK036087</t>
  </si>
  <si>
    <t>GPC000036087</t>
  </si>
  <si>
    <t>PC1TX6WW</t>
  </si>
  <si>
    <t>SOPLAGWK035914</t>
  </si>
  <si>
    <t>GPC000035914</t>
  </si>
  <si>
    <t>1CZ04000PV</t>
  </si>
  <si>
    <t>SOPLAGWK035913</t>
  </si>
  <si>
    <t>GPC000035913</t>
  </si>
  <si>
    <t>1CZ040012D</t>
  </si>
  <si>
    <t>SOPLAGWK035892</t>
  </si>
  <si>
    <t>GPC000035892</t>
  </si>
  <si>
    <t>1CZ04000QT</t>
  </si>
  <si>
    <t>SOPLAGWK034814</t>
  </si>
  <si>
    <t>GPC000034814</t>
  </si>
  <si>
    <t>2461B33</t>
  </si>
  <si>
    <t>SOPLAGWK035889</t>
  </si>
  <si>
    <t>GPC000035889</t>
  </si>
  <si>
    <t>1CZ04000H4</t>
  </si>
  <si>
    <t>SOPLAGWK035904</t>
  </si>
  <si>
    <t>GPC000035904</t>
  </si>
  <si>
    <t>1CZ04000JG</t>
  </si>
  <si>
    <t>SOPLAGWK035920</t>
  </si>
  <si>
    <t>GPC000035920</t>
  </si>
  <si>
    <t>1CZ04000C9</t>
  </si>
  <si>
    <t>SOPLAGWK035897</t>
  </si>
  <si>
    <t>GPC000035897</t>
  </si>
  <si>
    <t>1CZ04000HV</t>
  </si>
  <si>
    <t>SOPLAGWK035866</t>
  </si>
  <si>
    <t>GPC000035866</t>
  </si>
  <si>
    <t>1CZ0400164</t>
  </si>
  <si>
    <t>SOPLAGWK035867</t>
  </si>
  <si>
    <t>GPC000035867</t>
  </si>
  <si>
    <t>1CZ04000RP</t>
  </si>
  <si>
    <t>SOPLAGWK035918</t>
  </si>
  <si>
    <t>GPC000035918</t>
  </si>
  <si>
    <t>1CZ0400134</t>
  </si>
  <si>
    <t>SOPLAGWK035571</t>
  </si>
  <si>
    <t>GPC000035571</t>
  </si>
  <si>
    <t>PC1LZN5K</t>
  </si>
  <si>
    <t>SOPLAGWK035546</t>
  </si>
  <si>
    <t>GPC000035546</t>
  </si>
  <si>
    <t>PC1LZNR5</t>
  </si>
  <si>
    <t>SOPLAGWK035857</t>
  </si>
  <si>
    <t>GPC000035857</t>
  </si>
  <si>
    <t>1CZ04000SN</t>
  </si>
  <si>
    <t>SOPLAGWK035539</t>
  </si>
  <si>
    <t>GPC000035539</t>
  </si>
  <si>
    <t>PC1LZMDL</t>
  </si>
  <si>
    <t>SOPLAGWK035552</t>
  </si>
  <si>
    <t>GPC000035552</t>
  </si>
  <si>
    <t>PC1LZMB9</t>
  </si>
  <si>
    <t>SOPLAGWK035576</t>
  </si>
  <si>
    <t>GPC000035576</t>
  </si>
  <si>
    <t>PC1LZN0P</t>
  </si>
  <si>
    <t>SOPLAGWK035341</t>
  </si>
  <si>
    <t>GPC000035341</t>
  </si>
  <si>
    <t>PC1JFKAY</t>
  </si>
  <si>
    <t>SOPLAGWK035911</t>
  </si>
  <si>
    <t>GPC000035911</t>
  </si>
  <si>
    <t>1CZ04000JB</t>
  </si>
  <si>
    <t>SOPLAGWK035901</t>
  </si>
  <si>
    <t>GPC000035901</t>
  </si>
  <si>
    <t>1CZ04000P2</t>
  </si>
  <si>
    <t>SOPLAGWK035888</t>
  </si>
  <si>
    <t>GPC000035888</t>
  </si>
  <si>
    <t>1CZ04000Q8</t>
  </si>
  <si>
    <t>SOPLAGWK035569</t>
  </si>
  <si>
    <t>GPC000035569</t>
  </si>
  <si>
    <t>PC1LZMCC</t>
  </si>
  <si>
    <t>SOPLAGWK035886</t>
  </si>
  <si>
    <t>GPC000035886</t>
  </si>
  <si>
    <t>1CZ040016Z</t>
  </si>
  <si>
    <t>SOPLAGWK036088</t>
  </si>
  <si>
    <t>GPC000036088</t>
  </si>
  <si>
    <t>PC1TRTVW</t>
  </si>
  <si>
    <t>SOPLAGWK035885</t>
  </si>
  <si>
    <t>GPC000035885</t>
  </si>
  <si>
    <t>1CZ04000RJ</t>
  </si>
  <si>
    <t>SOPLAGW60019768</t>
  </si>
  <si>
    <t>CCTYRR3</t>
  </si>
  <si>
    <t>SOPLAGWK036764</t>
  </si>
  <si>
    <t>GPC000036764</t>
  </si>
  <si>
    <t>PC258R4X</t>
  </si>
  <si>
    <t>BGPC000044344P</t>
  </si>
  <si>
    <t>GPC000044344</t>
  </si>
  <si>
    <t>1T20CD2</t>
  </si>
  <si>
    <t>SOPLAGW60019806</t>
  </si>
  <si>
    <t>JCTYRR3</t>
  </si>
  <si>
    <t>SOPLAGW60019805</t>
  </si>
  <si>
    <t>GDTYRR3</t>
  </si>
  <si>
    <t>SOPLAGW60019804</t>
  </si>
  <si>
    <t>1KTYRR3</t>
  </si>
  <si>
    <t>SOPLAGW60019803</t>
  </si>
  <si>
    <t>DDTYRR3</t>
  </si>
  <si>
    <t>SOPLAGW60019797</t>
  </si>
  <si>
    <t>2BTYRR3</t>
  </si>
  <si>
    <t>SOPLAGW60019798</t>
  </si>
  <si>
    <t>GFTYRR3</t>
  </si>
  <si>
    <t>SOPLAGW60019799</t>
  </si>
  <si>
    <t>8HTYRR3</t>
  </si>
  <si>
    <t>SOPLAGW60019800</t>
  </si>
  <si>
    <t>J9TYRR3</t>
  </si>
  <si>
    <t>SOPLAGW60019801</t>
  </si>
  <si>
    <t>9GTYRR3</t>
  </si>
  <si>
    <t>SOPLAGWK036307</t>
  </si>
  <si>
    <t>GPC000036307</t>
  </si>
  <si>
    <t>PC258R6A</t>
  </si>
  <si>
    <t>BGPC000034266P</t>
  </si>
  <si>
    <t>GPC000034266</t>
  </si>
  <si>
    <t>F5TB0T2</t>
  </si>
  <si>
    <t>SOPLAGWK030420</t>
  </si>
  <si>
    <t>GPC000030420</t>
  </si>
  <si>
    <t>8C1N7C2</t>
  </si>
  <si>
    <t>SOPLAGW60019807</t>
  </si>
  <si>
    <t>3GTYRR3</t>
  </si>
  <si>
    <t>SOPLAGW60019809</t>
  </si>
  <si>
    <t>HBTYRR3</t>
  </si>
  <si>
    <t>SOPLAGW60019810</t>
  </si>
  <si>
    <t>GBTYRR3</t>
  </si>
  <si>
    <t>SOPLAGW60019808</t>
  </si>
  <si>
    <t>FBTYRR3</t>
  </si>
  <si>
    <t>SOPLAGW60019769</t>
  </si>
  <si>
    <t>7FTYRR3</t>
  </si>
  <si>
    <t>SOPLAGWK035393</t>
  </si>
  <si>
    <t>GPC000035393</t>
  </si>
  <si>
    <t>PC1P3YBV</t>
  </si>
  <si>
    <t>SOPLAGW60019766</t>
  </si>
  <si>
    <t>7LTYRR3</t>
  </si>
  <si>
    <t>SOPLAGW60019767</t>
  </si>
  <si>
    <t>9CTYRR3</t>
  </si>
  <si>
    <t>SOPLAGWK0025936</t>
  </si>
  <si>
    <t>GPC000025936</t>
  </si>
  <si>
    <t>PBXNNTF</t>
  </si>
  <si>
    <t>SOPLAGWK036760</t>
  </si>
  <si>
    <t>GPC000036760</t>
  </si>
  <si>
    <t>PC258R48</t>
  </si>
  <si>
    <t>GPC000036763</t>
  </si>
  <si>
    <t>PC258HKZ</t>
  </si>
  <si>
    <t>SOPLAGW60019695</t>
  </si>
  <si>
    <t>2KTYRR3</t>
  </si>
  <si>
    <t>SOPLAGW60019696</t>
  </si>
  <si>
    <t>G9TYRR3</t>
  </si>
  <si>
    <t>SOPLAGW60019709</t>
  </si>
  <si>
    <t>DCTYRR3</t>
  </si>
  <si>
    <t>SOPLAGW60019710</t>
  </si>
  <si>
    <t>GGTYRR3</t>
  </si>
  <si>
    <t>SOPLAGW60019711</t>
  </si>
  <si>
    <t>7HTYRR3</t>
  </si>
  <si>
    <t>SOPLAGW60019712</t>
  </si>
  <si>
    <t>JDTYRR3</t>
  </si>
  <si>
    <t>SOPLAGW60019713</t>
  </si>
  <si>
    <t>3LTYRR3</t>
  </si>
  <si>
    <t>SOPLAGW60019714</t>
  </si>
  <si>
    <t>HJTYRR3</t>
  </si>
  <si>
    <t>SOPLAGW60019715</t>
  </si>
  <si>
    <t>6LTYRR3</t>
  </si>
  <si>
    <t>SOPLAGW60019716</t>
  </si>
  <si>
    <t>DBTYRR3</t>
  </si>
  <si>
    <t>SOPLAGW60019717</t>
  </si>
  <si>
    <t>8KTYRR3</t>
  </si>
  <si>
    <t>SOPLAGW60019718</t>
  </si>
  <si>
    <t>HFTYRR3</t>
  </si>
  <si>
    <t>SOPLAGW60019719</t>
  </si>
  <si>
    <t>2GTYRR3</t>
  </si>
  <si>
    <t>SOPLAGW60019720</t>
  </si>
  <si>
    <t>5KTYRR3</t>
  </si>
  <si>
    <t>SOPLAGW60019721</t>
  </si>
  <si>
    <t>FGTYRR3</t>
  </si>
  <si>
    <t>SOPLAGW60019722</t>
  </si>
  <si>
    <t>BDTYRR3</t>
  </si>
  <si>
    <t>SOPLAGW60019723</t>
  </si>
  <si>
    <t>9KTYRR3</t>
  </si>
  <si>
    <t>SOPLAGW60019724</t>
  </si>
  <si>
    <t>1BTYRR3</t>
  </si>
  <si>
    <t>SOPLAGW60019725</t>
  </si>
  <si>
    <t>4BTYRR3</t>
  </si>
  <si>
    <t>SOPLAGW60019726</t>
  </si>
  <si>
    <t>8JTYRR3</t>
  </si>
  <si>
    <t>SOPLAGW60019727</t>
  </si>
  <si>
    <t>5FTYRR3</t>
  </si>
  <si>
    <t>SOPLAGW60019728</t>
  </si>
  <si>
    <t>4HTYRR3</t>
  </si>
  <si>
    <t>SOPLAGW60019729</t>
  </si>
  <si>
    <t>2JTYRR3</t>
  </si>
  <si>
    <t>SOPLAGW60019730</t>
  </si>
  <si>
    <t>8DTYRR3</t>
  </si>
  <si>
    <t>SOPLAGW60019731</t>
  </si>
  <si>
    <t>FKTYRR3</t>
  </si>
  <si>
    <t>SOPLAGW60019732</t>
  </si>
  <si>
    <t>HKTYRR3</t>
  </si>
  <si>
    <t>SOPLAGW60019733</t>
  </si>
  <si>
    <t>FDTYRR3</t>
  </si>
  <si>
    <t>SOPLAGW60019734</t>
  </si>
  <si>
    <t>DKTYRR3</t>
  </si>
  <si>
    <t>SOPLAGW60019735</t>
  </si>
  <si>
    <t>6JTYRR3</t>
  </si>
  <si>
    <t>SOPLAGW60019736</t>
  </si>
  <si>
    <t>4CTYRR3</t>
  </si>
  <si>
    <t>SOPLAGW60019737</t>
  </si>
  <si>
    <t>HHTYRR3</t>
  </si>
  <si>
    <t>SOPLAGW60019749</t>
  </si>
  <si>
    <t>DJTYRR3</t>
  </si>
  <si>
    <t>SOPLAGW60019750</t>
  </si>
  <si>
    <t>5BTYRR3</t>
  </si>
  <si>
    <t>SOPLAGW60019751</t>
  </si>
  <si>
    <t>CLTYRR3</t>
  </si>
  <si>
    <t>SOPLAGW60019752</t>
  </si>
  <si>
    <t>2DTYRR3</t>
  </si>
  <si>
    <t>SOPLAGW60019753</t>
  </si>
  <si>
    <t>D9TYRR3</t>
  </si>
  <si>
    <t>SOPLAGW60019754</t>
  </si>
  <si>
    <t>BGTYRR3</t>
  </si>
  <si>
    <t>SOPLAGW60019755</t>
  </si>
  <si>
    <t>CDTYRR3</t>
  </si>
  <si>
    <t>SOPLAGW60019756</t>
  </si>
  <si>
    <t>6KTYRR3</t>
  </si>
  <si>
    <t>SOPLAGW60019757</t>
  </si>
  <si>
    <t>CKTYRR3</t>
  </si>
  <si>
    <t>SOPLAGW60019758</t>
  </si>
  <si>
    <t>6HTYRR3</t>
  </si>
  <si>
    <t>SOPLAGW60019759</t>
  </si>
  <si>
    <t>8FTYRR3</t>
  </si>
  <si>
    <t>SOPLAGW60019760</t>
  </si>
  <si>
    <t>4KTYRR3</t>
  </si>
  <si>
    <t>SOPLAGW60019761</t>
  </si>
  <si>
    <t>1DTYRR3</t>
  </si>
  <si>
    <t>SOPLAGW60019762</t>
  </si>
  <si>
    <t>1LTYRR3</t>
  </si>
  <si>
    <t>SOPLAGW60019763</t>
  </si>
  <si>
    <t>BJTYRR3</t>
  </si>
  <si>
    <t>SOPLAGW60019764</t>
  </si>
  <si>
    <t>9FTYRR3</t>
  </si>
  <si>
    <t>SOPLAGW60019765</t>
  </si>
  <si>
    <t>3HTYRR3</t>
  </si>
  <si>
    <t>SOPLAGW60019771</t>
  </si>
  <si>
    <t>3DTYRR3</t>
  </si>
  <si>
    <t>BGPC000029811P</t>
  </si>
  <si>
    <t>GPC000029811</t>
  </si>
  <si>
    <t>3T4SG52</t>
  </si>
  <si>
    <t>SOPLAGWK035400</t>
  </si>
  <si>
    <t>GPC000035400</t>
  </si>
  <si>
    <t>PC1P3YBJ</t>
  </si>
  <si>
    <t>BGPC000032727</t>
  </si>
  <si>
    <t>GPC000032727</t>
  </si>
  <si>
    <t>7H1N7N2</t>
  </si>
  <si>
    <t>SOPLAGWK032707</t>
  </si>
  <si>
    <t>GPC000032707</t>
  </si>
  <si>
    <t>7J7Q7N2</t>
  </si>
  <si>
    <t>SOPLAGWK032708</t>
  </si>
  <si>
    <t>GPC000032708</t>
  </si>
  <si>
    <t>7JZR7N2</t>
  </si>
  <si>
    <t>SOPLAGWK032733</t>
  </si>
  <si>
    <t>GPC000032733</t>
  </si>
  <si>
    <t>7BRP7N2</t>
  </si>
  <si>
    <t>SOPLAGWK032740</t>
  </si>
  <si>
    <t>GPC000032740</t>
  </si>
  <si>
    <t>791M7N2</t>
  </si>
  <si>
    <t>SOPLAGWK033083</t>
  </si>
  <si>
    <t>GPC000033083</t>
  </si>
  <si>
    <t>794K6Q2</t>
  </si>
  <si>
    <t>SOPLAGWK033275</t>
  </si>
  <si>
    <t>GPC000033275</t>
  </si>
  <si>
    <t>BWVPLN2</t>
  </si>
  <si>
    <t>SOPLAGWK033388</t>
  </si>
  <si>
    <t>GPC000033388</t>
  </si>
  <si>
    <t>78NG6Q2</t>
  </si>
  <si>
    <t>SOPLAGWK033865</t>
  </si>
  <si>
    <t>GPC000033865</t>
  </si>
  <si>
    <t>664P8T2</t>
  </si>
  <si>
    <t>SOPLAGWK034040</t>
  </si>
  <si>
    <t>GPC000034040</t>
  </si>
  <si>
    <t>7Y3G9V2</t>
  </si>
  <si>
    <t>SOPLAGWK034826</t>
  </si>
  <si>
    <t>GPC000034826</t>
  </si>
  <si>
    <t>2472B33</t>
  </si>
  <si>
    <t>SOPLAGWK034828</t>
  </si>
  <si>
    <t>GPC000034828</t>
  </si>
  <si>
    <t>248Z933</t>
  </si>
  <si>
    <t>SOPLAGWK034821</t>
  </si>
  <si>
    <t>GPC000034821</t>
  </si>
  <si>
    <t>244W963</t>
  </si>
  <si>
    <t>SOPLAGWK034823</t>
  </si>
  <si>
    <t>GPC000034823</t>
  </si>
  <si>
    <t>2480B33</t>
  </si>
  <si>
    <t>SOPLAGWK034806</t>
  </si>
  <si>
    <t>GPC000034806</t>
  </si>
  <si>
    <t>2451B33</t>
  </si>
  <si>
    <t>SOPLAGWK034820</t>
  </si>
  <si>
    <t>GPC000034820</t>
  </si>
  <si>
    <t>245Z933</t>
  </si>
  <si>
    <t>GPC000034098</t>
  </si>
  <si>
    <t>7YCD9V2</t>
  </si>
  <si>
    <t>Spare - outdated</t>
  </si>
  <si>
    <t>SOPLAGWK035348</t>
  </si>
  <si>
    <t>GPC000035348</t>
  </si>
  <si>
    <t>1s10susk0f00pc1jfn1h</t>
  </si>
  <si>
    <t>SOPLAGWK035350</t>
  </si>
  <si>
    <t>GPC000035350</t>
  </si>
  <si>
    <t>PC1JFN15</t>
  </si>
  <si>
    <t>SOPLAGWK035550</t>
  </si>
  <si>
    <t>GPC000035550</t>
  </si>
  <si>
    <t>1s10susdka00pc1lznvv</t>
  </si>
  <si>
    <t>SOPLAGWK031776</t>
  </si>
  <si>
    <t>GPC000031776</t>
  </si>
  <si>
    <t>44480J2</t>
  </si>
  <si>
    <t>SOPLAGWK031778</t>
  </si>
  <si>
    <t>GPC000031778</t>
  </si>
  <si>
    <t>44150J2</t>
  </si>
  <si>
    <t>BGPC000022844P</t>
  </si>
  <si>
    <t>GPC000022844</t>
  </si>
  <si>
    <t>PBV8157</t>
  </si>
  <si>
    <t>BGPC000033562P</t>
  </si>
  <si>
    <t>GPC000033562</t>
  </si>
  <si>
    <t>417FBS2</t>
  </si>
  <si>
    <t>BGPC000034233P</t>
  </si>
  <si>
    <t>GPC000034233</t>
  </si>
  <si>
    <t>8SW7F13</t>
  </si>
  <si>
    <t>SOPLAGWK032347</t>
  </si>
  <si>
    <t>GPC000032347</t>
  </si>
  <si>
    <t>1s10m8cto1wwpc0mjhqw</t>
  </si>
  <si>
    <t>SOPLAGWK035563</t>
  </si>
  <si>
    <t>GPC000035563</t>
  </si>
  <si>
    <t>PC1LZM8E</t>
  </si>
  <si>
    <t>SOPLAGWK036433</t>
  </si>
  <si>
    <t>GPC000036433</t>
  </si>
  <si>
    <t>1s11dbs5qf00pc258hgj</t>
  </si>
  <si>
    <t>SOPLAGWK036105</t>
  </si>
  <si>
    <t>GPC000036105</t>
  </si>
  <si>
    <t>PC1TX9JM</t>
  </si>
  <si>
    <t>SOPLAGWK035894</t>
  </si>
  <si>
    <t>GPC000035894</t>
  </si>
  <si>
    <t>1cz040016b</t>
  </si>
  <si>
    <t>Prodesk 400 GB</t>
  </si>
  <si>
    <t>SOPLAGWK036098</t>
  </si>
  <si>
    <t>GPC000036098</t>
  </si>
  <si>
    <t>SPC1TX99P</t>
  </si>
  <si>
    <t>SOPLAGWK032738</t>
  </si>
  <si>
    <t>GPC000032738</t>
  </si>
  <si>
    <t>78TT7N2</t>
  </si>
  <si>
    <t>SOPLAGWK032717</t>
  </si>
  <si>
    <t>GPC000032717</t>
  </si>
  <si>
    <t>78RQ7N2</t>
  </si>
  <si>
    <t>SOPLAGW60020648</t>
  </si>
  <si>
    <t>GM05CKDS</t>
  </si>
  <si>
    <t>ThinkCentre M70s Gen3</t>
  </si>
  <si>
    <t>SOPLAGW60020650</t>
  </si>
  <si>
    <t>GM05CBK5</t>
  </si>
  <si>
    <t>SOPLAGW60020651</t>
  </si>
  <si>
    <t>GM05CFB2</t>
  </si>
  <si>
    <t>SOPLAGW60020652</t>
  </si>
  <si>
    <t>GM05CEK4</t>
  </si>
  <si>
    <t>SOPLAGW60020653</t>
  </si>
  <si>
    <t>GM05CFB4</t>
  </si>
  <si>
    <t>SOPLAGW60020654</t>
  </si>
  <si>
    <t>GM05CBRG</t>
  </si>
  <si>
    <t>SOPLAGW60020655</t>
  </si>
  <si>
    <t>GM05H4WK</t>
  </si>
  <si>
    <t>SOPLAGW60020656</t>
  </si>
  <si>
    <t>GM05CBT7</t>
  </si>
  <si>
    <t>SOPLAGW60020660</t>
  </si>
  <si>
    <t>GM05CBMC</t>
  </si>
  <si>
    <t>SOPLAGW60020661</t>
  </si>
  <si>
    <t>GM05CKGC</t>
  </si>
  <si>
    <t>SOPLAGW60020662</t>
  </si>
  <si>
    <t>GM05CFBA</t>
  </si>
  <si>
    <t>SOPLAGW60020663</t>
  </si>
  <si>
    <t>GM05CBRH</t>
  </si>
  <si>
    <t>SOPLAGW60020664</t>
  </si>
  <si>
    <t>GM05CBT9</t>
  </si>
  <si>
    <t>SOPLAGW60020665</t>
  </si>
  <si>
    <t>GM05CFCA</t>
  </si>
  <si>
    <t>SOPLAGW60020667</t>
  </si>
  <si>
    <t>GM05CBTD</t>
  </si>
  <si>
    <t>SOPLAGW60020668</t>
  </si>
  <si>
    <t>GM05CBT6</t>
  </si>
  <si>
    <t>SOPLAGW60020669</t>
  </si>
  <si>
    <t>GM05CBPK</t>
  </si>
  <si>
    <t>SOPLAGW60020670</t>
  </si>
  <si>
    <t>GM05CBRA</t>
  </si>
  <si>
    <t>SOPLAGW60020671</t>
  </si>
  <si>
    <t>GM05CKLS</t>
  </si>
  <si>
    <t>SOPLAGW60020431</t>
  </si>
  <si>
    <t>GM05CKGV</t>
  </si>
  <si>
    <t>SOPLAGW60020432</t>
  </si>
  <si>
    <t>GM05CKJT</t>
  </si>
  <si>
    <t>SOPLAGW60020657</t>
  </si>
  <si>
    <t>GM05CBPL</t>
  </si>
  <si>
    <t>SOPLAGW60020658</t>
  </si>
  <si>
    <t>GM05CBK4</t>
  </si>
  <si>
    <t>SOPLAGW60020659</t>
  </si>
  <si>
    <t>GM05CBRK</t>
  </si>
  <si>
    <t>SOPLAGW60020911</t>
  </si>
  <si>
    <t>GM0CPWXJ</t>
  </si>
  <si>
    <t>SOPLAGW60020912</t>
  </si>
  <si>
    <t>GM0CPX4Y</t>
  </si>
  <si>
    <t>SOPLAGW60020913</t>
  </si>
  <si>
    <t>GM0CPX4T</t>
  </si>
  <si>
    <t>SOPLAGWK035890</t>
  </si>
  <si>
    <t>GPC000035890</t>
  </si>
  <si>
    <t>1CZ04000Z3</t>
  </si>
  <si>
    <t>BGPC000026738P</t>
  </si>
  <si>
    <t>GPC000026738</t>
  </si>
  <si>
    <t>PB4CW7Z</t>
  </si>
  <si>
    <t>SOPLAGW60020687</t>
  </si>
  <si>
    <t>GM05H4X9</t>
  </si>
  <si>
    <t>SOPLAGW60020688</t>
  </si>
  <si>
    <t>GM05CFB7</t>
  </si>
  <si>
    <t>SOPLAGW60020689</t>
  </si>
  <si>
    <t>GM05CEL2</t>
  </si>
  <si>
    <t>SOPLAGW60020690</t>
  </si>
  <si>
    <t>GM05H4WB</t>
  </si>
  <si>
    <t>SOPLAGW60020691</t>
  </si>
  <si>
    <t>GM05CBPC</t>
  </si>
  <si>
    <t>SOPLAGW60020692</t>
  </si>
  <si>
    <t>GM0582QS</t>
  </si>
  <si>
    <t>SOPLAGW60020693</t>
  </si>
  <si>
    <t>GM05CBRQ</t>
  </si>
  <si>
    <t>SOPLAGW60020694</t>
  </si>
  <si>
    <t>GM05CBRP</t>
  </si>
  <si>
    <t>SOPLAGW60020695</t>
  </si>
  <si>
    <t>GM05CKH1</t>
  </si>
  <si>
    <t>SOPLAGW60020696</t>
  </si>
  <si>
    <t>GM05CBT2</t>
  </si>
  <si>
    <t>SOPLAGW60021008</t>
  </si>
  <si>
    <t>GM0CPWZL</t>
  </si>
  <si>
    <t>SOPLAGW60021009</t>
  </si>
  <si>
    <t>GM0CPX0T</t>
  </si>
  <si>
    <t>SOPLAGW60021010</t>
  </si>
  <si>
    <t>GM0CPWVJ</t>
  </si>
  <si>
    <t>SOPLAGW60021011</t>
  </si>
  <si>
    <t>GM0CPX5A</t>
  </si>
  <si>
    <t>SOPLAGW60021012</t>
  </si>
  <si>
    <t>GM0CPWVR</t>
  </si>
  <si>
    <t>SOPLAGW60021013</t>
  </si>
  <si>
    <t>GM0CPWVX</t>
  </si>
  <si>
    <t>SOPLAGW60021014</t>
  </si>
  <si>
    <t>GM0CPX38</t>
  </si>
  <si>
    <t>SOPLAGW60021015</t>
  </si>
  <si>
    <t>GM0CPWXT</t>
  </si>
  <si>
    <t>SOPLAGW60021016</t>
  </si>
  <si>
    <t>GM0CPX4N</t>
  </si>
  <si>
    <t>SOPLAGW60021017</t>
  </si>
  <si>
    <t>GM0CPWZR</t>
  </si>
  <si>
    <t>SOPLAGW60021018</t>
  </si>
  <si>
    <t>GM0CPWXB</t>
  </si>
  <si>
    <t>SOPLAGW60021019</t>
  </si>
  <si>
    <t>GM0CPX3Z</t>
  </si>
  <si>
    <t>SOPLAGW60021020</t>
  </si>
  <si>
    <t>GM0CPX08</t>
  </si>
  <si>
    <t>SOPLAGW60021021</t>
  </si>
  <si>
    <t>GM0CPX06</t>
  </si>
  <si>
    <t>SOPLAGW60021022</t>
  </si>
  <si>
    <t>GM0CPX0R</t>
  </si>
  <si>
    <t>SOPLAGW60021023</t>
  </si>
  <si>
    <t>GM0CPX4W</t>
  </si>
  <si>
    <t>SOPLAGW60021024</t>
  </si>
  <si>
    <t>GM0CPX4R</t>
  </si>
  <si>
    <t>SOPLAGW60021025</t>
  </si>
  <si>
    <t>GM0CPWRL</t>
  </si>
  <si>
    <t>SOPLAGW60021026</t>
  </si>
  <si>
    <t>GM0CPWZH</t>
  </si>
  <si>
    <t>SOPLAGW60021027</t>
  </si>
  <si>
    <t>GM0CPWVK</t>
  </si>
  <si>
    <t>SOPLAGW60021028</t>
  </si>
  <si>
    <t>GM0CPX04</t>
  </si>
  <si>
    <t>SOPLAGW60021029</t>
  </si>
  <si>
    <t>GM0CPX53</t>
  </si>
  <si>
    <t>SOPLAGW60021030</t>
  </si>
  <si>
    <t>GM0CPWVV</t>
  </si>
  <si>
    <t>SOPLAGW60021031</t>
  </si>
  <si>
    <t>GM0CPWRQ</t>
  </si>
  <si>
    <t>SOPLAGW60020647</t>
  </si>
  <si>
    <t>GM05CKFZ</t>
  </si>
  <si>
    <t>SOPLAGW60020666</t>
  </si>
  <si>
    <t>GM05CBT8</t>
  </si>
  <si>
    <t>SOPLAGW60020672</t>
  </si>
  <si>
    <t>GM05CKGF</t>
  </si>
  <si>
    <t>SOPLAGW60020673</t>
  </si>
  <si>
    <t>MG05CKE1</t>
  </si>
  <si>
    <t>SOPLAGW60020674</t>
  </si>
  <si>
    <t>GM05CKN2</t>
  </si>
  <si>
    <t>SOPLAGW60020675</t>
  </si>
  <si>
    <t>GM05CBM6</t>
  </si>
  <si>
    <t>SOPLAGW60020676</t>
  </si>
  <si>
    <t>GM05CBRM</t>
  </si>
  <si>
    <t>SOPLAGW60020677</t>
  </si>
  <si>
    <t>GM05H4V6</t>
  </si>
  <si>
    <t>SOPLAGW60020678</t>
  </si>
  <si>
    <t>GM05CKGD</t>
  </si>
  <si>
    <t>SOPLAGW60020679</t>
  </si>
  <si>
    <t>GM05CFAF</t>
  </si>
  <si>
    <t>SOPLAGW60020680</t>
  </si>
  <si>
    <t>GM05CBRB</t>
  </si>
  <si>
    <t>SOPLAGW60020681</t>
  </si>
  <si>
    <t>GM05CKE3</t>
  </si>
  <si>
    <t>SOPLAGW60020682</t>
  </si>
  <si>
    <t>GM05CKDW</t>
  </si>
  <si>
    <t>SOPLAGW60020683</t>
  </si>
  <si>
    <t>GM05CEJW</t>
  </si>
  <si>
    <t>SOPLAGW60020684</t>
  </si>
  <si>
    <t>GM05CEMZ</t>
  </si>
  <si>
    <t>SOPLAGW60020685</t>
  </si>
  <si>
    <t>GM0582QT</t>
  </si>
  <si>
    <t>SOPLAGW60020686</t>
  </si>
  <si>
    <t>GM05CFB8</t>
  </si>
  <si>
    <t>SOPLAGW60020697</t>
  </si>
  <si>
    <t>GM05H4V9</t>
  </si>
  <si>
    <t>SOPLAGW60020698</t>
  </si>
  <si>
    <t>GM05CFAG</t>
  </si>
  <si>
    <t>SOPLAGW60020699</t>
  </si>
  <si>
    <t>GM05CKM2</t>
  </si>
  <si>
    <t>SOPLAGW60020700</t>
  </si>
  <si>
    <t>GM05CKLP</t>
  </si>
  <si>
    <t>GPC000029788</t>
  </si>
  <si>
    <t>DF5SG52</t>
  </si>
  <si>
    <t>BGPC000032726P</t>
  </si>
  <si>
    <t>GPC000032726</t>
  </si>
  <si>
    <t>7GPK7N2</t>
  </si>
  <si>
    <t>SOPLAGWK033384</t>
  </si>
  <si>
    <t>GPC000033384</t>
  </si>
  <si>
    <t>79HH6Q2</t>
  </si>
  <si>
    <t>SOPLAGWK035375</t>
  </si>
  <si>
    <t>GPC000035375</t>
  </si>
  <si>
    <t>PC1P3YC7</t>
  </si>
  <si>
    <t>SOPLAGWK035381</t>
  </si>
  <si>
    <t>GPC000035381</t>
  </si>
  <si>
    <t>PC1P3YBL</t>
  </si>
  <si>
    <t>SOPLAGW60020701</t>
  </si>
  <si>
    <t>GM0582QE</t>
  </si>
  <si>
    <t>SOPLAGW60020702</t>
  </si>
  <si>
    <t>GM05CBT4</t>
  </si>
  <si>
    <t>SOPLAGW60020703</t>
  </si>
  <si>
    <t>GM05CBSY</t>
  </si>
  <si>
    <t>SOPLAGW60021404</t>
  </si>
  <si>
    <t>9LRL524</t>
  </si>
  <si>
    <t>OptiPlex Micro 7010</t>
  </si>
  <si>
    <t>SOPLAGW60021405</t>
  </si>
  <si>
    <t>8MRL524</t>
  </si>
  <si>
    <t>SOPLAGW60021406</t>
  </si>
  <si>
    <t>GYRL524</t>
  </si>
  <si>
    <t>SOPLAGW60021407</t>
  </si>
  <si>
    <t>C1SL524</t>
  </si>
  <si>
    <t>SOPLAGW60021408</t>
  </si>
  <si>
    <t>5KRL524</t>
  </si>
  <si>
    <t>SOPLAGW60021409</t>
  </si>
  <si>
    <t>6MRL524</t>
  </si>
  <si>
    <t>SOPLAGW60021410</t>
  </si>
  <si>
    <t>30SL524</t>
  </si>
  <si>
    <t>SOPLAGW60021398</t>
  </si>
  <si>
    <t>FMRL524</t>
  </si>
  <si>
    <t>SOPLAGW60021399</t>
  </si>
  <si>
    <t>2LRL524</t>
  </si>
  <si>
    <t>SOPLAGW60021400</t>
  </si>
  <si>
    <t>JLRL524</t>
  </si>
  <si>
    <t>SOPLAGW60021401</t>
  </si>
  <si>
    <t>7LRL524</t>
  </si>
  <si>
    <t>SOPLAGW60021402</t>
  </si>
  <si>
    <t>5MRL524</t>
  </si>
  <si>
    <t>SOPLAGW60021403</t>
  </si>
  <si>
    <t>FKRL524</t>
  </si>
  <si>
    <t>GPC000035733</t>
  </si>
  <si>
    <t>PC1LZQA8</t>
  </si>
  <si>
    <t>ThinkCetre M720s</t>
  </si>
  <si>
    <t>GPC000035724</t>
  </si>
  <si>
    <t>PC1LZMV5</t>
  </si>
  <si>
    <t>GPC000035734</t>
  </si>
  <si>
    <t>PC1LZNMP</t>
  </si>
  <si>
    <t>GPC000035321</t>
  </si>
  <si>
    <t>PC1JFN1E</t>
  </si>
  <si>
    <t>M720s</t>
  </si>
  <si>
    <t>GPC000035570</t>
  </si>
  <si>
    <t>PC1LZMDQ</t>
  </si>
  <si>
    <t>Think Centre M720s</t>
  </si>
  <si>
    <t>BGPC000035396</t>
  </si>
  <si>
    <t>GPC000035396</t>
  </si>
  <si>
    <t>PC1P3YBH</t>
  </si>
  <si>
    <t>SOPLAGW60021422</t>
  </si>
  <si>
    <t>FYRL524</t>
  </si>
  <si>
    <t>SOPLAGW60021423</t>
  </si>
  <si>
    <t>DZRL524</t>
  </si>
  <si>
    <t>SOPLAGW60021424</t>
  </si>
  <si>
    <t>B0SL524</t>
  </si>
  <si>
    <t>SOPLAGW60020649</t>
  </si>
  <si>
    <t>SGM05CKGS</t>
  </si>
  <si>
    <t>SOPLAGW60021412</t>
  </si>
  <si>
    <t>5LRL524</t>
  </si>
  <si>
    <t>SOPLAGW60021413</t>
  </si>
  <si>
    <t>91SL524</t>
  </si>
  <si>
    <t>SOPLAGW60021730</t>
  </si>
  <si>
    <t>GM0H1T4B</t>
  </si>
  <si>
    <t>ThinkCentre M70s Gen4</t>
  </si>
  <si>
    <t>SOPLAGW60021731</t>
  </si>
  <si>
    <t>GM0H1T6A</t>
  </si>
  <si>
    <t>SOPLAGW60021732</t>
  </si>
  <si>
    <t>GM0H1T86</t>
  </si>
  <si>
    <t>SOPLAGW60021734</t>
  </si>
  <si>
    <t>GM0H1SZQ</t>
  </si>
  <si>
    <t>SOPLAGW60021733</t>
  </si>
  <si>
    <t>GM0H1SY6</t>
  </si>
  <si>
    <t>SOPLAGW60021735</t>
  </si>
  <si>
    <t>GM0H1SY5</t>
  </si>
  <si>
    <t>SOPLAGW60021415</t>
  </si>
  <si>
    <t>4MRL524</t>
  </si>
  <si>
    <t>SOPLAGW60021414</t>
  </si>
  <si>
    <t>J0SL524</t>
  </si>
  <si>
    <t>SOPLAGW60021390</t>
  </si>
  <si>
    <t>BMRL524</t>
  </si>
  <si>
    <t>SOPLAGW60021391</t>
  </si>
  <si>
    <t>7MRL524</t>
  </si>
  <si>
    <t>SOPLAGW60021418</t>
  </si>
  <si>
    <t>CMRL524</t>
  </si>
  <si>
    <t>SOPLAGW60021419</t>
  </si>
  <si>
    <t>D0SL524</t>
  </si>
  <si>
    <t>SOPLAGW60021420</t>
  </si>
  <si>
    <t>5ZRL524</t>
  </si>
  <si>
    <t>SOPLAGW60021421</t>
  </si>
  <si>
    <t>8LRL524</t>
  </si>
  <si>
    <t>SOPLAGW60021282</t>
  </si>
  <si>
    <t>H3SL524</t>
  </si>
  <si>
    <t>SOPLAGW60022262</t>
  </si>
  <si>
    <t>SGM0Q4JJX</t>
  </si>
  <si>
    <t>ThinkCentre M70s Gen 5</t>
  </si>
  <si>
    <t>SOPLAGW60022263</t>
  </si>
  <si>
    <t>SGM0Q4JK2</t>
  </si>
  <si>
    <t>SOPLAGW60022264</t>
  </si>
  <si>
    <t>SGM0Q4JGW</t>
  </si>
  <si>
    <t>SOPLAGW60022265</t>
  </si>
  <si>
    <t>SGM0Q4JFL</t>
  </si>
  <si>
    <t>SOPLAGW60022266</t>
  </si>
  <si>
    <t>SGM0Q4JHA</t>
  </si>
  <si>
    <t>SOPLAGW60022267</t>
  </si>
  <si>
    <t>SGM0Q4MZ4</t>
  </si>
  <si>
    <t>SOPLAGW60022268</t>
  </si>
  <si>
    <t>SGM0Q4JDT</t>
  </si>
  <si>
    <t>SOPLAGW60022269</t>
  </si>
  <si>
    <t>SGM0Q4JKF</t>
  </si>
  <si>
    <t>SOPLAGW60022270</t>
  </si>
  <si>
    <t>SGM0Q4N31</t>
  </si>
  <si>
    <t>SOPLAGW60022271</t>
  </si>
  <si>
    <t>SGM0Q4N38</t>
  </si>
  <si>
    <t>SOPLAGW60022272</t>
  </si>
  <si>
    <t>SGM0Q4JFC</t>
  </si>
  <si>
    <t>SOPLAGW60022273</t>
  </si>
  <si>
    <t>SGM0Q4N2Z</t>
  </si>
  <si>
    <t>SOPLAGW60022274</t>
  </si>
  <si>
    <t>SGM0Q4N33</t>
  </si>
  <si>
    <t>SOPLAGW60022275</t>
  </si>
  <si>
    <t>SGM0Q4MZ0</t>
  </si>
  <si>
    <t>SOPLAGWK035541</t>
  </si>
  <si>
    <t>GPC000035541</t>
  </si>
  <si>
    <t>PC1LZPHN</t>
  </si>
  <si>
    <t>FCTYRR3</t>
  </si>
  <si>
    <t>For Deployment</t>
  </si>
  <si>
    <t>GM0AK9XV</t>
  </si>
  <si>
    <t>GPC000035737</t>
  </si>
  <si>
    <t>PC1LZLW0</t>
  </si>
  <si>
    <t>GPC000035726</t>
  </si>
  <si>
    <t>PC1LZQ91</t>
  </si>
  <si>
    <t>GPC000035728</t>
  </si>
  <si>
    <t>PC1LZQ7Y</t>
  </si>
  <si>
    <t>10SUSDKA00</t>
  </si>
  <si>
    <t>GPC000035738</t>
  </si>
  <si>
    <t>PC1LZQDF</t>
  </si>
  <si>
    <t>gpc000035349</t>
  </si>
  <si>
    <t>PC1JFN27</t>
  </si>
  <si>
    <t>M720</t>
  </si>
  <si>
    <t>GPC000035398</t>
  </si>
  <si>
    <t>PC1P3YC3</t>
  </si>
  <si>
    <t>GPC000035392</t>
  </si>
  <si>
    <t>PC1P3YBF</t>
  </si>
  <si>
    <t>GM0AK9YG</t>
  </si>
  <si>
    <t>Thinkcentre M70s</t>
  </si>
  <si>
    <t>GM0AK9VG</t>
  </si>
  <si>
    <t>GM0AK9Z6</t>
  </si>
  <si>
    <t>SOPLAGW60020914</t>
  </si>
  <si>
    <t>GM0CPWRN</t>
  </si>
  <si>
    <t>SOPLAGW60020915</t>
  </si>
  <si>
    <t>GM0CPX52</t>
  </si>
  <si>
    <t>SOPLAGW60020916</t>
  </si>
  <si>
    <t>GM0CPWXQ</t>
  </si>
  <si>
    <t>3MRL524</t>
  </si>
  <si>
    <t>61SL524</t>
  </si>
  <si>
    <t>9ZRL524</t>
  </si>
  <si>
    <t>40SL524</t>
  </si>
  <si>
    <t>11SL524</t>
  </si>
  <si>
    <t>ARRL524</t>
  </si>
  <si>
    <t>GM0DB1VL</t>
  </si>
  <si>
    <t>GM0DB1TB</t>
  </si>
  <si>
    <t>GM0DB1VG</t>
  </si>
  <si>
    <t>GM0DB3TX</t>
  </si>
  <si>
    <t>GM0H1SSV</t>
  </si>
  <si>
    <t>GM0DB3T1</t>
  </si>
  <si>
    <t>GM0DB1QM</t>
  </si>
  <si>
    <t>GM0DB1QZ</t>
  </si>
  <si>
    <t>GPC000035899</t>
  </si>
  <si>
    <t>1CZ04000VQ</t>
  </si>
  <si>
    <t>GPC000035342</t>
  </si>
  <si>
    <t>PC1JFMZ3</t>
  </si>
  <si>
    <t>GPC000035725</t>
  </si>
  <si>
    <t>PC1LZPV8</t>
  </si>
  <si>
    <t>SOPLAGWK035317</t>
  </si>
  <si>
    <t>GPC000035317</t>
  </si>
  <si>
    <t>PC1JFKCM</t>
  </si>
  <si>
    <t>SOPLAGW60021779</t>
  </si>
  <si>
    <t>SOPLAGW60022969</t>
  </si>
  <si>
    <t>GMOXS6A6</t>
  </si>
  <si>
    <t>SOPLAGW60022970</t>
  </si>
  <si>
    <t>GMOXS689</t>
  </si>
  <si>
    <t>SOPLAGW60022971</t>
  </si>
  <si>
    <t>GMOXS7O1</t>
  </si>
  <si>
    <t>SOPLAGW60022972</t>
  </si>
  <si>
    <t>GMOXS6ZW</t>
  </si>
  <si>
    <t>SOPLAGW60022973</t>
  </si>
  <si>
    <t>GMOXS6XM</t>
  </si>
  <si>
    <t>SOPLAGW60022974</t>
  </si>
  <si>
    <t>GMOXS62N</t>
  </si>
  <si>
    <t>SOPLAGW60022975</t>
  </si>
  <si>
    <t>GMOXS71N</t>
  </si>
  <si>
    <t>SOPLAGW60022976</t>
  </si>
  <si>
    <t>GMOXS66T</t>
  </si>
  <si>
    <t>SOPLAGW60021777</t>
  </si>
  <si>
    <t>SOPLAGW60021778</t>
  </si>
  <si>
    <t>SOPLAGW60021780</t>
  </si>
  <si>
    <t>SOPLAGW60021781</t>
  </si>
  <si>
    <t>SOPLAGW60021782</t>
  </si>
  <si>
    <t>SOPLAGW60021783</t>
  </si>
  <si>
    <t>SOPLAGW60021784</t>
  </si>
  <si>
    <t>SOPLAGW60021372</t>
  </si>
  <si>
    <t>7KRL524</t>
  </si>
  <si>
    <t>SOPLAGW60021373</t>
  </si>
  <si>
    <t>9KRL524</t>
  </si>
  <si>
    <t>SOPLAGW60021374</t>
  </si>
  <si>
    <t>JMRL524</t>
  </si>
  <si>
    <t>SOPLAGW60021375</t>
  </si>
  <si>
    <t>BKRL524</t>
  </si>
  <si>
    <t>SOPLAGW60021376</t>
  </si>
  <si>
    <t>CLRL524</t>
  </si>
  <si>
    <t>SOPLAGW60021377</t>
  </si>
  <si>
    <t>8KRL524</t>
  </si>
  <si>
    <t>SOPLAGW60021378</t>
  </si>
  <si>
    <t>GMRL524</t>
  </si>
  <si>
    <t>SOPLAGW60021379</t>
  </si>
  <si>
    <t>HMRL524</t>
  </si>
  <si>
    <t>SOPLAGW60021380</t>
  </si>
  <si>
    <t>BLRL524</t>
  </si>
  <si>
    <t>SOPLAGW60021381</t>
  </si>
  <si>
    <t>6LRL524</t>
  </si>
  <si>
    <t>SOPLAGW60021382</t>
  </si>
  <si>
    <t>6KRL524</t>
  </si>
  <si>
    <t>SOPLAGW60021383</t>
  </si>
  <si>
    <t>3LRL524</t>
  </si>
  <si>
    <t>SOPLAGW60021384</t>
  </si>
  <si>
    <t>DLRL524</t>
  </si>
  <si>
    <t>SOPLAGW60021385</t>
  </si>
  <si>
    <t>SNRL524</t>
  </si>
  <si>
    <t>SOPLAGW60021386</t>
  </si>
  <si>
    <t>1NRL524</t>
  </si>
  <si>
    <t>SOPLAGW60021387</t>
  </si>
  <si>
    <t>1MRL524</t>
  </si>
  <si>
    <t>SOPLAGW60021388</t>
  </si>
  <si>
    <t>3NRL524</t>
  </si>
  <si>
    <t>SOPLAGW60021389</t>
  </si>
  <si>
    <t>HKRL524</t>
  </si>
  <si>
    <t>SOPLAGW60021411</t>
  </si>
  <si>
    <t>SOPLAGW60021416</t>
  </si>
  <si>
    <t>SOPLAGW60021417</t>
  </si>
  <si>
    <t>SOPLAGW60021425</t>
  </si>
  <si>
    <t>SOPLAGW60021426</t>
  </si>
  <si>
    <t>SOPLAGW60021427</t>
  </si>
  <si>
    <t>SOPLAGW60022519</t>
  </si>
  <si>
    <t>GM0Q4JJZ</t>
  </si>
  <si>
    <t>Thinkcentre M70s Gen 5</t>
  </si>
  <si>
    <t>SOPLAGWK035568</t>
  </si>
  <si>
    <t>GPC000035568</t>
  </si>
  <si>
    <t>GPC000027634</t>
  </si>
  <si>
    <t>PC0FZ5BY</t>
  </si>
  <si>
    <t>Laptop</t>
  </si>
  <si>
    <t>LENOVO THINKPAD T460 NOTEBOOK</t>
  </si>
  <si>
    <t>For Disposal - not working</t>
  </si>
  <si>
    <t>GPC000026073</t>
  </si>
  <si>
    <t>1S2349CTO-PB53R0B</t>
  </si>
  <si>
    <t>Lenovo ThinkPad T430</t>
  </si>
  <si>
    <t>GPC000023106</t>
  </si>
  <si>
    <t>1S4180CTO-R8ZD61E</t>
  </si>
  <si>
    <t>Lenovo ThinkPad T420</t>
  </si>
  <si>
    <t>GPC000023691</t>
  </si>
  <si>
    <t>1S4180CTO-PBZE308</t>
  </si>
  <si>
    <t>GPC000030139</t>
  </si>
  <si>
    <t>5CG54933Y7</t>
  </si>
  <si>
    <t>HP EliteBook 840</t>
  </si>
  <si>
    <t>FB7TJ1S</t>
  </si>
  <si>
    <t>Dell Latitude D510</t>
  </si>
  <si>
    <t>GPC000000161</t>
  </si>
  <si>
    <t>8WL6S1S</t>
  </si>
  <si>
    <t>Dell Latitude D630</t>
  </si>
  <si>
    <t>GPC000016117</t>
  </si>
  <si>
    <t>9LZKV1S</t>
  </si>
  <si>
    <t>GPC000021391</t>
  </si>
  <si>
    <t>Acer TravelMate 4740</t>
  </si>
  <si>
    <t>Acer</t>
  </si>
  <si>
    <t>GPC000026453</t>
  </si>
  <si>
    <t>1S3352CTOPB6MM4W</t>
  </si>
  <si>
    <t>Lenovo ThinkPad T430u</t>
  </si>
  <si>
    <t>GPC000027637</t>
  </si>
  <si>
    <t>1S3352CTOPB6MM6V</t>
  </si>
  <si>
    <t>GPC000023874</t>
  </si>
  <si>
    <t>1S2349CTOPBXFAHX</t>
  </si>
  <si>
    <t>GPC000024272</t>
  </si>
  <si>
    <t>1s2325CTOR9T0F63</t>
  </si>
  <si>
    <t>Lenovo ThinkPad X230</t>
  </si>
  <si>
    <t>GPC000025916</t>
  </si>
  <si>
    <t>27544715 5001656</t>
  </si>
  <si>
    <t>Sony Vaio</t>
  </si>
  <si>
    <t>Sony</t>
  </si>
  <si>
    <t>GPC000025920</t>
  </si>
  <si>
    <t>27555166 5001267</t>
  </si>
  <si>
    <t>GPC000025918</t>
  </si>
  <si>
    <t>27555166 5001270</t>
  </si>
  <si>
    <t>GPC000025922</t>
  </si>
  <si>
    <t>27544715 5002973</t>
  </si>
  <si>
    <t>GPC000001096</t>
  </si>
  <si>
    <t>640M741</t>
  </si>
  <si>
    <t>Dell inspiron 1100</t>
  </si>
  <si>
    <t>GPC000024693</t>
  </si>
  <si>
    <t>1s2325CTOR9T0F64</t>
  </si>
  <si>
    <t>GPC000023675</t>
  </si>
  <si>
    <t>1S4180CTOPBZE263</t>
  </si>
  <si>
    <t>GPC000024108</t>
  </si>
  <si>
    <t>1S4180CTOPBCKRH4</t>
  </si>
  <si>
    <t>GPC000005724</t>
  </si>
  <si>
    <t>99WPP1S</t>
  </si>
  <si>
    <t>Dell Latitude D620</t>
  </si>
  <si>
    <t>GPC000033872</t>
  </si>
  <si>
    <t xml:space="preserve">HP ProBook 440 G5 </t>
  </si>
  <si>
    <t>GPC000032484</t>
  </si>
  <si>
    <t>5CD725DMWJ</t>
  </si>
  <si>
    <t>HP ProBook 440 G3</t>
  </si>
  <si>
    <t>SOPLAGLP030853</t>
  </si>
  <si>
    <t>GPC000030853</t>
  </si>
  <si>
    <t>5CG61979Q6</t>
  </si>
  <si>
    <t>HP EliteBook 840 G3</t>
  </si>
  <si>
    <t>GPC000033506</t>
  </si>
  <si>
    <t>5CD725DMX3</t>
  </si>
  <si>
    <t>GPC000029128</t>
  </si>
  <si>
    <t>GPC000030140</t>
  </si>
  <si>
    <t>GPC000031863</t>
  </si>
  <si>
    <t>5CD7182ZP4</t>
  </si>
  <si>
    <t>GPC000023867</t>
  </si>
  <si>
    <t>GPC000027638</t>
  </si>
  <si>
    <t>GPC000028700</t>
  </si>
  <si>
    <t>Lenovo ThinkPad T460</t>
  </si>
  <si>
    <t>GPC000031866</t>
  </si>
  <si>
    <t>GPC000023690</t>
  </si>
  <si>
    <t>GPC000031406</t>
  </si>
  <si>
    <t>54CG6404C7D</t>
  </si>
  <si>
    <t>GPC000032118</t>
  </si>
  <si>
    <t>5CD7201BSD</t>
  </si>
  <si>
    <t>GPC000030403</t>
  </si>
  <si>
    <t>GPC000029525</t>
  </si>
  <si>
    <t>TCAHN104CSF250EFY</t>
  </si>
  <si>
    <t>GPC000032176</t>
  </si>
  <si>
    <t>5CD7201BSN</t>
  </si>
  <si>
    <t>GPC000032434</t>
  </si>
  <si>
    <t>GPC000029524</t>
  </si>
  <si>
    <t>GPC000030227</t>
  </si>
  <si>
    <t>GPC000033518</t>
  </si>
  <si>
    <t>5CD8520XDL</t>
  </si>
  <si>
    <t>HP ProBook 440 G5</t>
  </si>
  <si>
    <t>GPC000023152</t>
  </si>
  <si>
    <t>LENOVO ThinkPad T420</t>
  </si>
  <si>
    <t>LENOVO</t>
  </si>
  <si>
    <t>GPC000026095</t>
  </si>
  <si>
    <t>LENOVO ThinkPad T430</t>
  </si>
  <si>
    <t>GPC000032394</t>
  </si>
  <si>
    <t>5CD7247H22</t>
  </si>
  <si>
    <t>GPC000027636</t>
  </si>
  <si>
    <t>LENOVO ThinkPad T430u</t>
  </si>
  <si>
    <t>GPC000029407</t>
  </si>
  <si>
    <t>GPC000023336</t>
  </si>
  <si>
    <t>GPC000026051</t>
  </si>
  <si>
    <t>GPC000029773</t>
  </si>
  <si>
    <t>For Disposal - non working</t>
  </si>
  <si>
    <t>GPC000031407</t>
  </si>
  <si>
    <t>Faded-from old inv</t>
  </si>
  <si>
    <t>5CG6442BKH</t>
  </si>
  <si>
    <t>GPC000031768</t>
  </si>
  <si>
    <t>5CG64818S4</t>
  </si>
  <si>
    <t>GPC000031443</t>
  </si>
  <si>
    <t>HP ProBook 840 G3</t>
  </si>
  <si>
    <t>GPC000032441</t>
  </si>
  <si>
    <t>5CD8024739</t>
  </si>
  <si>
    <t>GPC000029526</t>
  </si>
  <si>
    <t>For Disposal - Working</t>
  </si>
  <si>
    <t>GPC000031574</t>
  </si>
  <si>
    <t>5CG649745T</t>
  </si>
  <si>
    <t>GPC000026074</t>
  </si>
  <si>
    <t>GPC000029571</t>
  </si>
  <si>
    <t>GPC000027697</t>
  </si>
  <si>
    <t>LENOVO ThinkPad T420u</t>
  </si>
  <si>
    <t>GPC000030216</t>
  </si>
  <si>
    <t>Apple MacBook Pro</t>
  </si>
  <si>
    <t>Apple</t>
  </si>
  <si>
    <t>GPC000026224</t>
  </si>
  <si>
    <t>LENOVO ThnkPad T430u</t>
  </si>
  <si>
    <t>GPC000032433</t>
  </si>
  <si>
    <t>5CD725DMTH</t>
  </si>
  <si>
    <t>`</t>
  </si>
  <si>
    <t>GPC000031059</t>
  </si>
  <si>
    <t>5CG632237O</t>
  </si>
  <si>
    <t>GPC0000033122</t>
  </si>
  <si>
    <t>5CD725DMXC</t>
  </si>
  <si>
    <t>HP ProBook 440</t>
  </si>
  <si>
    <t>GPC000029772</t>
  </si>
  <si>
    <t>SOPLAGLP031405</t>
  </si>
  <si>
    <t>GPC000031405</t>
  </si>
  <si>
    <t>5CG6442BK2</t>
  </si>
  <si>
    <t>HP HP EliteBook 840 G3</t>
  </si>
  <si>
    <t>CGPC000032571P</t>
  </si>
  <si>
    <t>GPC000032571</t>
  </si>
  <si>
    <t>5CD725DMTX</t>
  </si>
  <si>
    <t>For Disposal - working</t>
  </si>
  <si>
    <t>SOPLAGLP031571</t>
  </si>
  <si>
    <t>GPC000031571</t>
  </si>
  <si>
    <t>5CG649745K</t>
  </si>
  <si>
    <t>B3130001440</t>
  </si>
  <si>
    <t>W8730B80X86</t>
  </si>
  <si>
    <t>Mac</t>
  </si>
  <si>
    <t>Apple iMac</t>
  </si>
  <si>
    <t>For disposal - not working</t>
  </si>
  <si>
    <t>SOPLAGLP033515</t>
  </si>
  <si>
    <t>GPC000033515</t>
  </si>
  <si>
    <t>5CD8520XF2</t>
  </si>
  <si>
    <t>HP HP ProBook 440 G5</t>
  </si>
  <si>
    <t>CGPC000032647P</t>
  </si>
  <si>
    <t>GPC000032647</t>
  </si>
  <si>
    <t>5CD725DMVB</t>
  </si>
  <si>
    <t>GPC000032431</t>
  </si>
  <si>
    <t>5CD725DMVQ</t>
  </si>
  <si>
    <t>SOPLAGLP033122</t>
  </si>
  <si>
    <t>GPC000033122</t>
  </si>
  <si>
    <t>For disposal - Working</t>
  </si>
  <si>
    <t>CGPC000032435P</t>
  </si>
  <si>
    <t>GPC000032435</t>
  </si>
  <si>
    <t>5CD725DMWM</t>
  </si>
  <si>
    <t>SOPLAGLP036270</t>
  </si>
  <si>
    <t>GPC000036270</t>
  </si>
  <si>
    <t>PF2PTKB1</t>
  </si>
  <si>
    <t>Lenovo ThinkPad L14</t>
  </si>
  <si>
    <t>SOPLAGLP036271</t>
  </si>
  <si>
    <t>GPC000036271</t>
  </si>
  <si>
    <t>PF2WT839</t>
  </si>
  <si>
    <t>SOPLAGLP036273</t>
  </si>
  <si>
    <t>GPC000036273</t>
  </si>
  <si>
    <t>PF2WS54W</t>
  </si>
  <si>
    <t>CGPC000033517P</t>
  </si>
  <si>
    <t>GPC000033517</t>
  </si>
  <si>
    <t>5CD8520XDJ</t>
  </si>
  <si>
    <t>SOPLAGLP036274</t>
  </si>
  <si>
    <t>GPC000036274</t>
  </si>
  <si>
    <t>PF2PSVFY</t>
  </si>
  <si>
    <t>SOPLAGLP036275</t>
  </si>
  <si>
    <t>GPC000036275</t>
  </si>
  <si>
    <t>PF2PV7G7</t>
  </si>
  <si>
    <t>SOPLAGLP036276</t>
  </si>
  <si>
    <t>GPC000036276</t>
  </si>
  <si>
    <t>PF2PSRYA</t>
  </si>
  <si>
    <t>SOPLAGLP036758</t>
  </si>
  <si>
    <t>GPC000036758</t>
  </si>
  <si>
    <t>PF3371ZR</t>
  </si>
  <si>
    <t>SOPLAGLP036759</t>
  </si>
  <si>
    <t>GPC000036759</t>
  </si>
  <si>
    <t>PF3375YQ</t>
  </si>
  <si>
    <t>SOPLAGLP036310</t>
  </si>
  <si>
    <t>GPC000036310</t>
  </si>
  <si>
    <t>6NRVZH3</t>
  </si>
  <si>
    <t>Dell Latitude 5420</t>
  </si>
  <si>
    <t>SOPLAGLP036734</t>
  </si>
  <si>
    <t>GPC000036734</t>
  </si>
  <si>
    <t>PF3172BG</t>
  </si>
  <si>
    <t>SOPLAGLP036841</t>
  </si>
  <si>
    <t>GPC000036841</t>
  </si>
  <si>
    <t>PF31C3E8</t>
  </si>
  <si>
    <t>AMG000000110</t>
  </si>
  <si>
    <t>PF13BTYH</t>
  </si>
  <si>
    <t>Lenovo IdeaPad S145-14API</t>
  </si>
  <si>
    <t>For Disposal - Defective</t>
  </si>
  <si>
    <t>SOPLAGLP032485</t>
  </si>
  <si>
    <t>GPC000032485</t>
  </si>
  <si>
    <t>5CD725DMW8</t>
  </si>
  <si>
    <t>For verify</t>
  </si>
  <si>
    <t>CGPC000032728P</t>
  </si>
  <si>
    <t>GPC000032728</t>
  </si>
  <si>
    <t>5CD725DMWH</t>
  </si>
  <si>
    <t>SOPLAGLP032747</t>
  </si>
  <si>
    <t>GPC000032747</t>
  </si>
  <si>
    <t>5CD725DMW3</t>
  </si>
  <si>
    <t>For temp deployment</t>
  </si>
  <si>
    <t>SOPLAGLP033545</t>
  </si>
  <si>
    <t>GPC000033545</t>
  </si>
  <si>
    <t>5CD725DMVZ</t>
  </si>
  <si>
    <t>SOPLAGLP036395</t>
  </si>
  <si>
    <t>GPC000036395</t>
  </si>
  <si>
    <t>5KZ7SG3</t>
  </si>
  <si>
    <t>Latitude 3520</t>
  </si>
  <si>
    <t>SOPLAGLP036397</t>
  </si>
  <si>
    <t>GPC000036397</t>
  </si>
  <si>
    <t>JJZ7SG3</t>
  </si>
  <si>
    <t>SOPLAGLP036398</t>
  </si>
  <si>
    <t>GPC000036398</t>
  </si>
  <si>
    <t>1YZ7SG3</t>
  </si>
  <si>
    <t>SOPLAGLP036821</t>
  </si>
  <si>
    <t>GPC000036821</t>
  </si>
  <si>
    <t>PF3ERLQM</t>
  </si>
  <si>
    <t>ThinkPad L14 Gen 2</t>
  </si>
  <si>
    <t>SOPLAGLP036832</t>
  </si>
  <si>
    <t>GPC000036832</t>
  </si>
  <si>
    <t>PF3FSQN5</t>
  </si>
  <si>
    <t>SOPLAGLP036833</t>
  </si>
  <si>
    <t>GPC000036833</t>
  </si>
  <si>
    <t>PF3F9NFA</t>
  </si>
  <si>
    <t>SOPLAGLP036834</t>
  </si>
  <si>
    <t>GPC000036834</t>
  </si>
  <si>
    <t>PF3DYCNC</t>
  </si>
  <si>
    <t>SOPLAGLP036835</t>
  </si>
  <si>
    <t>GPC000036835</t>
  </si>
  <si>
    <t>PF3DY6N3</t>
  </si>
  <si>
    <t>SOPLAGLP036836</t>
  </si>
  <si>
    <t>GPC000036836</t>
  </si>
  <si>
    <t>PF3EPQGA</t>
  </si>
  <si>
    <t>SOPLAGLP036830</t>
  </si>
  <si>
    <t>GPC000036830</t>
  </si>
  <si>
    <t>PF3F8H1T</t>
  </si>
  <si>
    <t>Lenovo Thinkpad L14 i5</t>
  </si>
  <si>
    <t>SOPLAGLP035582</t>
  </si>
  <si>
    <t>GPC000035582</t>
  </si>
  <si>
    <t>DJ7H463</t>
  </si>
  <si>
    <t>Dell Latitude 3410</t>
  </si>
  <si>
    <t>SOPLAGLP035620</t>
  </si>
  <si>
    <t>GPC000035620</t>
  </si>
  <si>
    <t>LR0DYPSA</t>
  </si>
  <si>
    <t>Lenovo ThinkBook L14</t>
  </si>
  <si>
    <t>SOPLAGL60019854</t>
  </si>
  <si>
    <t>F2X5KR3</t>
  </si>
  <si>
    <t>Dell Latitude 5430</t>
  </si>
  <si>
    <t>SOPLAGLP035646</t>
  </si>
  <si>
    <t>GPC000035646</t>
  </si>
  <si>
    <t>PF20D9DY</t>
  </si>
  <si>
    <t>SOPLAGL60019860</t>
  </si>
  <si>
    <t>4JB7KR3</t>
  </si>
  <si>
    <t>Dell Latitude 5430 i5</t>
  </si>
  <si>
    <t>SOPLAGLP036249</t>
  </si>
  <si>
    <t>GPC000036249</t>
  </si>
  <si>
    <t>SPF20BN8D</t>
  </si>
  <si>
    <t>SOPLAGLP035584</t>
  </si>
  <si>
    <t>GPC000035584</t>
  </si>
  <si>
    <t>BL7H463</t>
  </si>
  <si>
    <t>SOPLAGL60020080</t>
  </si>
  <si>
    <t>PF3YASBG</t>
  </si>
  <si>
    <t>Lenovo ThinkPad P14s Gen 3</t>
  </si>
  <si>
    <t>SOPLAGL60020081</t>
  </si>
  <si>
    <t>PF3YASCH</t>
  </si>
  <si>
    <t>SOPLAGL60020082</t>
  </si>
  <si>
    <t>PF3YASC2</t>
  </si>
  <si>
    <t>SOPLAGL60020083</t>
  </si>
  <si>
    <t>PF3YASB1</t>
  </si>
  <si>
    <t>SOPLAGLP034367</t>
  </si>
  <si>
    <t>GPC000034367</t>
  </si>
  <si>
    <t>8VN6DX2</t>
  </si>
  <si>
    <t>Dell Latitude 3490</t>
  </si>
  <si>
    <t>SOPLAGL60019856</t>
  </si>
  <si>
    <t>87X5KR3</t>
  </si>
  <si>
    <t>SOPLAGLP035585</t>
  </si>
  <si>
    <t>GPC000035585</t>
  </si>
  <si>
    <t>1L7H463</t>
  </si>
  <si>
    <t>SOPLAGLP030178</t>
  </si>
  <si>
    <t>GPC000030178</t>
  </si>
  <si>
    <t>5CG5517KDV</t>
  </si>
  <si>
    <t>HP EliteBook 840 G2</t>
  </si>
  <si>
    <t>SOPLAGLP036743</t>
  </si>
  <si>
    <t>GPC000036743</t>
  </si>
  <si>
    <t>76LXZH3</t>
  </si>
  <si>
    <t>SOPLAGLP036267</t>
  </si>
  <si>
    <t>GPC000036267</t>
  </si>
  <si>
    <t>SPF20A73V</t>
  </si>
  <si>
    <t>SOPLAGL60019815</t>
  </si>
  <si>
    <t>6086KR3</t>
  </si>
  <si>
    <t>SOPLAGL60019829</t>
  </si>
  <si>
    <t>GRF6KR3</t>
  </si>
  <si>
    <t>SOPLAGLP036248</t>
  </si>
  <si>
    <t>GPC000036248</t>
  </si>
  <si>
    <t>SPF20A725</t>
  </si>
  <si>
    <t>SOPLAGL60019825</t>
  </si>
  <si>
    <t>C5X5KR3</t>
  </si>
  <si>
    <t>SOPLAGL60019870</t>
  </si>
  <si>
    <t>16X5KR3</t>
  </si>
  <si>
    <t>AMG000000109</t>
  </si>
  <si>
    <t>PF13E456</t>
  </si>
  <si>
    <t>LENOVO 81UV</t>
  </si>
  <si>
    <t>SOPLAGL60019824</t>
  </si>
  <si>
    <t>31X5KR3</t>
  </si>
  <si>
    <t>SOPLAGLP036262</t>
  </si>
  <si>
    <t>GPC000036262</t>
  </si>
  <si>
    <t>SPF2PSE03</t>
  </si>
  <si>
    <t>SOPLAGLP035586</t>
  </si>
  <si>
    <t>GPC000035586</t>
  </si>
  <si>
    <t>3M7H463</t>
  </si>
  <si>
    <t>SOPLAGL60019827</t>
  </si>
  <si>
    <t>C186KR3</t>
  </si>
  <si>
    <t>SOPLAGL60019843</t>
  </si>
  <si>
    <t>2MF6KR3</t>
  </si>
  <si>
    <t>SOPLAGL60019842</t>
  </si>
  <si>
    <t>9JQ5KR3</t>
  </si>
  <si>
    <t>SOPLAGL60019869</t>
  </si>
  <si>
    <t>H686KR3</t>
  </si>
  <si>
    <t>SOPLAGL60019875</t>
  </si>
  <si>
    <t>J3M6KR3</t>
  </si>
  <si>
    <t>CGPC000034083P</t>
  </si>
  <si>
    <t>GPC000034083</t>
  </si>
  <si>
    <t>5CD91918C9</t>
  </si>
  <si>
    <t>Spare - Outdated</t>
  </si>
  <si>
    <t>SOPLAGLP035498</t>
  </si>
  <si>
    <t>GPC000035498</t>
  </si>
  <si>
    <t>3L7H463</t>
  </si>
  <si>
    <t>SOPLAGL60019828</t>
  </si>
  <si>
    <t>J4M6KR3</t>
  </si>
  <si>
    <t>SOPLAGL60019874</t>
  </si>
  <si>
    <t>H7M6KR3</t>
  </si>
  <si>
    <t>SOPLAGL60019864</t>
  </si>
  <si>
    <t>HCM6KR3</t>
  </si>
  <si>
    <t>DELL Laptop</t>
  </si>
  <si>
    <t>SOPLAGL60019065</t>
  </si>
  <si>
    <t>PF3L9KP5</t>
  </si>
  <si>
    <t>SOPLAGL60019868</t>
  </si>
  <si>
    <t>5K26KR3</t>
  </si>
  <si>
    <t>SOPLAGL60019832</t>
  </si>
  <si>
    <t>CWS6KR3</t>
  </si>
  <si>
    <t>SOPLAGLP031316</t>
  </si>
  <si>
    <t>GPC000031316</t>
  </si>
  <si>
    <t>5CG6404C7D</t>
  </si>
  <si>
    <t>SOPLAGL60019859</t>
  </si>
  <si>
    <t>C6X5KR3</t>
  </si>
  <si>
    <t>SOPLAGLP036260</t>
  </si>
  <si>
    <t>GPC000036260</t>
  </si>
  <si>
    <t>SPF20AJL1</t>
  </si>
  <si>
    <t>SOPLAGLP036845</t>
  </si>
  <si>
    <t>GPC000036845</t>
  </si>
  <si>
    <t>PF3LFMNW</t>
  </si>
  <si>
    <t>SOPLAGL60019830</t>
  </si>
  <si>
    <t>7N26KR3</t>
  </si>
  <si>
    <t>SOPLAGLP035583</t>
  </si>
  <si>
    <t>GPC000035583</t>
  </si>
  <si>
    <t>HJ7H463</t>
  </si>
  <si>
    <t>SOPLAGLP036255</t>
  </si>
  <si>
    <t>GPC000036255</t>
  </si>
  <si>
    <t>SPF2WSRCT</t>
  </si>
  <si>
    <t>SOPLAGLP036842</t>
  </si>
  <si>
    <t>GPC000036842</t>
  </si>
  <si>
    <t>PF31T5MK</t>
  </si>
  <si>
    <t>SOPLAGLP035581</t>
  </si>
  <si>
    <t>GPC000035581</t>
  </si>
  <si>
    <t>4K7H463</t>
  </si>
  <si>
    <t>SOPLAGL60019823</t>
  </si>
  <si>
    <t>2RF6KR3</t>
  </si>
  <si>
    <t>SOPLAGL60019883</t>
  </si>
  <si>
    <t>5KQ5KR3</t>
  </si>
  <si>
    <t>Dell Latitude 5430 i7</t>
  </si>
  <si>
    <t>SOPLAGL60019884</t>
  </si>
  <si>
    <t>BLQ5KR3</t>
  </si>
  <si>
    <t>SOPLAGL60019831</t>
  </si>
  <si>
    <t>25X5KR3</t>
  </si>
  <si>
    <t>SOPLAGLP032440</t>
  </si>
  <si>
    <t>GPC000032440</t>
  </si>
  <si>
    <t>5CD725DMXM</t>
  </si>
  <si>
    <t>SOPLAGL60020124</t>
  </si>
  <si>
    <t>GHQ5KR3</t>
  </si>
  <si>
    <t>SOPLAGL60020078</t>
  </si>
  <si>
    <t>PF3YASAH</t>
  </si>
  <si>
    <t>SOPLAGL60019835</t>
  </si>
  <si>
    <t>9686KR3</t>
  </si>
  <si>
    <t>For reallocation</t>
  </si>
  <si>
    <t>SOPLAGLP035621</t>
  </si>
  <si>
    <t>GPC000035621</t>
  </si>
  <si>
    <t>PF28G1CV</t>
  </si>
  <si>
    <t>For Disposl - Defective</t>
  </si>
  <si>
    <t>SOPLAGL60019871</t>
  </si>
  <si>
    <t>64M6KR3</t>
  </si>
  <si>
    <t>SOPLAGLP035587</t>
  </si>
  <si>
    <t>GPC000035587</t>
  </si>
  <si>
    <t>7K7H463</t>
  </si>
  <si>
    <t>SOPLAGLP036733</t>
  </si>
  <si>
    <t>GPC000036733</t>
  </si>
  <si>
    <t>PF31892Z</t>
  </si>
  <si>
    <t>SOPLAGL60019837</t>
  </si>
  <si>
    <t>9BM6KR3</t>
  </si>
  <si>
    <t>SOPLAGLP036264</t>
  </si>
  <si>
    <t>GPC000036264</t>
  </si>
  <si>
    <t>SPF20A09T</t>
  </si>
  <si>
    <t>SOPLAGLP036253</t>
  </si>
  <si>
    <t>GPC000036253</t>
  </si>
  <si>
    <t>SPF2PV11A</t>
  </si>
  <si>
    <t>SOPLAGL60019840</t>
  </si>
  <si>
    <t>2KB7KR3</t>
  </si>
  <si>
    <t>SOPLAGL60019064</t>
  </si>
  <si>
    <t>PF3L8M24</t>
  </si>
  <si>
    <t>SOPLAGL60019836</t>
  </si>
  <si>
    <t>DQ26KR3</t>
  </si>
  <si>
    <t>SOPLAGLP036481</t>
  </si>
  <si>
    <t>GPC000036481</t>
  </si>
  <si>
    <t>PF3911WA</t>
  </si>
  <si>
    <t>SOPLAGL60019850</t>
  </si>
  <si>
    <t>7X47KR3</t>
  </si>
  <si>
    <t>SOPLAGLP036259</t>
  </si>
  <si>
    <t>GPC000036259</t>
  </si>
  <si>
    <t>SPF2WQGN0</t>
  </si>
  <si>
    <t>SOPLAGLP036268</t>
  </si>
  <si>
    <t>GPC000036268</t>
  </si>
  <si>
    <t>SPF2WSCF9</t>
  </si>
  <si>
    <t>SOPLAGLP035589</t>
  </si>
  <si>
    <t>GPC000035589</t>
  </si>
  <si>
    <t>6K7H463</t>
  </si>
  <si>
    <t>SOPLAGL60019820</t>
  </si>
  <si>
    <t>BPF6KR3</t>
  </si>
  <si>
    <t>SOPLAGLP036269</t>
  </si>
  <si>
    <t>GPC000036269</t>
  </si>
  <si>
    <t>PF2WQQ32</t>
  </si>
  <si>
    <t>SOPLAGL60019858</t>
  </si>
  <si>
    <t>1R26KR3</t>
  </si>
  <si>
    <t>SOPLAGL60019816</t>
  </si>
  <si>
    <t>2LF6KR3</t>
  </si>
  <si>
    <t>SOPLAGL60019846</t>
  </si>
  <si>
    <t>JP26KR3</t>
  </si>
  <si>
    <t>SOPLAGL60019821</t>
  </si>
  <si>
    <t>6LF6KR3</t>
  </si>
  <si>
    <t>SOPLAGLP036261</t>
  </si>
  <si>
    <t>GPC000036261</t>
  </si>
  <si>
    <t>SPF2WSZBM</t>
  </si>
  <si>
    <t>SOPLAGL60019847</t>
  </si>
  <si>
    <t>3B86KR3</t>
  </si>
  <si>
    <t>SOPLAGL60019863</t>
  </si>
  <si>
    <t>47M6KR3</t>
  </si>
  <si>
    <t>SOPLAGLP036314</t>
  </si>
  <si>
    <t>GPC000036314</t>
  </si>
  <si>
    <t>PF31BTC6</t>
  </si>
  <si>
    <t>SOPLAGL60019826</t>
  </si>
  <si>
    <t>FK26KR3</t>
  </si>
  <si>
    <t>SOPLAGL60019853</t>
  </si>
  <si>
    <t>FR26KR3</t>
  </si>
  <si>
    <t>SOPLAGL60019844</t>
  </si>
  <si>
    <t>J086KR3</t>
  </si>
  <si>
    <t>SOPLAGL60019876</t>
  </si>
  <si>
    <t>9B86KR3</t>
  </si>
  <si>
    <t>SOPLAGL60019818</t>
  </si>
  <si>
    <t>HG26KR3</t>
  </si>
  <si>
    <t>SOPLAGL60019845</t>
  </si>
  <si>
    <t>DQS6KR3</t>
  </si>
  <si>
    <t>SOPLAGLP036394</t>
  </si>
  <si>
    <t>GPC000036394</t>
  </si>
  <si>
    <t>5YZ7SG3</t>
  </si>
  <si>
    <t>Dell Latitude 15 3520</t>
  </si>
  <si>
    <t>SOPLAGLP036251</t>
  </si>
  <si>
    <t>GPC000036251</t>
  </si>
  <si>
    <t>SPF2WQWKP</t>
  </si>
  <si>
    <t>SOPLAGLP036263</t>
  </si>
  <si>
    <t>GPC000036263</t>
  </si>
  <si>
    <t>SPF2WSSJ5</t>
  </si>
  <si>
    <t>SOPLAGL60019849</t>
  </si>
  <si>
    <t>2NQ5KR3</t>
  </si>
  <si>
    <t>SOPLAGL60019866</t>
  </si>
  <si>
    <t>HGQ5KR3</t>
  </si>
  <si>
    <t>SOPLAGLP035499</t>
  </si>
  <si>
    <t>GPC000035499</t>
  </si>
  <si>
    <t>FM7H463</t>
  </si>
  <si>
    <t>SOPLAGLP033546</t>
  </si>
  <si>
    <t>GPC000033546</t>
  </si>
  <si>
    <t>5CD725DMV3</t>
  </si>
  <si>
    <t>SOPLAGL60019833</t>
  </si>
  <si>
    <t>H386KR3</t>
  </si>
  <si>
    <t>SOPLAGL60019867</t>
  </si>
  <si>
    <t>7486KR3</t>
  </si>
  <si>
    <t>SOPLAGLPT033873</t>
  </si>
  <si>
    <t>GPC000033873</t>
  </si>
  <si>
    <t>5CD901637V</t>
  </si>
  <si>
    <t>SOPLAGLP035580</t>
  </si>
  <si>
    <t>GPC000035580</t>
  </si>
  <si>
    <t>HK7H463</t>
  </si>
  <si>
    <t>SOPLAGL60019855</t>
  </si>
  <si>
    <t>42X5KR3</t>
  </si>
  <si>
    <t>CGPC000034084P</t>
  </si>
  <si>
    <t>GPC000034084</t>
  </si>
  <si>
    <t>5CD91918C0</t>
  </si>
  <si>
    <t>SOPLAGL60019857</t>
  </si>
  <si>
    <t>HNQ5KR3</t>
  </si>
  <si>
    <t>SOPLAGL60019879</t>
  </si>
  <si>
    <t>JLQ5KR3</t>
  </si>
  <si>
    <t>SOPLAGLP036266</t>
  </si>
  <si>
    <t>GPC000036266</t>
  </si>
  <si>
    <t>SPF2PT9FK</t>
  </si>
  <si>
    <t>SOPLAGL60019834</t>
  </si>
  <si>
    <t>9286KR3</t>
  </si>
  <si>
    <t>SOPLAGLP033874</t>
  </si>
  <si>
    <t>GPC000033874</t>
  </si>
  <si>
    <t>5CD901637T</t>
  </si>
  <si>
    <t>SOPLAGL60019881</t>
  </si>
  <si>
    <t>10K5KR3</t>
  </si>
  <si>
    <t>SOPLAGLP035784</t>
  </si>
  <si>
    <t>GPC000035784</t>
  </si>
  <si>
    <t>PF2FBPRM</t>
  </si>
  <si>
    <t>For allocation</t>
  </si>
  <si>
    <t>SOPLAGL60019882</t>
  </si>
  <si>
    <t>8FQ5KR3</t>
  </si>
  <si>
    <t>SOPLAGL60019841</t>
  </si>
  <si>
    <t>JJ26KR3</t>
  </si>
  <si>
    <t>SOPLAGL60019865</t>
  </si>
  <si>
    <t>H786KR3</t>
  </si>
  <si>
    <t>SOPLAGL60019862</t>
  </si>
  <si>
    <t>7886KR3</t>
  </si>
  <si>
    <t>SOPLAGLP036309</t>
  </si>
  <si>
    <t>GPC000036309</t>
  </si>
  <si>
    <t>PF32CDGD</t>
  </si>
  <si>
    <t>SOPLAGL60019880</t>
  </si>
  <si>
    <t>GMQ5KR3</t>
  </si>
  <si>
    <t>SOPLAGL60019838</t>
  </si>
  <si>
    <t>9S26KR3</t>
  </si>
  <si>
    <t>SOPLAGLP036254</t>
  </si>
  <si>
    <t>GPC000036254</t>
  </si>
  <si>
    <t>SPF2WVYJH</t>
  </si>
  <si>
    <t>SOPLAGLP035588</t>
  </si>
  <si>
    <t>GPC000035588</t>
  </si>
  <si>
    <t>2M7H463</t>
  </si>
  <si>
    <t>SOPLAGLP036252</t>
  </si>
  <si>
    <t>GPC000036252</t>
  </si>
  <si>
    <t>SPF2WWEG5</t>
  </si>
  <si>
    <t>SOPLAGL60019839</t>
  </si>
  <si>
    <t>4L26KR3</t>
  </si>
  <si>
    <t>SOPLAGL60020079</t>
  </si>
  <si>
    <t>PF3YASA2</t>
  </si>
  <si>
    <t>SOPLAGLP036265</t>
  </si>
  <si>
    <t>GPC000036265</t>
  </si>
  <si>
    <t>SPF2WRPC2</t>
  </si>
  <si>
    <t>SOPLAGL60019872</t>
  </si>
  <si>
    <t>C786KR3</t>
  </si>
  <si>
    <t>SOPLAGLP035610</t>
  </si>
  <si>
    <t>GPC000035610</t>
  </si>
  <si>
    <t>LR0DYQM2</t>
  </si>
  <si>
    <t>LENOVO 20RV</t>
  </si>
  <si>
    <t>SOPLAGL60019873</t>
  </si>
  <si>
    <t>DQF6KR3</t>
  </si>
  <si>
    <t>SOPLAGLP036732</t>
  </si>
  <si>
    <t>GPC000036732</t>
  </si>
  <si>
    <t>PF31BWM5</t>
  </si>
  <si>
    <t>LENOVO 20X2S0MC00</t>
  </si>
  <si>
    <t>SOPLAGLP036256</t>
  </si>
  <si>
    <t>GPC000036256</t>
  </si>
  <si>
    <t>SPF2WT85X</t>
  </si>
  <si>
    <t>SOPLAGL60020148</t>
  </si>
  <si>
    <t>PF3F06AB</t>
  </si>
  <si>
    <t>Lenovo Thinkpad E14</t>
  </si>
  <si>
    <t>SOPLAGL60020150</t>
  </si>
  <si>
    <t>PF3GEE11</t>
  </si>
  <si>
    <t>SOPLAGL60020142</t>
  </si>
  <si>
    <t>PF3F0ASJ</t>
  </si>
  <si>
    <t>SOPLAGL60020250</t>
  </si>
  <si>
    <t>PF41FKYY</t>
  </si>
  <si>
    <t>SOPLAGL60020251</t>
  </si>
  <si>
    <t>PF40R6R6</t>
  </si>
  <si>
    <t>SOPLAGL60020252</t>
  </si>
  <si>
    <t>PF40R6QM</t>
  </si>
  <si>
    <t>SOPLAGL60020253</t>
  </si>
  <si>
    <t>PF40QXYX</t>
  </si>
  <si>
    <t>SOPLAGL60020254</t>
  </si>
  <si>
    <t>PF40QVQB</t>
  </si>
  <si>
    <t>SOPLAGL60020255</t>
  </si>
  <si>
    <t>PF40QY0Q</t>
  </si>
  <si>
    <t>IT Area</t>
  </si>
  <si>
    <t>SOPLAGL60020256</t>
  </si>
  <si>
    <t>PF40R9PT</t>
  </si>
  <si>
    <t>SOPLAGL60020257</t>
  </si>
  <si>
    <t>PF40R9P9</t>
  </si>
  <si>
    <t>SOPLAGL60020258</t>
  </si>
  <si>
    <t>PF40R4FQ</t>
  </si>
  <si>
    <t>SOPLAGL60020262</t>
  </si>
  <si>
    <t>PF41FD5G</t>
  </si>
  <si>
    <t>SOPLAGL60020264</t>
  </si>
  <si>
    <t>PF41VRH0</t>
  </si>
  <si>
    <t>SOPLAGL60020297</t>
  </si>
  <si>
    <t>PF4A1GXP</t>
  </si>
  <si>
    <t>SOPLAGL60020433</t>
  </si>
  <si>
    <t>SPF4BGJBK</t>
  </si>
  <si>
    <t>Lenovo NoteBook Thinkpad E14 Gen4 i5</t>
  </si>
  <si>
    <t>SOPLAGL60020434</t>
  </si>
  <si>
    <t>SPF4BGBEC</t>
  </si>
  <si>
    <t>SOPLAGL60020435</t>
  </si>
  <si>
    <t>SPF4BGBDH</t>
  </si>
  <si>
    <t>SOPLAGL60020436</t>
  </si>
  <si>
    <t>SPF4BGDL0</t>
  </si>
  <si>
    <t>SOPLAGL60020437</t>
  </si>
  <si>
    <t>SPF4BGDP5</t>
  </si>
  <si>
    <t>SOPLAGL60020438</t>
  </si>
  <si>
    <t>SPF4BGNV8</t>
  </si>
  <si>
    <t>SOPLAGL60020439</t>
  </si>
  <si>
    <t>SPF4BGTDY</t>
  </si>
  <si>
    <t>SOPLAGL60020440</t>
  </si>
  <si>
    <t>SPF4BGFXG</t>
  </si>
  <si>
    <t>SOPLAGL60020442</t>
  </si>
  <si>
    <t>SPF4BGTCH</t>
  </si>
  <si>
    <t>SOPLAGL60020443</t>
  </si>
  <si>
    <t>SPF4BGJD8</t>
  </si>
  <si>
    <t>SOPLAGL60020445</t>
  </si>
  <si>
    <t>SPF4BGJF0</t>
  </si>
  <si>
    <t>SOPLAGL60020446</t>
  </si>
  <si>
    <t>SPF4BGLKA</t>
  </si>
  <si>
    <t>SOPLAGL60020447</t>
  </si>
  <si>
    <t>SPF4BGBEX</t>
  </si>
  <si>
    <t>SOPLAGL60020448</t>
  </si>
  <si>
    <t>SPF4BGBCW</t>
  </si>
  <si>
    <t>SOPLAGL60020450</t>
  </si>
  <si>
    <t>SPF4BGBDQ</t>
  </si>
  <si>
    <t>SOPLAGL60020451</t>
  </si>
  <si>
    <t>SPF4BGFZJ</t>
  </si>
  <si>
    <t>SOPLAGL60020452</t>
  </si>
  <si>
    <t>SPF4BGR3R</t>
  </si>
  <si>
    <t>SOPLAGL60020453</t>
  </si>
  <si>
    <t>SPF4BGLLT</t>
  </si>
  <si>
    <t>SOPLAGL60020455</t>
  </si>
  <si>
    <t>SPF4BGBFL</t>
  </si>
  <si>
    <t>SOPLAGL60020456</t>
  </si>
  <si>
    <t>SPF4BGBD1</t>
  </si>
  <si>
    <t>SOPLAGL60020619</t>
  </si>
  <si>
    <t>SPF4C6R76</t>
  </si>
  <si>
    <t>Lenovo NoteBook Thinkpad E14 Gen4 i7</t>
  </si>
  <si>
    <t>SOPLAGL60020620</t>
  </si>
  <si>
    <t>SPF4C7DLV</t>
  </si>
  <si>
    <t>SOPLAGL60020621</t>
  </si>
  <si>
    <t>SPF4C7DJD</t>
  </si>
  <si>
    <t>SOPLAGL60020622</t>
  </si>
  <si>
    <t>SPF4C793Q</t>
  </si>
  <si>
    <t>SOPLAGL60020244</t>
  </si>
  <si>
    <t>PF40R099</t>
  </si>
  <si>
    <t>Lenovo ThinkPad E14 Gen4</t>
  </si>
  <si>
    <t>SOPLAGLP036396</t>
  </si>
  <si>
    <t>GPC000036396</t>
  </si>
  <si>
    <t>6YZ7SG3</t>
  </si>
  <si>
    <t>Dell Latitude 3520</t>
  </si>
  <si>
    <t>SOPLAGLP036257</t>
  </si>
  <si>
    <t>GPC000036257</t>
  </si>
  <si>
    <t>SPF2PSE0Z</t>
  </si>
  <si>
    <t>SOPLAGL60019819</t>
  </si>
  <si>
    <t>7NF6KR3</t>
  </si>
  <si>
    <t>SOPLAGL60019817</t>
  </si>
  <si>
    <t>4PF6KR3</t>
  </si>
  <si>
    <t>SOPLAGL60019822</t>
  </si>
  <si>
    <t>GYW5KR3</t>
  </si>
  <si>
    <t>SOPLAGL60020454</t>
  </si>
  <si>
    <t>SPF4BGR7Z</t>
  </si>
  <si>
    <t>SOPLAGL60020467</t>
  </si>
  <si>
    <t>SPF4BGFX3</t>
  </si>
  <si>
    <t>SOPLAGL60020617</t>
  </si>
  <si>
    <t>SPF4C6J7H</t>
  </si>
  <si>
    <t>SOPLAGL60020618</t>
  </si>
  <si>
    <t>SPF4C7DLQ</t>
  </si>
  <si>
    <t>SOPLAGLP032748</t>
  </si>
  <si>
    <t>GPC000032748</t>
  </si>
  <si>
    <t>5CD725DMX0</t>
  </si>
  <si>
    <t>SOPLAGLP034375</t>
  </si>
  <si>
    <t>GPC000034375</t>
  </si>
  <si>
    <t>97H2DX2</t>
  </si>
  <si>
    <t>Latitude 3490</t>
  </si>
  <si>
    <t>SOPLAGLP035602</t>
  </si>
  <si>
    <t>GPC000035602</t>
  </si>
  <si>
    <t>ThinkPad L14 Gen 1</t>
  </si>
  <si>
    <t>SOPLAGLPT034142</t>
  </si>
  <si>
    <t>GPC000034142</t>
  </si>
  <si>
    <t>CVC5DX2</t>
  </si>
  <si>
    <t>Dell Latitude 3490 i5</t>
  </si>
  <si>
    <t>CGPC000033348P</t>
  </si>
  <si>
    <t>GPC000033348</t>
  </si>
  <si>
    <t>5CD725DMXJ</t>
  </si>
  <si>
    <t>SOPLAGL60019861</t>
  </si>
  <si>
    <t>6057KR3</t>
  </si>
  <si>
    <t>SOPLAGL60019851</t>
  </si>
  <si>
    <t>D6M6KR3</t>
  </si>
  <si>
    <t>SOPLAGL60020125</t>
  </si>
  <si>
    <t>J586KR3</t>
  </si>
  <si>
    <t>SOPLAGL60019885</t>
  </si>
  <si>
    <t>4YJ5KR3</t>
  </si>
  <si>
    <t>IT Spare</t>
  </si>
  <si>
    <t>SOPLAGL60019886</t>
  </si>
  <si>
    <t>FJQ5KR3</t>
  </si>
  <si>
    <t>SOPLAGLP033516</t>
  </si>
  <si>
    <t>GPC000033516</t>
  </si>
  <si>
    <t>5CD8520XD7</t>
  </si>
  <si>
    <t>SOPLAGLP036250</t>
  </si>
  <si>
    <t>GPC000036250</t>
  </si>
  <si>
    <t>SPF2WSVYA</t>
  </si>
  <si>
    <t>SOPLAGLP035590</t>
  </si>
  <si>
    <t>GPC000035590</t>
  </si>
  <si>
    <t>8K7H463</t>
  </si>
  <si>
    <t>SOPLAGLP035497</t>
  </si>
  <si>
    <t>GPC000035497</t>
  </si>
  <si>
    <t>1K7H463</t>
  </si>
  <si>
    <t>CGPC000033875P</t>
  </si>
  <si>
    <t>GPC000033875</t>
  </si>
  <si>
    <t>5CD9016380</t>
  </si>
  <si>
    <t>SOPLAGL60019848</t>
  </si>
  <si>
    <t>FKQ5KR3</t>
  </si>
  <si>
    <t>SOPLAGLP036272</t>
  </si>
  <si>
    <t>GPC000036272</t>
  </si>
  <si>
    <t>PFWVVAQ</t>
  </si>
  <si>
    <t>SOPLAGL60019852</t>
  </si>
  <si>
    <t>GFZ6KR3</t>
  </si>
  <si>
    <t>SOPLAGL60020151</t>
  </si>
  <si>
    <t>PF3E7V1V</t>
  </si>
  <si>
    <t>SOPLAGL60020259</t>
  </si>
  <si>
    <t>PF41FHNK</t>
  </si>
  <si>
    <t>SOPLAGL60020260</t>
  </si>
  <si>
    <t>PF40R4H5</t>
  </si>
  <si>
    <t>SOPLAGL60020261</t>
  </si>
  <si>
    <t>PF41F22C</t>
  </si>
  <si>
    <t>SOPLAGL60020263</t>
  </si>
  <si>
    <t>PF41VRFA</t>
  </si>
  <si>
    <t>SOPLAGL60020265</t>
  </si>
  <si>
    <t>PF40R6ST</t>
  </si>
  <si>
    <t>SOPLAGL60020444</t>
  </si>
  <si>
    <t>SPF4BGDPX</t>
  </si>
  <si>
    <t>SOPLAGL60020457</t>
  </si>
  <si>
    <t>SPF4BGDN7</t>
  </si>
  <si>
    <t>SOPLAGL60020458</t>
  </si>
  <si>
    <t>SPF4BGJE2</t>
  </si>
  <si>
    <t>SOPLAGL60020459</t>
  </si>
  <si>
    <t>SPF4BGDMV</t>
  </si>
  <si>
    <t>SOPLAGL60020460</t>
  </si>
  <si>
    <t>SPF4BGBF3</t>
  </si>
  <si>
    <t>SOPLAGL60020461</t>
  </si>
  <si>
    <t>SPF4BGR6P</t>
  </si>
  <si>
    <t>SOPLAGL60020462</t>
  </si>
  <si>
    <t>SPF4BGTDN</t>
  </si>
  <si>
    <t>SOPLAGL60020463</t>
  </si>
  <si>
    <t>SPF4BGR45</t>
  </si>
  <si>
    <t>SOPLAGL60020464</t>
  </si>
  <si>
    <t>SPF4BGNZ4</t>
  </si>
  <si>
    <t>SOPLAGL60020465</t>
  </si>
  <si>
    <t>SPF4BGFVX</t>
  </si>
  <si>
    <t>SOPLAGL60020466</t>
  </si>
  <si>
    <t>SPF4BGJCW</t>
  </si>
  <si>
    <t>SOPLAGL60020623</t>
  </si>
  <si>
    <t>SPF4C6LG1</t>
  </si>
  <si>
    <t>SOPLAGL60020624</t>
  </si>
  <si>
    <t>SPF4C7G2W</t>
  </si>
  <si>
    <t>SOPLAGL036826</t>
  </si>
  <si>
    <t>GPC000036826</t>
  </si>
  <si>
    <t>F3F2FW4</t>
  </si>
  <si>
    <t>Lenovo ThinkPad L14 Gen2</t>
  </si>
  <si>
    <t>SOPLAGLP036232</t>
  </si>
  <si>
    <t>GPC000036323</t>
  </si>
  <si>
    <t>PF2FA05B</t>
  </si>
  <si>
    <t>Lenovo ThinkPad L14 Gen1</t>
  </si>
  <si>
    <t>SOPLAGLP036258</t>
  </si>
  <si>
    <t>GPC000036258</t>
  </si>
  <si>
    <t>spf20d982</t>
  </si>
  <si>
    <t>SOPLAGL60021392</t>
  </si>
  <si>
    <t>32F4T14</t>
  </si>
  <si>
    <t>Dell Latitude 3440</t>
  </si>
  <si>
    <t>SOPLAGL60021393</t>
  </si>
  <si>
    <t>23F4T14</t>
  </si>
  <si>
    <t>SOPLAGL60021032</t>
  </si>
  <si>
    <t>SPF4QCRPG</t>
  </si>
  <si>
    <t>SOPLAGL60021033</t>
  </si>
  <si>
    <t>SPF4QCRVZ</t>
  </si>
  <si>
    <t>SOPLAGL60021034</t>
  </si>
  <si>
    <t>SPF4QCSB5</t>
  </si>
  <si>
    <t>SOPLAGL60021370</t>
  </si>
  <si>
    <t>13F4T14</t>
  </si>
  <si>
    <t>SOPLAGL60021371</t>
  </si>
  <si>
    <t>43F4T14</t>
  </si>
  <si>
    <t>SOPLAGLP036409</t>
  </si>
  <si>
    <t>GPC000036409</t>
  </si>
  <si>
    <t>PF31TJ4L</t>
  </si>
  <si>
    <t>Lenovo ThinkPad L14 Gen 2</t>
  </si>
  <si>
    <t>SOPLAGLP036369</t>
  </si>
  <si>
    <t>GPC000036369</t>
  </si>
  <si>
    <t>HYZ7SG3</t>
  </si>
  <si>
    <t>GPC000036376</t>
  </si>
  <si>
    <t>DJZ7SG3</t>
  </si>
  <si>
    <t>SOPLAGLP036405</t>
  </si>
  <si>
    <t>GPC000036405</t>
  </si>
  <si>
    <t>PF31BNSR</t>
  </si>
  <si>
    <t>SOPLAGL60022860</t>
  </si>
  <si>
    <t>PW0FDYYB</t>
  </si>
  <si>
    <t>LENOVO Thinkpad L14 Gen 5</t>
  </si>
  <si>
    <t>SOPLAGL60022861</t>
  </si>
  <si>
    <t>PW0FDYXL</t>
  </si>
  <si>
    <t>SOPLAGL60022862</t>
  </si>
  <si>
    <t>PW0FDYYP</t>
  </si>
  <si>
    <t>SOPLAGL60022962</t>
  </si>
  <si>
    <t>PW0FAVFN</t>
  </si>
  <si>
    <t>Lenovo Thinkspad L14 Gen 5</t>
  </si>
  <si>
    <t>SOPLAGL60022963</t>
  </si>
  <si>
    <t>PW0FAVE6</t>
  </si>
  <si>
    <t>SOPLAGL60022816</t>
  </si>
  <si>
    <t>PW0CXWVM</t>
  </si>
  <si>
    <t>SOPLAGL60022817</t>
  </si>
  <si>
    <t>PW0CXX02</t>
  </si>
  <si>
    <t>SOPLAGL60022818</t>
  </si>
  <si>
    <t>PW0CXX07</t>
  </si>
  <si>
    <t>SOPLAGL60022819</t>
  </si>
  <si>
    <t>PW0CXWVS</t>
  </si>
  <si>
    <t>SOPLAGL60022820</t>
  </si>
  <si>
    <t>PW0CXWW3</t>
  </si>
  <si>
    <t>SOPLAGL60022821</t>
  </si>
  <si>
    <t>PW0CXWZF</t>
  </si>
  <si>
    <t>SOPLAGL60022822</t>
  </si>
  <si>
    <t>PW0CXWZW</t>
  </si>
  <si>
    <t>SOPLAGL60022823</t>
  </si>
  <si>
    <t>PW0CXWWF</t>
  </si>
  <si>
    <t>SOPLAGL60022824</t>
  </si>
  <si>
    <t>PW0CXWY8</t>
  </si>
  <si>
    <t>SOPLAGL60022825</t>
  </si>
  <si>
    <t>PW0CXWKC</t>
  </si>
  <si>
    <t>SOPLAGL60022826</t>
  </si>
  <si>
    <t>PW0CXWJG</t>
  </si>
  <si>
    <t>SOPLAGL60022827</t>
  </si>
  <si>
    <t>PW0CXWY9</t>
  </si>
  <si>
    <t>SOPLAGL60022828</t>
  </si>
  <si>
    <t>PW0FDC58</t>
  </si>
  <si>
    <t>SOPLAGL60022829</t>
  </si>
  <si>
    <t>PW0CXWZM</t>
  </si>
  <si>
    <t>SOPLAGL60022830</t>
  </si>
  <si>
    <t>PW0CXWLH</t>
  </si>
  <si>
    <t>SOPLAGL60022894</t>
  </si>
  <si>
    <t>PW0F8R8M</t>
  </si>
  <si>
    <t>SOPLAGL60022893</t>
  </si>
  <si>
    <t>PW0F8RB4</t>
  </si>
  <si>
    <t>SOPLAGL60022895</t>
  </si>
  <si>
    <t>PW0F8R8C</t>
  </si>
  <si>
    <t>Latitude 5430</t>
  </si>
  <si>
    <t xml:space="preserve"> In stock</t>
  </si>
  <si>
    <t>GPC000036284</t>
  </si>
  <si>
    <t>GPC000036334</t>
  </si>
  <si>
    <t>AMG000000070</t>
  </si>
  <si>
    <t>SOPPQEL60019558</t>
  </si>
  <si>
    <t>SOPLAGL60020159</t>
  </si>
  <si>
    <t>PF3F041Q</t>
  </si>
  <si>
    <t>LENOVO Thinkpad L14 Gen2</t>
  </si>
  <si>
    <t>Movement</t>
  </si>
  <si>
    <t>Accessories</t>
  </si>
  <si>
    <t>Date Received</t>
  </si>
  <si>
    <t>Remarks</t>
  </si>
  <si>
    <t>Name of agent</t>
  </si>
  <si>
    <t>Agent Email Address</t>
  </si>
  <si>
    <t>Immediate Superior Email Address</t>
  </si>
  <si>
    <t>Received by EUC</t>
  </si>
  <si>
    <t>Sheet Origin</t>
  </si>
  <si>
    <t>Trasaction Date and Time</t>
  </si>
  <si>
    <t>again</t>
  </si>
  <si>
    <t>Ingress</t>
  </si>
  <si>
    <t>test again</t>
  </si>
  <si>
    <t>again test</t>
  </si>
  <si>
    <t>2/22/26</t>
  </si>
  <si>
    <t>Permanent Return</t>
  </si>
  <si>
    <t>test</t>
  </si>
  <si>
    <t>test me</t>
  </si>
  <si>
    <t>metest@straive.com</t>
  </si>
  <si>
    <t>mesuptest@straive.com</t>
  </si>
  <si>
    <t>Renato Balbutin</t>
  </si>
  <si>
    <t>test wfh</t>
  </si>
  <si>
    <t>dell test model</t>
  </si>
  <si>
    <t>Egress</t>
  </si>
  <si>
    <t>Charger, Mouse, Bag, Laptop Lock, Headset</t>
  </si>
  <si>
    <t>Laptop deployment</t>
  </si>
  <si>
    <t>Good and all working</t>
  </si>
  <si>
    <t>ren test</t>
  </si>
  <si>
    <t>rentest@straive.com</t>
  </si>
  <si>
    <t>supren@straive.com</t>
  </si>
  <si>
    <t>WFH Deployment</t>
  </si>
  <si>
    <t>TEST 123</t>
  </si>
  <si>
    <t>PERMAMENT</t>
  </si>
  <si>
    <t>TEST</t>
  </si>
  <si>
    <t>REN REST</t>
  </si>
  <si>
    <t>ren.test@straive.com</t>
  </si>
  <si>
    <t>ren.sup@straive.com</t>
  </si>
  <si>
    <t>Movement Type</t>
  </si>
  <si>
    <t>BU</t>
  </si>
  <si>
    <t>Lenovo ThinkBook 14-IML</t>
  </si>
  <si>
    <t>Charger</t>
  </si>
  <si>
    <t>Defective Keyboard</t>
  </si>
  <si>
    <t>Wilson Balbuena</t>
  </si>
  <si>
    <t>wilson.balbuena@straive.com</t>
  </si>
  <si>
    <t>John Cris Ponting</t>
  </si>
  <si>
    <t>SOPLAGWK60022272</t>
  </si>
  <si>
    <t>Lenovo ThinkCentre</t>
  </si>
  <si>
    <t>KB, Mouse, 2power cable, HDMI</t>
  </si>
  <si>
    <t>permanent return</t>
  </si>
  <si>
    <t>Shyrina Esqullio</t>
  </si>
  <si>
    <t>Shyrina.Esqullio@straive.com</t>
  </si>
  <si>
    <t>katherine.sinio@straive.com</t>
  </si>
  <si>
    <t>Ryan Mesia</t>
  </si>
  <si>
    <t>SOPLAGL60023252</t>
  </si>
  <si>
    <t>Lenovo Thinkpad L14 Gen 5</t>
  </si>
  <si>
    <t>PW0G3AHT</t>
  </si>
  <si>
    <t>Wireless mouse, Cable lock, charger, Laptop bag</t>
  </si>
  <si>
    <t>12/22/25</t>
  </si>
  <si>
    <t>Jennelyn Hernandez</t>
  </si>
  <si>
    <t xml:space="preserve">jennelyndelacruz.hernandez@straive.com </t>
  </si>
  <si>
    <t xml:space="preserve">hazel.romero@straive.com </t>
  </si>
  <si>
    <t>LENOVO ThinkCentre M70s</t>
  </si>
  <si>
    <t>KB, Mouse, 2power cable, HDMI, LAN cable</t>
  </si>
  <si>
    <t>12/27/25</t>
  </si>
  <si>
    <t>June Jared Leycano</t>
  </si>
  <si>
    <t>June Jared Leycano &lt;june.leycano@straive.com</t>
  </si>
  <si>
    <t>golda.galarce@straive.com</t>
  </si>
  <si>
    <t>Irvin James Alpuerto</t>
  </si>
  <si>
    <t>DELL Latitude 5430</t>
  </si>
  <si>
    <t>7ZVDKR3</t>
  </si>
  <si>
    <t>Bag, Charger, Wired Mouse,USB C to USB A adapter</t>
  </si>
  <si>
    <t>Permanent return</t>
  </si>
  <si>
    <t>Jayden Nymph Capangpangan</t>
  </si>
  <si>
    <t>jayden.capangpangan@straive.com</t>
  </si>
  <si>
    <t>erlyn.muhal@straive.com</t>
  </si>
  <si>
    <t>Lenovo Thinkpad E14 Gen 4</t>
  </si>
  <si>
    <t>Charger, Mouse, Cable lock, &amp; Headset</t>
  </si>
  <si>
    <t>Ace Vergel  Vibal</t>
  </si>
  <si>
    <t>AceVergel.Vibal@straive.com</t>
  </si>
  <si>
    <t>Camille.Quicho@straive.com</t>
  </si>
  <si>
    <t>SOPLAGW60023161</t>
  </si>
  <si>
    <t>LENOVO ThinkCentre M70s Gen 5</t>
  </si>
  <si>
    <t>SGM0ZPKRQ</t>
  </si>
  <si>
    <t>Gervielyn Punto</t>
  </si>
  <si>
    <t>gervielyn.punto@straive.com</t>
  </si>
  <si>
    <t>cleofe.leocadio@straive.com</t>
  </si>
  <si>
    <t>LENOVO ThinkCentre M70s Gen 3</t>
  </si>
  <si>
    <t>SGM05CKDS</t>
  </si>
  <si>
    <t>defective monitor</t>
  </si>
  <si>
    <t>Grace Jean Oribiana</t>
  </si>
  <si>
    <t>grace.oribiana@straive.com</t>
  </si>
  <si>
    <t>arnold.sianquita@straive.com</t>
  </si>
  <si>
    <t>12/26/25</t>
  </si>
  <si>
    <t>Bien Quimio</t>
  </si>
  <si>
    <t>Bien.Quimio@straive.com</t>
  </si>
  <si>
    <t>kharlo.catig@straive.com</t>
  </si>
  <si>
    <t>Glenn Oturdo</t>
  </si>
  <si>
    <t>Lenovo ThinkPad L14 Gen 5</t>
  </si>
  <si>
    <t>Charger, Mouse, Cable lock, laptop bag</t>
  </si>
  <si>
    <t>Jonalyn Fabros</t>
  </si>
  <si>
    <t>Jonalyn.Fabros@straive.com</t>
  </si>
  <si>
    <t xml:space="preserve">	jemmel.mercado@straive.com</t>
  </si>
  <si>
    <t>Charger, Mouse, Headset, Cable lock, bag</t>
  </si>
  <si>
    <t xml:space="preserve">Complete </t>
  </si>
  <si>
    <t>Nurmilyn Asiri/755919</t>
  </si>
  <si>
    <t>Nurmilyn.Asiri@straive.com</t>
  </si>
  <si>
    <t>GraceLyn.Advento@straive.com</t>
  </si>
  <si>
    <t>Aldwin Cruz</t>
  </si>
  <si>
    <t>IB</t>
  </si>
  <si>
    <t>Charger, Mouse, Headset, bag</t>
  </si>
  <si>
    <t>Missing Cable Lock</t>
  </si>
  <si>
    <t>GraceFerreras/755901</t>
  </si>
  <si>
    <t>Grace.Ferreras@straive.com</t>
  </si>
  <si>
    <t>DELL OPTIPLEX 3000 I5 DESKTOP</t>
  </si>
  <si>
    <t>Power Cable - 3x / DP Cable - 2x / LAN Cable / Headset / Mouse / Keyboard</t>
  </si>
  <si>
    <t>Rose Ann Discion</t>
  </si>
  <si>
    <t>LN</t>
  </si>
  <si>
    <t>DELL Optiplex 3050</t>
  </si>
  <si>
    <t>Power Cable - 3x / DP Cable / VGA Cable / LAN Cable / Mouse / Keyboard</t>
  </si>
  <si>
    <t>Alyssa Quiaonza</t>
  </si>
  <si>
    <t>Backpack / Charger / Wireless Mouse / USB to Type C converter / Cable lock</t>
  </si>
  <si>
    <t>Daisy Dionglay</t>
  </si>
  <si>
    <t>Joan Manto</t>
  </si>
  <si>
    <t>LENOVO M70S SFF</t>
  </si>
  <si>
    <t>Power Cable - 3x / VGA Cable / DP to VGA Converter / DP Cable / Headset / LAN Cable / Mouse / Keyboard</t>
  </si>
  <si>
    <t>1/14/26</t>
  </si>
  <si>
    <t>Ella Mae Malabanan</t>
  </si>
  <si>
    <t>SOPLAGL60021847</t>
  </si>
  <si>
    <t>DELL Latitude 3450</t>
  </si>
  <si>
    <t>CHN8X34</t>
  </si>
  <si>
    <t xml:space="preserve"> Charger, Mouse, Cable lock, laptop bag</t>
  </si>
  <si>
    <t>1/19/26</t>
  </si>
  <si>
    <t>Charger surrender 1/21</t>
  </si>
  <si>
    <t>Kate Dimayuga</t>
  </si>
  <si>
    <t>Erlym Muhal</t>
  </si>
  <si>
    <t>Plos</t>
  </si>
  <si>
    <t xml:space="preserve"> Charger, Wireless Mouse, Cable lock, Laptop bag, Headset</t>
  </si>
  <si>
    <t>1/21/26</t>
  </si>
  <si>
    <t>John Albert Samson</t>
  </si>
  <si>
    <t>johnalbert.samson@straive.com</t>
  </si>
  <si>
    <t>Dianne.Amorao@straive.com</t>
  </si>
  <si>
    <t>DPD UK</t>
  </si>
  <si>
    <t>SOPLAGL60019558</t>
  </si>
  <si>
    <t>Bag, Laptop Charger, Wireless Mouse, Type C to USB Converter</t>
  </si>
  <si>
    <t>1/23/26</t>
  </si>
  <si>
    <t>Permanent return / Nadala sa PQE for farm out</t>
  </si>
  <si>
    <t xml:space="preserve">Unit buttons is not working only CAPSLOCK key / Missing CTRL button </t>
  </si>
  <si>
    <t>Laptop Lock, Laptop Charger, Laptop Bag, LAN Cable, Headset, Wired Mouse, Type C to LAN Adapter</t>
  </si>
  <si>
    <t>Permanent Return / Galing PQE</t>
  </si>
  <si>
    <t>SOPLAGL60021728</t>
  </si>
  <si>
    <t>LENOVO Thinkpad L14 Gen  4</t>
  </si>
  <si>
    <t>PW0B1PKV</t>
  </si>
  <si>
    <t>1/26/26</t>
  </si>
  <si>
    <t>mary jane Fresco</t>
  </si>
  <si>
    <t>maryjane.Fresco@Straive.com</t>
  </si>
  <si>
    <t>Romeo.Mercado@Straive.com</t>
  </si>
  <si>
    <t>Angelo Encarnacion</t>
  </si>
  <si>
    <t>SOPLAGWK32817</t>
  </si>
  <si>
    <t>Dell OptiPlex 5050</t>
  </si>
  <si>
    <t>Samsung Monitor (32671), mouse, keyboard,  lan cable, D port, power cable</t>
  </si>
  <si>
    <t>1/28/26</t>
  </si>
  <si>
    <t>George Anthony Vallejo</t>
  </si>
  <si>
    <t>georgeanthony.vallejo@straive.com</t>
  </si>
  <si>
    <t>junnel.platon@straive.com</t>
  </si>
  <si>
    <t>RIAG</t>
  </si>
  <si>
    <t>LENOVO Thinkpad L14 Gen 2</t>
  </si>
  <si>
    <t>PF-2WQQ32</t>
  </si>
  <si>
    <t>Laptop Bag, Laptop Charger, Laptop Lock, Mouse</t>
  </si>
  <si>
    <t>1/30/26</t>
  </si>
  <si>
    <t>Complete / Good</t>
  </si>
  <si>
    <t>Kharlo Catig</t>
  </si>
  <si>
    <t xml:space="preserve">Kharlo.Catig@straive.com </t>
  </si>
  <si>
    <t>HINDAWI</t>
  </si>
  <si>
    <t>Laptop Bag, Wireless mouse, &amp; Laptop charger</t>
  </si>
  <si>
    <t>Vijelyn Malata</t>
  </si>
  <si>
    <t>vijelyn.prado@straive.com</t>
  </si>
  <si>
    <t>Geraldon.Villacarillo@straive.com</t>
  </si>
  <si>
    <t>LENOVO ThinkCentre</t>
  </si>
  <si>
    <t>Blessing Joy Principe</t>
  </si>
  <si>
    <t>blessing.principe@straive.com</t>
  </si>
  <si>
    <t>Mary Ann Degano</t>
  </si>
  <si>
    <t>Power Cable - 3x / DP Cable -2x / LAN Cable / Mouse / Keyboard</t>
  </si>
  <si>
    <t>John Renzo Evangelista</t>
  </si>
  <si>
    <t>johnrenzo.evangelista@straive.com</t>
  </si>
  <si>
    <t>Power Brick / Power Cable - 2x / DP Cable / VGA Cable / Mouse / Keyboard</t>
  </si>
  <si>
    <t xml:space="preserve">Missing - LAN Cable </t>
  </si>
  <si>
    <t>Incomplete / Good</t>
  </si>
  <si>
    <t>Jhyan Daduya Laagin</t>
  </si>
  <si>
    <t>Jhyan.Laagin@straive.com</t>
  </si>
  <si>
    <t>LenovoThinkPad E14 Gen 4</t>
  </si>
  <si>
    <t>Maricel Perez</t>
  </si>
  <si>
    <t>Maricel.Perez@straive.com</t>
  </si>
  <si>
    <t>camille.quicho@straive.com</t>
  </si>
  <si>
    <t>LENOVO Thinkcentre M70s</t>
  </si>
  <si>
    <t>Power Cables - 3x / HDMI Cable - 2 / DP to HDMI Converter - 1 / LAN Cable - 1 / Headset - 1 / Mouse - 1/ Keyboard - 1</t>
  </si>
  <si>
    <t>2/19/2026</t>
  </si>
  <si>
    <t>Vernaflor Perenz</t>
  </si>
  <si>
    <t>Ed Atos Joshua</t>
  </si>
  <si>
    <t>ed.atos@straive.com</t>
  </si>
  <si>
    <t>Date Released</t>
  </si>
  <si>
    <t>Status before deployment</t>
  </si>
  <si>
    <t>Release / Received by EUC</t>
  </si>
  <si>
    <t>SOPLAGLP036826</t>
  </si>
  <si>
    <t>PFSF2FW4</t>
  </si>
  <si>
    <t>Bag, Charger, Wired Mouse,USB to LAN</t>
  </si>
  <si>
    <t>03/23/2022</t>
  </si>
  <si>
    <t>Karen C. Llanza</t>
  </si>
  <si>
    <t>Karen.Llanza@straive.com</t>
  </si>
  <si>
    <t>MaryDiane.Rodriguez@Straive.com</t>
  </si>
  <si>
    <t xml:space="preserve">Bag, Charger, Wired Mouse. cable lock </t>
  </si>
  <si>
    <t>03/13/2023</t>
  </si>
  <si>
    <t>Joseph Mayuga</t>
  </si>
  <si>
    <t>Joseph.Mayuga@straive.com</t>
  </si>
  <si>
    <t>jayson.soriano@straive.com</t>
  </si>
  <si>
    <t>Laptop charger, Mouse, Headset, Laptop bag, &amp; Cable lock</t>
  </si>
  <si>
    <t>01/22/2026</t>
  </si>
  <si>
    <t>Moira Michaela Manila</t>
  </si>
  <si>
    <t>MoiraMichaela.Manila@straive.com</t>
  </si>
  <si>
    <t>alcerkeno.rongavilla@straive.com</t>
  </si>
  <si>
    <t>Thinkpad L14 Gen 5</t>
  </si>
  <si>
    <t>Charger, Bag, Cable lock, mouse</t>
  </si>
  <si>
    <t>1/27/26</t>
  </si>
  <si>
    <t>George Anthony Barbastro Vallejo</t>
  </si>
  <si>
    <t>Bag, Charger, Mouse, Cable Lock</t>
  </si>
  <si>
    <t>Steffi Galos</t>
  </si>
  <si>
    <t xml:space="preserve">steffi.galos1@straive.com </t>
  </si>
  <si>
    <t xml:space="preserve">johnlarius.agustin@straive.com </t>
  </si>
  <si>
    <t>Dell OptiPlex Micro 7010</t>
  </si>
  <si>
    <t>25SL524</t>
  </si>
  <si>
    <t>Power cord 1, Power Cable 1, DP Port, Keyboard, &amp; Mouse</t>
  </si>
  <si>
    <t xml:space="preserve">Desktop </t>
  </si>
  <si>
    <t>Raiza Mae Ramirez</t>
  </si>
  <si>
    <t>RaizaMae.Ramirez@straive.com</t>
  </si>
  <si>
    <t>Flory.Calumpita@straive.com</t>
  </si>
  <si>
    <t>Charger, Wireless Mouse, Cable lock, Laptop bag, Headset</t>
  </si>
  <si>
    <t>Richmond Santos</t>
  </si>
  <si>
    <t>richmond.santos@straive.com</t>
  </si>
  <si>
    <t>dianne.amorao@straive.com</t>
  </si>
  <si>
    <t>Lenovo Thinkvision S24i-30</t>
  </si>
  <si>
    <t>Monitor</t>
  </si>
  <si>
    <t>VTV1075D</t>
  </si>
  <si>
    <t>VGA cable, Power Cable</t>
  </si>
  <si>
    <t>Monitor Replacement</t>
  </si>
  <si>
    <t>Gibson B. Normor</t>
  </si>
  <si>
    <t>Gibson.Normor@straive.com</t>
  </si>
  <si>
    <t>joan.manto@straive.com</t>
  </si>
  <si>
    <t>LENOVO Thinkpad E14 Gen4</t>
  </si>
  <si>
    <t>2/13/26</t>
  </si>
  <si>
    <t>Marivic Adolfo</t>
  </si>
  <si>
    <t>marivic.adolfo@straive.com</t>
  </si>
  <si>
    <t>Dell Latitude 3450</t>
  </si>
  <si>
    <t>2/19/26</t>
  </si>
  <si>
    <t>Arlyn Gestiada Dequina</t>
  </si>
  <si>
    <t>Arlyn.Dequina@straive.com</t>
  </si>
  <si>
    <t>#</t>
  </si>
  <si>
    <t>Asset Category</t>
  </si>
  <si>
    <t>Asset Type</t>
  </si>
  <si>
    <t>Asset Name (Model)</t>
  </si>
  <si>
    <t>Asset Description</t>
  </si>
  <si>
    <t>Vendor</t>
  </si>
  <si>
    <t>Delivery Date</t>
  </si>
  <si>
    <t>Age YR</t>
  </si>
  <si>
    <t>Previous</t>
  </si>
  <si>
    <t>Exact Location</t>
  </si>
  <si>
    <t>Date of movement</t>
  </si>
  <si>
    <t>Device Location</t>
  </si>
  <si>
    <t>MAC Address(LAN)</t>
  </si>
  <si>
    <t>IP Address(LAN)</t>
  </si>
  <si>
    <t>MAC Address(WiFi)</t>
  </si>
  <si>
    <t>IP Address(WiFi)</t>
  </si>
  <si>
    <t>Is Virtual Machine?</t>
  </si>
  <si>
    <t>OS Platform</t>
  </si>
  <si>
    <t>Physical Memory</t>
  </si>
  <si>
    <t>Device Owner Employee Number</t>
  </si>
  <si>
    <t>Previous Device Owner Employee Name</t>
  </si>
  <si>
    <t>Current Device Owner Employee Name</t>
  </si>
  <si>
    <t>Device Status</t>
  </si>
  <si>
    <t>PO</t>
  </si>
  <si>
    <t>Remarks IT</t>
  </si>
  <si>
    <t>IT</t>
  </si>
  <si>
    <t>ThinkPad T430</t>
  </si>
  <si>
    <t>Transferred</t>
  </si>
  <si>
    <t>EliteBook 840</t>
  </si>
  <si>
    <t>FMG Cabinet</t>
  </si>
  <si>
    <t>Latitude D510</t>
  </si>
  <si>
    <t>Latitude D630</t>
  </si>
  <si>
    <t>TravelMate 4740</t>
  </si>
  <si>
    <t>ThinkPad T430u</t>
  </si>
  <si>
    <t>ThinkPad X230</t>
  </si>
  <si>
    <t>Vaio</t>
  </si>
  <si>
    <t>Inspiron 1100</t>
  </si>
  <si>
    <t>ThinkPad T420</t>
  </si>
  <si>
    <t>Latitude D620</t>
  </si>
  <si>
    <t>ProBook 440 G3</t>
  </si>
  <si>
    <t>IT area</t>
  </si>
  <si>
    <t>Nelson Yoro</t>
  </si>
  <si>
    <t>EliteBook 840 G3</t>
  </si>
  <si>
    <t>Rosemarie Amano</t>
  </si>
  <si>
    <t>PPNC</t>
  </si>
  <si>
    <t>ThinkPad T460</t>
  </si>
  <si>
    <t>ProBook 440 G5</t>
  </si>
  <si>
    <t>Faded</t>
  </si>
  <si>
    <t>ProBook 840 G3</t>
  </si>
  <si>
    <t>ThinkPad T420u</t>
  </si>
  <si>
    <t>TNE laptop</t>
  </si>
  <si>
    <t>MacBook Pro</t>
  </si>
  <si>
    <t>ProBook 440</t>
  </si>
  <si>
    <t>6/20/2024</t>
  </si>
  <si>
    <t>HR</t>
  </si>
  <si>
    <t>Hybrid</t>
  </si>
  <si>
    <t>Jhun Linga</t>
  </si>
  <si>
    <t>STM</t>
  </si>
  <si>
    <t>Surrender laptop/resigned</t>
  </si>
  <si>
    <t>Maria Angelica Bigay</t>
  </si>
  <si>
    <t>POSTNL</t>
  </si>
  <si>
    <t>iMac</t>
  </si>
  <si>
    <t>Ronnie Constantino</t>
  </si>
  <si>
    <t>Defective</t>
  </si>
  <si>
    <t>ProBook</t>
  </si>
  <si>
    <t>Old laptop Sally Tibayan</t>
  </si>
  <si>
    <t>Golda Old Laptop</t>
  </si>
  <si>
    <t>For check</t>
  </si>
  <si>
    <t>Flores, Isabella Bettina Joyce</t>
  </si>
  <si>
    <t>Hindawi JEO</t>
  </si>
  <si>
    <t>STP</t>
  </si>
  <si>
    <t>marhernandez</t>
  </si>
  <si>
    <t>Umandap, Maria Trisha</t>
  </si>
  <si>
    <t>of02</t>
  </si>
  <si>
    <t>Mark John Magnaye</t>
  </si>
  <si>
    <t>For Training Use</t>
  </si>
  <si>
    <t>Marivic Alcaraz</t>
  </si>
  <si>
    <t>Percil, Jomil</t>
  </si>
  <si>
    <t>Marjorie De Lote</t>
  </si>
  <si>
    <t>Eli Agabin</t>
  </si>
  <si>
    <t>Training</t>
  </si>
  <si>
    <t>11/15/2024</t>
  </si>
  <si>
    <t>Jason San Juan</t>
  </si>
  <si>
    <t>Carlo Alvarez</t>
  </si>
  <si>
    <t>NATGEN</t>
  </si>
  <si>
    <t>Latitude 5420</t>
  </si>
  <si>
    <t>Joanna Del Prado</t>
  </si>
  <si>
    <t>PMD</t>
  </si>
  <si>
    <t>Edrian Estacio</t>
  </si>
  <si>
    <t>Thalia Rubie Mai Adarlo</t>
  </si>
  <si>
    <t>DPD</t>
  </si>
  <si>
    <t>returned</t>
  </si>
  <si>
    <t>IdeaPad S145-14API</t>
  </si>
  <si>
    <t>Joan Manto old unit</t>
  </si>
  <si>
    <t>LN_EP</t>
  </si>
  <si>
    <t>Surrendered laptop/Defective</t>
  </si>
  <si>
    <t>Omar Paraiso</t>
  </si>
  <si>
    <t>Marvin Latayan</t>
  </si>
  <si>
    <t>Joel Galicia</t>
  </si>
  <si>
    <t>LN_KEYED</t>
  </si>
  <si>
    <t>Surrendered laptop</t>
  </si>
  <si>
    <t>Alvin Collao</t>
  </si>
  <si>
    <t>Techsol</t>
  </si>
  <si>
    <t>Surrendered Laptop</t>
  </si>
  <si>
    <t>Rosalyn Fuentes</t>
  </si>
  <si>
    <t>LN_AUNZ</t>
  </si>
  <si>
    <t>possible for temp allocation (SSD and good)</t>
  </si>
  <si>
    <t>Laban, Ma. Crisel</t>
  </si>
  <si>
    <t>Banawa, Arianwen</t>
  </si>
  <si>
    <t>Espinosa, Melinda Kaye</t>
  </si>
  <si>
    <t>Ilao, Joy</t>
  </si>
  <si>
    <t>John Bryan Chua</t>
  </si>
  <si>
    <t>Quality</t>
  </si>
  <si>
    <t>Camille Quicho</t>
  </si>
  <si>
    <t>From PQE Laptop</t>
  </si>
  <si>
    <t>Justine Simbahan</t>
  </si>
  <si>
    <t>Reynalen Ladrera</t>
  </si>
  <si>
    <t>Nicole Anonuevo</t>
  </si>
  <si>
    <t>Janniel Raymond Villafranca</t>
  </si>
  <si>
    <t>Thinkpad L14</t>
  </si>
  <si>
    <t>Deployed in PQE</t>
  </si>
  <si>
    <t>Latitude 3410</t>
  </si>
  <si>
    <t>Raissa Nina Joy Perez</t>
  </si>
  <si>
    <t>D&amp;B</t>
  </si>
  <si>
    <t>Abellson Tajan</t>
  </si>
  <si>
    <t>Adrian Goyena</t>
  </si>
  <si>
    <t>LN_AU_LawNow</t>
  </si>
  <si>
    <t>ThinkPad L14</t>
  </si>
  <si>
    <t>Old Laptop of Andy Inandan</t>
  </si>
  <si>
    <t>Rom Mercado</t>
  </si>
  <si>
    <t>Cengage</t>
  </si>
  <si>
    <t>For Temporary use only</t>
  </si>
  <si>
    <t>Latitude 5430 i5</t>
  </si>
  <si>
    <t>Ailene Ramos</t>
  </si>
  <si>
    <t>Belza, Alby</t>
  </si>
  <si>
    <t>Aldreen Cruz</t>
  </si>
  <si>
    <t>Avention</t>
  </si>
  <si>
    <t>ThinkPad P14s Gen 3</t>
  </si>
  <si>
    <t>e756971</t>
  </si>
  <si>
    <t>Zaldy Paypa Lequin</t>
  </si>
  <si>
    <t>For Configuration</t>
  </si>
  <si>
    <t>Nathaniel Bernal Magsino</t>
  </si>
  <si>
    <t>Nere Jr. Espera</t>
  </si>
  <si>
    <t>Dexter Omandap</t>
  </si>
  <si>
    <t>Calatcat, Alfie</t>
  </si>
  <si>
    <t>LN_CaseLaw</t>
  </si>
  <si>
    <t>Al-Francis Capinig</t>
  </si>
  <si>
    <t>EliteBook 840 G2</t>
  </si>
  <si>
    <t>Alfredo P. Piamonte Jr.</t>
  </si>
  <si>
    <t>Mendoza Reeva</t>
  </si>
  <si>
    <t>Lawrence Manago</t>
  </si>
  <si>
    <t>Mendoza, Andrew</t>
  </si>
  <si>
    <t>Andy Inandan</t>
  </si>
  <si>
    <t>Angelica Esteleydes</t>
  </si>
  <si>
    <t>Regalado, Annabel</t>
  </si>
  <si>
    <t>Springer JEO</t>
  </si>
  <si>
    <t>Annalyn Cabanero</t>
  </si>
  <si>
    <t>Arlene Oreto</t>
  </si>
  <si>
    <t>81UV</t>
  </si>
  <si>
    <t>Arnold Sianquita</t>
  </si>
  <si>
    <t>Pastor Arturo</t>
  </si>
  <si>
    <t>Jake Lim</t>
  </si>
  <si>
    <t>FMG</t>
  </si>
  <si>
    <t>Olpindo, Bayani</t>
  </si>
  <si>
    <t>Bhea Clarisse Catapang</t>
  </si>
  <si>
    <t>Digma Camille Joyce</t>
  </si>
  <si>
    <t>WK Shoreline</t>
  </si>
  <si>
    <t>Carlota Mae Laroya</t>
  </si>
  <si>
    <t>Joel Endozo</t>
  </si>
  <si>
    <t>AIC</t>
  </si>
  <si>
    <t>Carol Kane Bueno</t>
  </si>
  <si>
    <t>Cedrick Putungan</t>
  </si>
  <si>
    <t>Pending surrender - WFH Straive Unit Laptop</t>
  </si>
  <si>
    <t>Christine Villavicencio</t>
  </si>
  <si>
    <t>No WFH Straive Unit</t>
  </si>
  <si>
    <t>Cindy Elpedama</t>
  </si>
  <si>
    <t>Jaymar Delos Reyes</t>
  </si>
  <si>
    <t>Bryan Chezter Ramirez</t>
  </si>
  <si>
    <t>Edgar Ian Angeles</t>
  </si>
  <si>
    <t>Edward Aala</t>
  </si>
  <si>
    <t>Pending surrender - WFH Straive Unit</t>
  </si>
  <si>
    <t>Emma Lyn Kalaw</t>
  </si>
  <si>
    <t>Emmanuel Perez</t>
  </si>
  <si>
    <t>Mendoza Erwin</t>
  </si>
  <si>
    <t>Evelyn Galvez</t>
  </si>
  <si>
    <t>Caselyn Villamarzo</t>
  </si>
  <si>
    <t>Talent Acquisition</t>
  </si>
  <si>
    <t>Florence Macaraig Garraton</t>
  </si>
  <si>
    <t>Ehmel Manalo</t>
  </si>
  <si>
    <t>Dumagat, Geraldine</t>
  </si>
  <si>
    <t>Macrey Soriano</t>
  </si>
  <si>
    <t>Geraldon Villacarillo</t>
  </si>
  <si>
    <t>Serrano Gerardo</t>
  </si>
  <si>
    <t>Gian Carlo Mendoza</t>
  </si>
  <si>
    <t>Maila Cortez</t>
  </si>
  <si>
    <t>Pagalan, Rommel</t>
  </si>
  <si>
    <t>Golda Meir Galarce</t>
  </si>
  <si>
    <t>Rhea Sanchez</t>
  </si>
  <si>
    <t>Henry Albulario</t>
  </si>
  <si>
    <t>Latitude 5430 i7</t>
  </si>
  <si>
    <t>Imelda Bigay</t>
  </si>
  <si>
    <t>Iogyl Carmona</t>
  </si>
  <si>
    <t>Springer Journals</t>
  </si>
  <si>
    <t>James Bryan Pablo</t>
  </si>
  <si>
    <t>Jefferson Encina</t>
  </si>
  <si>
    <t>Jelline Batistiana</t>
  </si>
  <si>
    <t>Resigned/returned</t>
  </si>
  <si>
    <t>7/16/2024</t>
  </si>
  <si>
    <t xml:space="preserve">Trixia Samson / Ramesses </t>
  </si>
  <si>
    <t>Beep</t>
  </si>
  <si>
    <t>Retunred damage/Ledger</t>
  </si>
  <si>
    <t>Jaime Joseph Clarin</t>
  </si>
  <si>
    <t>Jinky Pauline Salape</t>
  </si>
  <si>
    <t>Pending surrender Laptop AMG000000110 ( May 2nd week )</t>
  </si>
  <si>
    <t>Pending surrender - Laptop Cable Lock</t>
  </si>
  <si>
    <t>of03</t>
  </si>
  <si>
    <t>Kristian Jacy Yanga</t>
  </si>
  <si>
    <t>Errol Kendrel Jaurigue</t>
  </si>
  <si>
    <t>Lillo Jonalyn</t>
  </si>
  <si>
    <t>Jonathan Cantavieja</t>
  </si>
  <si>
    <t>Jonathan Mercado</t>
  </si>
  <si>
    <t>From DGT laptop</t>
  </si>
  <si>
    <t>Joyce Mae Celestial</t>
  </si>
  <si>
    <t>Kathereen V. Clemeno</t>
  </si>
  <si>
    <t>Emmanuel Joshua Aala</t>
  </si>
  <si>
    <t>Sinio Katherine</t>
  </si>
  <si>
    <t>Kennybe Pajulas</t>
  </si>
  <si>
    <t>Kristine Joy Garcia</t>
  </si>
  <si>
    <t>Lea Morena Blazado</t>
  </si>
  <si>
    <t>LN_ECRASH</t>
  </si>
  <si>
    <t>Lenny Villasenda</t>
  </si>
  <si>
    <t>Marqueses Lenny</t>
  </si>
  <si>
    <t>Liezel Elayba</t>
  </si>
  <si>
    <t>Llanto, Ma. Donna</t>
  </si>
  <si>
    <t>Torres Maria Raquel</t>
  </si>
  <si>
    <t>Mariel Ann Porcincula</t>
  </si>
  <si>
    <t>7/19/2024</t>
  </si>
  <si>
    <t>Marilou Ramos</t>
  </si>
  <si>
    <t>Arnel Villegas</t>
  </si>
  <si>
    <t>Comia, Mark Victor</t>
  </si>
  <si>
    <t>LN_UK</t>
  </si>
  <si>
    <t>Mark Kenneth Garcia</t>
  </si>
  <si>
    <t>Marwin Narvaez</t>
  </si>
  <si>
    <t>Rameses Marzan</t>
  </si>
  <si>
    <t>Deployed tempoarily</t>
  </si>
  <si>
    <t>Meko Latoza</t>
  </si>
  <si>
    <t>Michelle Despuig</t>
  </si>
  <si>
    <t>Mica Michelle</t>
  </si>
  <si>
    <t>#NA</t>
  </si>
  <si>
    <t>Latitude 15 3520</t>
  </si>
  <si>
    <t>Malaguit, Mico</t>
  </si>
  <si>
    <t>Laguras Jerlie</t>
  </si>
  <si>
    <t>Mancera, Monica</t>
  </si>
  <si>
    <t>Ocampo, Mylene</t>
  </si>
  <si>
    <t>Inumerable, Myra</t>
  </si>
  <si>
    <t>Michael Neri</t>
  </si>
  <si>
    <t>9/25/2024</t>
  </si>
  <si>
    <t>Virgienico Acopio</t>
  </si>
  <si>
    <t>service laptop</t>
  </si>
  <si>
    <t>Shirley Flores</t>
  </si>
  <si>
    <t>Orlan Nacis</t>
  </si>
  <si>
    <t>WithIT</t>
  </si>
  <si>
    <t>Gerald Pedraja</t>
  </si>
  <si>
    <t>Peter John Manalang</t>
  </si>
  <si>
    <t>Pilar Reyes</t>
  </si>
  <si>
    <t>Flores, Raul</t>
  </si>
  <si>
    <t>Latayan, Reniel</t>
  </si>
  <si>
    <t>wala sa data ni sir aldwin</t>
  </si>
  <si>
    <t>Rhona Robel</t>
  </si>
  <si>
    <t>Remote unit TNE</t>
  </si>
  <si>
    <t>Diosdado Corpuz</t>
  </si>
  <si>
    <t>Ronnie Boy Opano</t>
  </si>
  <si>
    <t>Fegalan, Rosalie</t>
  </si>
  <si>
    <t>Magalang, Rowena</t>
  </si>
  <si>
    <t>Roy Eric Perez</t>
  </si>
  <si>
    <t>Sally Tibayan</t>
  </si>
  <si>
    <t>Yaneza, Sander Philip</t>
  </si>
  <si>
    <t>Sharmaine Ocampo</t>
  </si>
  <si>
    <t>Eugene Crucis</t>
  </si>
  <si>
    <t>Gregorio Sherlyn</t>
  </si>
  <si>
    <t>Sherwin Paul Magnaye</t>
  </si>
  <si>
    <t>Aloot, Shiela Marie</t>
  </si>
  <si>
    <t>TechSol</t>
  </si>
  <si>
    <t>Tina Labao</t>
  </si>
  <si>
    <t>Already surrender WFH Straive unit</t>
  </si>
  <si>
    <t>20RV</t>
  </si>
  <si>
    <t>Zaids Cabila</t>
  </si>
  <si>
    <t>20X2S0MC00</t>
  </si>
  <si>
    <t>Ronald De Manzana</t>
  </si>
  <si>
    <t>Jamil Enriko Verzosa</t>
  </si>
  <si>
    <t>John Garrovillas Contreras</t>
  </si>
  <si>
    <t>Michaela Angel Wensel Tamidles</t>
  </si>
  <si>
    <t>Thinkpad E14</t>
  </si>
  <si>
    <t>Grace Ferreras</t>
  </si>
  <si>
    <t>11/18/2024</t>
  </si>
  <si>
    <t>Jesus Emmanuel Buaron</t>
  </si>
  <si>
    <t>Nurmilyn Asiri</t>
  </si>
  <si>
    <t>Ryan James Garcia</t>
  </si>
  <si>
    <t>Jellan Arvesu</t>
  </si>
  <si>
    <t>Lereen Mae Odper</t>
  </si>
  <si>
    <t>Toribio, Ramil</t>
  </si>
  <si>
    <t>Bautista, Cherry Laine</t>
  </si>
  <si>
    <t>Perez, Maricel</t>
  </si>
  <si>
    <t>Cruz, Sarjay Anthony</t>
  </si>
  <si>
    <t>Juco, Joel</t>
  </si>
  <si>
    <t>Permanen Return</t>
  </si>
  <si>
    <t>Camayudo, Mardie Anthony</t>
  </si>
  <si>
    <t>Dhan Raven San Juan Sanguenza</t>
  </si>
  <si>
    <t>PLOS</t>
  </si>
  <si>
    <t>Irine Abanila Diamante</t>
  </si>
  <si>
    <t>Lacap, Janelle</t>
  </si>
  <si>
    <t>Emanuel John Nobleza Solabo</t>
  </si>
  <si>
    <t>Louiesel Arroyo Espolita</t>
  </si>
  <si>
    <t>IB NOLO-for pick-up</t>
  </si>
  <si>
    <t>Deliver to PQE</t>
  </si>
  <si>
    <t>ZENSHIN SYSTEMS CORPORATION</t>
  </si>
  <si>
    <t>Edarlo Mojares</t>
  </si>
  <si>
    <t>Trizza Nora</t>
  </si>
  <si>
    <t>Reymar Viguilla</t>
  </si>
  <si>
    <t>Data Solutions / LN AU / NZ - LOCI</t>
  </si>
  <si>
    <t>Mercado, Darvyn</t>
  </si>
  <si>
    <t>Data Solutions / LN AU / NZ - LOOSELEAF COMMENTARY</t>
  </si>
  <si>
    <t>Avegail Desepeda</t>
  </si>
  <si>
    <t>LN_CIS_EP</t>
  </si>
  <si>
    <t>Avegail Aala Desepeda</t>
  </si>
  <si>
    <t>Perez, Ma. Danica</t>
  </si>
  <si>
    <t>LN_CIS EP</t>
  </si>
  <si>
    <t>Ma. Danica Perez</t>
  </si>
  <si>
    <t>Princes Corpuz</t>
  </si>
  <si>
    <t>Pamela Ira Piamonte</t>
  </si>
  <si>
    <t>LN AUNZ</t>
  </si>
  <si>
    <t>Mary Rose Tanio</t>
  </si>
  <si>
    <t>Edward Kyel Reyes</t>
  </si>
  <si>
    <t>Mark Jayron Galang</t>
  </si>
  <si>
    <t>Nelson Leoja</t>
  </si>
  <si>
    <t>Johnelle Ryan Razo</t>
  </si>
  <si>
    <t>Michelle Joy Lopez</t>
  </si>
  <si>
    <t>Buenaobra, Clarisse Hazel</t>
  </si>
  <si>
    <t>Clarisse Hazel Buenaobra</t>
  </si>
  <si>
    <t>Villegas, Juan Nikko</t>
  </si>
  <si>
    <t>Juan Nikko Villegas</t>
  </si>
  <si>
    <t>Norberto Iv Eduardo Marchadesch</t>
  </si>
  <si>
    <t>TNE</t>
  </si>
  <si>
    <t>Jino</t>
  </si>
  <si>
    <t>6/28/2024</t>
  </si>
  <si>
    <t>Ron Carlo Gonzales</t>
  </si>
  <si>
    <t>Resigned/returned - for reallocation</t>
  </si>
  <si>
    <t>Paul Tec</t>
  </si>
  <si>
    <t>Paul</t>
  </si>
  <si>
    <t>EUC</t>
  </si>
  <si>
    <t>PQ</t>
  </si>
  <si>
    <t>Gemma Cahanding Collera</t>
  </si>
  <si>
    <t>From PQ</t>
  </si>
  <si>
    <t>e753702</t>
  </si>
  <si>
    <t>Hilvano Syrra Mica</t>
  </si>
  <si>
    <t>Jay Marck Encarnacion</t>
  </si>
  <si>
    <t>e756036</t>
  </si>
  <si>
    <t>Angela Atienza</t>
  </si>
  <si>
    <t>Kisslena Ferreras</t>
  </si>
  <si>
    <t>4/25/2024</t>
  </si>
  <si>
    <t>e756020</t>
  </si>
  <si>
    <t>Roval Castillo</t>
  </si>
  <si>
    <t>Roselle Bustillo</t>
  </si>
  <si>
    <t>5/27/2024</t>
  </si>
  <si>
    <t>e758032</t>
  </si>
  <si>
    <t>Christian Ralph Batilo Mercado</t>
  </si>
  <si>
    <t>Stephanie So</t>
  </si>
  <si>
    <t>AMG</t>
  </si>
  <si>
    <t>5/21/2024</t>
  </si>
  <si>
    <t>e750546</t>
  </si>
  <si>
    <t>Jannie Leda Dela Paz</t>
  </si>
  <si>
    <t>e756038</t>
  </si>
  <si>
    <t>Jan Louis Non</t>
  </si>
  <si>
    <t>Refresh</t>
  </si>
  <si>
    <t>e758381</t>
  </si>
  <si>
    <t>Daniel John Herrera Ydel</t>
  </si>
  <si>
    <t>e758839</t>
  </si>
  <si>
    <t>Carlo canobas</t>
  </si>
  <si>
    <t>Irvin James Chaves Alpuerto</t>
  </si>
  <si>
    <t>e702044</t>
  </si>
  <si>
    <t>EUC Manager</t>
  </si>
  <si>
    <t>N/A</t>
  </si>
  <si>
    <t>Sudden BSOD</t>
  </si>
  <si>
    <t>Raissa Perez</t>
  </si>
  <si>
    <t>DnB</t>
  </si>
  <si>
    <t>Returned - possible reallocation</t>
  </si>
  <si>
    <t>Conversion</t>
  </si>
  <si>
    <t>For PCF / Warranty Claim</t>
  </si>
  <si>
    <t>Claudine Panganiban</t>
  </si>
  <si>
    <t>7/17/2024</t>
  </si>
  <si>
    <t>Trixia Samson</t>
  </si>
  <si>
    <t>Beep / Workforce</t>
  </si>
  <si>
    <t>Coleen Klien Burgos Balderas</t>
  </si>
  <si>
    <t>Resigned</t>
  </si>
  <si>
    <t>SOPLAGL60019877</t>
  </si>
  <si>
    <t>John Carlo Canobas</t>
  </si>
  <si>
    <t>surrender</t>
  </si>
  <si>
    <t>5/15/2024</t>
  </si>
  <si>
    <t>Kaira Marize Katipunan</t>
  </si>
  <si>
    <t>Romart De Sagun</t>
  </si>
  <si>
    <t>Loraine Bilog</t>
  </si>
  <si>
    <t>Mamaed, Dan Michael</t>
  </si>
  <si>
    <t>Marchadesch Norberto IV Eduardo</t>
  </si>
  <si>
    <t>For Trainings</t>
  </si>
  <si>
    <t>Marijoy Fernandez</t>
  </si>
  <si>
    <t>5/29/2024</t>
  </si>
  <si>
    <t>Norie San Antonio Malaguit</t>
  </si>
  <si>
    <t>Andrew Malaguit</t>
  </si>
  <si>
    <t>Trisha Joyce Recilla Oloc-Oloc</t>
  </si>
  <si>
    <t>REturned</t>
  </si>
  <si>
    <t>Mobelyn Pangilayan</t>
  </si>
  <si>
    <t>Florianne Paul Taneo Mana-ay</t>
  </si>
  <si>
    <t>Heidelberg Amul</t>
  </si>
  <si>
    <t>Betina Cañete Carpio</t>
  </si>
  <si>
    <t>5/13/2024</t>
  </si>
  <si>
    <t>John Harold Toledo</t>
  </si>
  <si>
    <t>Mark John Polido</t>
  </si>
  <si>
    <t>Judith De Salit</t>
  </si>
  <si>
    <t>Marnie Bolinas</t>
  </si>
  <si>
    <t>Melvin Canicon Reyes</t>
  </si>
  <si>
    <t>LNKEYED</t>
  </si>
  <si>
    <t>Desiree Joy Suzon Juliano</t>
  </si>
  <si>
    <t>Angelica Villarba</t>
  </si>
  <si>
    <t>Karen Llanza</t>
  </si>
  <si>
    <t>Vinz Danley Manaig</t>
  </si>
  <si>
    <t>Phil-Data business System</t>
  </si>
  <si>
    <t>Latitude 3440</t>
  </si>
  <si>
    <t>4/23/2024</t>
  </si>
  <si>
    <t>Joel Tablada</t>
  </si>
  <si>
    <t>DAAIS/Asendia GeoCheck Support</t>
  </si>
  <si>
    <t>Hernani Teruel</t>
  </si>
  <si>
    <t>NoteBook ThinkPad</t>
  </si>
  <si>
    <t>Dianne Amorao</t>
  </si>
  <si>
    <t>Krissia Mae Ataat</t>
  </si>
  <si>
    <t>Jemuel Manansala (758217)</t>
  </si>
  <si>
    <t>6/14/2024</t>
  </si>
  <si>
    <t>Cherry Rodriguez</t>
  </si>
  <si>
    <t>Virgienico J. Acopio</t>
  </si>
  <si>
    <t>Mezzanine</t>
  </si>
  <si>
    <t>Elsevier</t>
  </si>
  <si>
    <t>MPO-2020-014</t>
  </si>
  <si>
    <t>renato.umpadbalbutin@straive.com</t>
  </si>
  <si>
    <t>Laptop Inventory</t>
  </si>
  <si>
    <t>A1:AJ357</t>
  </si>
  <si>
    <t>Empty/New</t>
  </si>
  <si>
    <t>Deleted/Cleared</t>
  </si>
  <si>
    <t>H24</t>
  </si>
  <si>
    <t>N23</t>
  </si>
  <si>
    <t>ErrorValue{type=VALUE, messageId=WRONG_DATA_TYPE, arguments=[str:YEARFRAC, doub:1.0, str:5/28/2007, err:ErrorValue{type=MESSAGE, messageId=DATA_TYPE_STRING, arguments=[]}, err:ErrorValue{type=MESSAGE, messageId=DATA_TYPE_DOUBLE, arguments=[]}]}</t>
  </si>
  <si>
    <t>Desktop Inventory</t>
  </si>
  <si>
    <t>M11</t>
  </si>
  <si>
    <t>ErrorValue{type=VALUE, messageId=CANNOT_PARSE_TEXT_TO_DATE, arguments=[str:DATEVALUE, str:2/25/2018]}</t>
  </si>
  <si>
    <t>ErrorValue{type=REF, messageId=CIRCULAR_DEPENDENCY, arguments=[]}</t>
  </si>
  <si>
    <t>N2</t>
  </si>
  <si>
    <t>ErrorValue{type=VALUE, messageId=CANNOT_PARSE_TEXT_TO_DATE, arguments=[str:DATEVALUE, str:ThinkPad T430u]}</t>
  </si>
  <si>
    <t>ErrorValue{type=VALUE, messageId=CANNOT_PARSE_TEXT_TO_DATE, arguments=[str:DATEVALUE, str:0.00]}</t>
  </si>
  <si>
    <t>N3:N24</t>
  </si>
  <si>
    <t>M2:M328</t>
  </si>
  <si>
    <t>N24</t>
  </si>
  <si>
    <t>A1</t>
  </si>
  <si>
    <t>f</t>
  </si>
  <si>
    <t>C3-6</t>
  </si>
  <si>
    <t>A1:G385</t>
  </si>
  <si>
    <t>A1:Z1000</t>
  </si>
  <si>
    <t>P2</t>
  </si>
  <si>
    <t>N2:N22</t>
  </si>
  <si>
    <t>R1:AI1</t>
  </si>
  <si>
    <t>R2:AI2</t>
  </si>
  <si>
    <t>P24</t>
  </si>
  <si>
    <t>P1</t>
  </si>
  <si>
    <t>WFH</t>
  </si>
  <si>
    <t>A3:A22</t>
  </si>
  <si>
    <t>P1:P1000</t>
  </si>
  <si>
    <t>O1:Q1</t>
  </si>
  <si>
    <t>IT storage</t>
  </si>
  <si>
    <t>C3-6 2nd floor storage</t>
  </si>
  <si>
    <t>Deployed Onsite</t>
  </si>
  <si>
    <t>A4:A22</t>
  </si>
  <si>
    <t>P3</t>
  </si>
  <si>
    <t>C3-6 2nd floor</t>
  </si>
  <si>
    <t>P16</t>
  </si>
  <si>
    <t>N1:AA1</t>
  </si>
  <si>
    <t>A1:AI2</t>
  </si>
  <si>
    <t>Production floor</t>
  </si>
  <si>
    <t>C55</t>
  </si>
  <si>
    <t>CHI-0009</t>
  </si>
  <si>
    <t>CHI-0008</t>
  </si>
  <si>
    <t>Prod database</t>
  </si>
  <si>
    <t>A1:C619</t>
  </si>
  <si>
    <t>ATL-001</t>
  </si>
  <si>
    <t>ATL-0001</t>
  </si>
  <si>
    <t>A10</t>
  </si>
  <si>
    <t>ATL-002</t>
  </si>
  <si>
    <t>ATL-0002</t>
  </si>
  <si>
    <t>A21</t>
  </si>
  <si>
    <t>ATL-003</t>
  </si>
  <si>
    <t>ATL-0003</t>
  </si>
  <si>
    <t>A32</t>
  </si>
  <si>
    <t>ATL-004</t>
  </si>
  <si>
    <t>ATL-0004</t>
  </si>
  <si>
    <t>A43</t>
  </si>
  <si>
    <t>ATL-005</t>
  </si>
  <si>
    <t>ATL-0005</t>
  </si>
  <si>
    <t>A54</t>
  </si>
  <si>
    <t>ATL-006</t>
  </si>
  <si>
    <t>ATL-0006</t>
  </si>
  <si>
    <t>A65</t>
  </si>
  <si>
    <t>ATL-007</t>
  </si>
  <si>
    <t>ATL-0007</t>
  </si>
  <si>
    <t>A76</t>
  </si>
  <si>
    <t>ATL-008</t>
  </si>
  <si>
    <t>ATL-0008</t>
  </si>
  <si>
    <t>A87</t>
  </si>
  <si>
    <t>ATL-009</t>
  </si>
  <si>
    <t>ATL-0009</t>
  </si>
  <si>
    <t>A98</t>
  </si>
  <si>
    <t>ATL-010</t>
  </si>
  <si>
    <t>ATL-0010</t>
  </si>
  <si>
    <t>A99</t>
  </si>
  <si>
    <t>ATL-011</t>
  </si>
  <si>
    <t>ATL-0011</t>
  </si>
  <si>
    <t>A339</t>
  </si>
  <si>
    <t>LAL-00062</t>
  </si>
  <si>
    <t>LAL-0062</t>
  </si>
  <si>
    <t>A603</t>
  </si>
  <si>
    <t>TRN-001</t>
  </si>
  <si>
    <t>TRN-0001</t>
  </si>
  <si>
    <t>A606</t>
  </si>
  <si>
    <t>TRN-002</t>
  </si>
  <si>
    <t>TRN-0002</t>
  </si>
  <si>
    <t>A607</t>
  </si>
  <si>
    <t>TRN-003</t>
  </si>
  <si>
    <t>TRN-0003</t>
  </si>
  <si>
    <t>A608</t>
  </si>
  <si>
    <t>TRN-004</t>
  </si>
  <si>
    <t>TRN-0004</t>
  </si>
  <si>
    <t>A609</t>
  </si>
  <si>
    <t>TRN-005</t>
  </si>
  <si>
    <t>TRN-0005</t>
  </si>
  <si>
    <t>A610</t>
  </si>
  <si>
    <t>TRN-006</t>
  </si>
  <si>
    <t>TRN-0006</t>
  </si>
  <si>
    <t>A611</t>
  </si>
  <si>
    <t>TRN-007</t>
  </si>
  <si>
    <t>TRN-0007</t>
  </si>
  <si>
    <t>A612</t>
  </si>
  <si>
    <t>TRN-008</t>
  </si>
  <si>
    <t>TRN-0008</t>
  </si>
  <si>
    <t>A613</t>
  </si>
  <si>
    <t>TRN-009</t>
  </si>
  <si>
    <t>TRN-0009</t>
  </si>
  <si>
    <t>A614</t>
  </si>
  <si>
    <t>TRN-012</t>
  </si>
  <si>
    <t>TRN-0012</t>
  </si>
  <si>
    <t>A615</t>
  </si>
  <si>
    <t>TRN-013</t>
  </si>
  <si>
    <t>TRN-0013</t>
  </si>
  <si>
    <t>A616</t>
  </si>
  <si>
    <t>TRN-014</t>
  </si>
  <si>
    <t>TRN-0014</t>
  </si>
  <si>
    <t>A617</t>
  </si>
  <si>
    <t>TRN-015</t>
  </si>
  <si>
    <t>TRN-0015</t>
  </si>
  <si>
    <t>A618</t>
  </si>
  <si>
    <t>TRN-016</t>
  </si>
  <si>
    <t>TRN-0016</t>
  </si>
  <si>
    <t>A619</t>
  </si>
  <si>
    <t>TRN-017</t>
  </si>
  <si>
    <t>TRN-0017</t>
  </si>
  <si>
    <t>Prod Location</t>
  </si>
  <si>
    <t>B1</t>
  </si>
  <si>
    <t>Location</t>
  </si>
  <si>
    <t>Q1</t>
  </si>
  <si>
    <t>Prod floor location</t>
  </si>
  <si>
    <t>Q2:S620</t>
  </si>
  <si>
    <t>Q2:Q1001</t>
  </si>
  <si>
    <t>Q2</t>
  </si>
  <si>
    <t>P1:P1843</t>
  </si>
  <si>
    <t>P1:P998</t>
  </si>
  <si>
    <t>U4</t>
  </si>
  <si>
    <t>Q</t>
  </si>
  <si>
    <t>Return Unit</t>
  </si>
  <si>
    <t>A31</t>
  </si>
  <si>
    <t>A31:F31</t>
  </si>
  <si>
    <t>asd</t>
  </si>
  <si>
    <t>M368:M728</t>
  </si>
  <si>
    <t>Segment</t>
  </si>
  <si>
    <t>Device Owner Employee Name</t>
  </si>
  <si>
    <t>Lenovo ThinkCentre M70s</t>
  </si>
  <si>
    <t>WFH Straive Unit</t>
  </si>
  <si>
    <t>Straive Owned - Onsite</t>
  </si>
  <si>
    <t>Edtech</t>
  </si>
  <si>
    <t>Straive Owned - WFH</t>
  </si>
  <si>
    <t>Rhundel Pechada</t>
  </si>
  <si>
    <t>Sharmaine Penamente</t>
  </si>
  <si>
    <t>Apreal Rivera</t>
  </si>
  <si>
    <t>Lorraine Joy Alcoran</t>
  </si>
  <si>
    <t>Dell OptiPlex 3050</t>
  </si>
  <si>
    <t>PHX-0004</t>
  </si>
  <si>
    <t>Quiaonza, Alyssa</t>
  </si>
  <si>
    <t>Data Analytics &amp; AI Solutions</t>
  </si>
  <si>
    <t>Dell OptiPlex 7020</t>
  </si>
  <si>
    <t>John Michael C. Ganacias</t>
  </si>
  <si>
    <t>Jacel Anne Arquiza</t>
  </si>
  <si>
    <t>Lenovo ThinkCentre M92p</t>
  </si>
  <si>
    <t>Romart Mendoza De Sagun</t>
  </si>
  <si>
    <t>Wala sa PCvisor</t>
  </si>
  <si>
    <t>ATL-0012</t>
  </si>
  <si>
    <t>Venus Lapitan</t>
  </si>
  <si>
    <t>LENOVO ThinkCentre M91p</t>
  </si>
  <si>
    <t>ATL-0013</t>
  </si>
  <si>
    <t>John Adrian Rudeira</t>
  </si>
  <si>
    <t>Lenovo ThinkCentre M720t</t>
  </si>
  <si>
    <t>ATL-0014</t>
  </si>
  <si>
    <t>Carlo Jay Amutan</t>
  </si>
  <si>
    <t>ATL-0015</t>
  </si>
  <si>
    <t>Marien Anciado</t>
  </si>
  <si>
    <t>ATL-0016</t>
  </si>
  <si>
    <t>Kenneth Amaranto</t>
  </si>
  <si>
    <t>ATL-0017</t>
  </si>
  <si>
    <t>Shaira Nacua</t>
  </si>
  <si>
    <t>ATL-0018</t>
  </si>
  <si>
    <t>ATL-0019</t>
  </si>
  <si>
    <t>Angelica Dayao</t>
  </si>
  <si>
    <t>HP EliteDesk 800 G1 SFF</t>
  </si>
  <si>
    <t>ATL-0020</t>
  </si>
  <si>
    <t>Krystel Ivy San Mateo</t>
  </si>
  <si>
    <t>ATL-0021</t>
  </si>
  <si>
    <t>Jose Fernan Maranan</t>
  </si>
  <si>
    <t>ATL-0022</t>
  </si>
  <si>
    <t>Brian Malaiba</t>
  </si>
  <si>
    <t>Dell OptiPlex 3060</t>
  </si>
  <si>
    <t>ATL-0023</t>
  </si>
  <si>
    <t>Arthur Arañez</t>
  </si>
  <si>
    <t>Lenovo ThinkCentre M720s</t>
  </si>
  <si>
    <t>ATL-0024</t>
  </si>
  <si>
    <t>Karl Leal</t>
  </si>
  <si>
    <t>ATL-0025</t>
  </si>
  <si>
    <t>John Aubrey G. Reyes</t>
  </si>
  <si>
    <t>ATL-0026</t>
  </si>
  <si>
    <t>Helen M. Gonzales</t>
  </si>
  <si>
    <t>ATL-0027</t>
  </si>
  <si>
    <t>ATL-0028</t>
  </si>
  <si>
    <t>For retrieval</t>
  </si>
  <si>
    <t>ATL-0029</t>
  </si>
  <si>
    <t>Marlita Elumir</t>
  </si>
  <si>
    <t>ATL-0030</t>
  </si>
  <si>
    <t>John Angelo Cedric Hernandez</t>
  </si>
  <si>
    <t>Digitalized Operations</t>
  </si>
  <si>
    <t>ATL-0031</t>
  </si>
  <si>
    <t>Edlyn Aguilar</t>
  </si>
  <si>
    <t>Transmap</t>
  </si>
  <si>
    <t>Edlyn O. Aguilar</t>
  </si>
  <si>
    <t xml:space="preserve">Data Analytics &amp; AI Solutions
</t>
  </si>
  <si>
    <t>ATL-0032</t>
  </si>
  <si>
    <t>Abegail Delfino</t>
  </si>
  <si>
    <t>Abegail Esguerra</t>
  </si>
  <si>
    <t>ATL-0033</t>
  </si>
  <si>
    <t>Robyn Rances</t>
  </si>
  <si>
    <t>Robyn Magnaye Rances</t>
  </si>
  <si>
    <t>ATL-0034</t>
  </si>
  <si>
    <t>Johndepp De Gala</t>
  </si>
  <si>
    <t>Johndepp Catubay De Gala</t>
  </si>
  <si>
    <t>ATL-0035</t>
  </si>
  <si>
    <t>Orosa, Gabriel Y.</t>
  </si>
  <si>
    <t>ATL-0036</t>
  </si>
  <si>
    <t>Matel, John Lenard</t>
  </si>
  <si>
    <t>Dell OptiPlex 5040</t>
  </si>
  <si>
    <t>ATL-0037</t>
  </si>
  <si>
    <t>MA. CRISEL DE PAZ LABAN</t>
  </si>
  <si>
    <t>ATL-0038</t>
  </si>
  <si>
    <t>PRECIOUS ANNE MAGPANTAY</t>
  </si>
  <si>
    <t>Lenovo ThinkCentre M91p</t>
  </si>
  <si>
    <t>ATL-0039</t>
  </si>
  <si>
    <t>Melinda Kaye Espinosa</t>
  </si>
  <si>
    <t>Pending to surrender</t>
  </si>
  <si>
    <t>ATL-0040</t>
  </si>
  <si>
    <t>Paula Mae Santiago</t>
  </si>
  <si>
    <t>ESRS - PQE user</t>
  </si>
  <si>
    <t xml:space="preserve">Digitalized Operations
</t>
  </si>
  <si>
    <t>ATL-0041</t>
  </si>
  <si>
    <t>LN_RIAG</t>
  </si>
  <si>
    <t>ATL-0042</t>
  </si>
  <si>
    <t>ATL-0043</t>
  </si>
  <si>
    <t>ATL-0044</t>
  </si>
  <si>
    <t>ATL-0045</t>
  </si>
  <si>
    <t>Abbie Kate Rivera</t>
  </si>
  <si>
    <t>ATL-0046</t>
  </si>
  <si>
    <t>ATL-0047</t>
  </si>
  <si>
    <t>ATL-0048</t>
  </si>
  <si>
    <t>ATL-0049</t>
  </si>
  <si>
    <t>ATL-0050</t>
  </si>
  <si>
    <t>ATL-0051</t>
  </si>
  <si>
    <t>ATL-0052</t>
  </si>
  <si>
    <t>ATL-0053</t>
  </si>
  <si>
    <t>ATL-0054</t>
  </si>
  <si>
    <t>ATL-0055</t>
  </si>
  <si>
    <t>ATL-0056</t>
  </si>
  <si>
    <t>ATL-0057</t>
  </si>
  <si>
    <t>ATL-0058</t>
  </si>
  <si>
    <t>John Derick Anonuevo</t>
  </si>
  <si>
    <t>ATL-0059</t>
  </si>
  <si>
    <t>ATL-0060</t>
  </si>
  <si>
    <t>ATL-0061</t>
  </si>
  <si>
    <t>ATL-0062</t>
  </si>
  <si>
    <t>ATL-0063</t>
  </si>
  <si>
    <t>Dell OptiPlex 3000</t>
  </si>
  <si>
    <t>Phil-Data Business Systems, INC.</t>
  </si>
  <si>
    <t>ATL-0064</t>
  </si>
  <si>
    <t>ATL-0065</t>
  </si>
  <si>
    <t>ATL-0066</t>
  </si>
  <si>
    <t>ATL-0067</t>
  </si>
  <si>
    <t>Lenovo ThinkCentre M710s</t>
  </si>
  <si>
    <t>ATL-0068</t>
  </si>
  <si>
    <t>ATL-0069</t>
  </si>
  <si>
    <t>ATL-0070</t>
  </si>
  <si>
    <t>ATL-0071</t>
  </si>
  <si>
    <t>ATL-0072</t>
  </si>
  <si>
    <t>ATL-0073</t>
  </si>
  <si>
    <t>ATL-0074</t>
  </si>
  <si>
    <t>ATL-0075</t>
  </si>
  <si>
    <t>ATL-0076</t>
  </si>
  <si>
    <t>ATL-0077</t>
  </si>
  <si>
    <t>ATL-0078</t>
  </si>
  <si>
    <t>ATL-0079</t>
  </si>
  <si>
    <t>ATL-0080</t>
  </si>
  <si>
    <t>ATL-0081</t>
  </si>
  <si>
    <t>ATL-0082</t>
  </si>
  <si>
    <t>ATL-0083</t>
  </si>
  <si>
    <t>ATL-0084</t>
  </si>
  <si>
    <t>ATL-0085</t>
  </si>
  <si>
    <t>ATL-0086</t>
  </si>
  <si>
    <t>ATL-0087</t>
  </si>
  <si>
    <t>ATL-0088</t>
  </si>
  <si>
    <t>ATL-0089</t>
  </si>
  <si>
    <t>ATL-0090</t>
  </si>
  <si>
    <t>ATL-0091</t>
  </si>
  <si>
    <t>ATL-0092</t>
  </si>
  <si>
    <t>ATL-0093</t>
  </si>
  <si>
    <t>ATL-0094</t>
  </si>
  <si>
    <t>ATL-0095</t>
  </si>
  <si>
    <t>ATL-0096</t>
  </si>
  <si>
    <t>ATL-0097</t>
  </si>
  <si>
    <t>ATL-0098</t>
  </si>
  <si>
    <t>ATL-0099</t>
  </si>
  <si>
    <t>BOS-0001</t>
  </si>
  <si>
    <t>BOS-0002</t>
  </si>
  <si>
    <t>BOS-0003</t>
  </si>
  <si>
    <t>BOS-0004</t>
  </si>
  <si>
    <t>BOS-0005</t>
  </si>
  <si>
    <t>BOS-0006</t>
  </si>
  <si>
    <t>BOS-0007</t>
  </si>
  <si>
    <t>BOS-0008</t>
  </si>
  <si>
    <t>BOS-0009</t>
  </si>
  <si>
    <t>BOS-0010</t>
  </si>
  <si>
    <t>BOS-0011</t>
  </si>
  <si>
    <t>BOS-0012</t>
  </si>
  <si>
    <t>BOS-0013</t>
  </si>
  <si>
    <t>BOS-0014</t>
  </si>
  <si>
    <t>BOS-0015</t>
  </si>
  <si>
    <t>BOS-0016</t>
  </si>
  <si>
    <t>BOS-0017</t>
  </si>
  <si>
    <t>BOS-0018</t>
  </si>
  <si>
    <t>BOS-0019</t>
  </si>
  <si>
    <t>BOS-0020</t>
  </si>
  <si>
    <t>BOS-0021</t>
  </si>
  <si>
    <t>BOS-0022</t>
  </si>
  <si>
    <t>PHX-0023</t>
  </si>
  <si>
    <t>BOS-0023</t>
  </si>
  <si>
    <t>PHX-0022</t>
  </si>
  <si>
    <t>BOS-0024</t>
  </si>
  <si>
    <t>BOS-0025</t>
  </si>
  <si>
    <t>BOS-0026</t>
  </si>
  <si>
    <t>BOS-0027</t>
  </si>
  <si>
    <t>BOS-0028</t>
  </si>
  <si>
    <t>BOS-0029</t>
  </si>
  <si>
    <t>BOS-0030</t>
  </si>
  <si>
    <t>SAS-0022</t>
  </si>
  <si>
    <t>BOS-0031</t>
  </si>
  <si>
    <t>Joeriz Malabuyoc</t>
  </si>
  <si>
    <t>PHX-0011</t>
  </si>
  <si>
    <t>BOS-0032</t>
  </si>
  <si>
    <t>LN_HKSEA</t>
  </si>
  <si>
    <t>PHX-0006</t>
  </si>
  <si>
    <t>BOS-0033</t>
  </si>
  <si>
    <t>Rose Ann Mae Discion</t>
  </si>
  <si>
    <t>BOS-0034</t>
  </si>
  <si>
    <t>PHX-0008</t>
  </si>
  <si>
    <t>BOS-0035</t>
  </si>
  <si>
    <t>John Cedrick Chavez</t>
  </si>
  <si>
    <t>PHX-0009</t>
  </si>
  <si>
    <t>BOS-0036</t>
  </si>
  <si>
    <t>Ernesto Maligalig</t>
  </si>
  <si>
    <t>PHX-0012</t>
  </si>
  <si>
    <t>BOS-0037</t>
  </si>
  <si>
    <t>Dionglay, Daisy</t>
  </si>
  <si>
    <t>PHX-0013</t>
  </si>
  <si>
    <t>BOS-0038</t>
  </si>
  <si>
    <t>John Prince Montecer</t>
  </si>
  <si>
    <t>PHX-0014</t>
  </si>
  <si>
    <t>BOS-0039</t>
  </si>
  <si>
    <t>Gibson Normor</t>
  </si>
  <si>
    <t>PHX-0002</t>
  </si>
  <si>
    <t>BOS-0040</t>
  </si>
  <si>
    <t>PHX-0010</t>
  </si>
  <si>
    <t>BOS-0041</t>
  </si>
  <si>
    <t>Charie Ellen Mandin</t>
  </si>
  <si>
    <t>BOS-0042</t>
  </si>
  <si>
    <t>Jean Bernadette Mag-Ampo</t>
  </si>
  <si>
    <t>BOS-0043</t>
  </si>
  <si>
    <t>SAS-0023</t>
  </si>
  <si>
    <t>BOS-0044</t>
  </si>
  <si>
    <t>SAS-0024</t>
  </si>
  <si>
    <t>BOS-0045</t>
  </si>
  <si>
    <t>SAS-0025</t>
  </si>
  <si>
    <t>BOS-0046</t>
  </si>
  <si>
    <t>BOS-0047</t>
  </si>
  <si>
    <t>BOS-0048</t>
  </si>
  <si>
    <t>BOS-0049</t>
  </si>
  <si>
    <t>BOS-0050</t>
  </si>
  <si>
    <t>BOS-0051</t>
  </si>
  <si>
    <t>Ma. Ellaine Soriano</t>
  </si>
  <si>
    <t>DAL-0021</t>
  </si>
  <si>
    <t>BOS-0052</t>
  </si>
  <si>
    <t>Lenovo ThinkCentre M70t</t>
  </si>
  <si>
    <t>DAL-0023</t>
  </si>
  <si>
    <t>BOS-0053</t>
  </si>
  <si>
    <t>DEN-0004</t>
  </si>
  <si>
    <t>CHI-0001</t>
  </si>
  <si>
    <t>DEN-0005</t>
  </si>
  <si>
    <t>CHI-0002</t>
  </si>
  <si>
    <t>CHI-0003</t>
  </si>
  <si>
    <t>DEN-0007</t>
  </si>
  <si>
    <t>CHI-0004</t>
  </si>
  <si>
    <t>DAL-0015</t>
  </si>
  <si>
    <t>CHI-0005</t>
  </si>
  <si>
    <t>DEN-0009</t>
  </si>
  <si>
    <t>CHI-0006</t>
  </si>
  <si>
    <t>DEN-0010</t>
  </si>
  <si>
    <t>CHI-0007</t>
  </si>
  <si>
    <t>DEN-0011</t>
  </si>
  <si>
    <t>DEN-0012</t>
  </si>
  <si>
    <t>DAL-0024</t>
  </si>
  <si>
    <t>CHI-0010</t>
  </si>
  <si>
    <t>SAC-0008</t>
  </si>
  <si>
    <t>CHI-0011</t>
  </si>
  <si>
    <t>DEN-0016</t>
  </si>
  <si>
    <t>CHI-0012</t>
  </si>
  <si>
    <t>DEN-0017</t>
  </si>
  <si>
    <t>CHI-0013</t>
  </si>
  <si>
    <t>DEN-0018</t>
  </si>
  <si>
    <t>CHI-0014</t>
  </si>
  <si>
    <t>DAL-0013</t>
  </si>
  <si>
    <t>CHI-0015</t>
  </si>
  <si>
    <t>DEN-0021</t>
  </si>
  <si>
    <t>CHI-0016</t>
  </si>
  <si>
    <t>DEN-0022</t>
  </si>
  <si>
    <t>CHI-0017</t>
  </si>
  <si>
    <t>DEN-0023</t>
  </si>
  <si>
    <t>CHI-0018</t>
  </si>
  <si>
    <t>DEN-0024</t>
  </si>
  <si>
    <t>CHI-0019</t>
  </si>
  <si>
    <t>DAL-0011</t>
  </si>
  <si>
    <t>CHI-0020</t>
  </si>
  <si>
    <t>CHI-0021</t>
  </si>
  <si>
    <t>DAL-0012</t>
  </si>
  <si>
    <t>CHI-0022</t>
  </si>
  <si>
    <t>DEN-0028</t>
  </si>
  <si>
    <t>CHI-0023</t>
  </si>
  <si>
    <t>DEN-0029</t>
  </si>
  <si>
    <t>CHI-0024</t>
  </si>
  <si>
    <t>DEN-0031</t>
  </si>
  <si>
    <t>CHI-0025</t>
  </si>
  <si>
    <t>DAL-0018</t>
  </si>
  <si>
    <t>CHI-0026</t>
  </si>
  <si>
    <t>DEN-0033</t>
  </si>
  <si>
    <t>CHI-0027</t>
  </si>
  <si>
    <t>DEN-0034</t>
  </si>
  <si>
    <t>CHI-0028</t>
  </si>
  <si>
    <t>DEN-0035</t>
  </si>
  <si>
    <t>CHI-0029</t>
  </si>
  <si>
    <t>DEN-0036</t>
  </si>
  <si>
    <t>CHI-0030</t>
  </si>
  <si>
    <t>CHI-0031</t>
  </si>
  <si>
    <t>Marien Aciendo</t>
  </si>
  <si>
    <t>DAL-0017</t>
  </si>
  <si>
    <t>CHI-0032</t>
  </si>
  <si>
    <t>DAL-0014</t>
  </si>
  <si>
    <t>CHI-0033</t>
  </si>
  <si>
    <t>DAL-0016</t>
  </si>
  <si>
    <t>CHI-0034</t>
  </si>
  <si>
    <t>DEN-0041</t>
  </si>
  <si>
    <t>CHI-0035</t>
  </si>
  <si>
    <t>DEN-0042</t>
  </si>
  <si>
    <t>DAL-0001</t>
  </si>
  <si>
    <t>DAL-0002</t>
  </si>
  <si>
    <t>DAL-0003</t>
  </si>
  <si>
    <t>DAL-0004</t>
  </si>
  <si>
    <t>DAL-0005</t>
  </si>
  <si>
    <t>DAL-0006</t>
  </si>
  <si>
    <t>DAL-0007</t>
  </si>
  <si>
    <t>Josie.Paronable</t>
  </si>
  <si>
    <t>PostNL</t>
  </si>
  <si>
    <t>DAL-0008</t>
  </si>
  <si>
    <t>DAL-0009</t>
  </si>
  <si>
    <t>DAL-0010</t>
  </si>
  <si>
    <t>For Check Location</t>
  </si>
  <si>
    <t>Hindawi</t>
  </si>
  <si>
    <t>ESRS</t>
  </si>
  <si>
    <t>DAL-0019</t>
  </si>
  <si>
    <t>DAL-0020</t>
  </si>
  <si>
    <t>DAL-0022</t>
  </si>
  <si>
    <t>DAL-0025</t>
  </si>
  <si>
    <t>DAL-0026</t>
  </si>
  <si>
    <t>DAL-0027</t>
  </si>
  <si>
    <t>DAL-0028</t>
  </si>
  <si>
    <t>DAL-0029</t>
  </si>
  <si>
    <t>DAL-0030</t>
  </si>
  <si>
    <t>DAL-0031</t>
  </si>
  <si>
    <t>DAL-0032</t>
  </si>
  <si>
    <t>LAL-0020</t>
  </si>
  <si>
    <t>DAL-0033</t>
  </si>
  <si>
    <t>John Michael Ganacias</t>
  </si>
  <si>
    <t>DAL-0034</t>
  </si>
  <si>
    <t>Dell OptiPlex 7050</t>
  </si>
  <si>
    <t>SDM-0009</t>
  </si>
  <si>
    <t>DAL-0035</t>
  </si>
  <si>
    <t>POSTNL Reference Server</t>
  </si>
  <si>
    <t>SDM-0010</t>
  </si>
  <si>
    <t>DEN-0001</t>
  </si>
  <si>
    <t>DEN-0002</t>
  </si>
  <si>
    <t>Vijelyn Prado</t>
  </si>
  <si>
    <t>DEN-0003</t>
  </si>
  <si>
    <t>STM / STP</t>
  </si>
  <si>
    <t>7/14/2024</t>
  </si>
  <si>
    <t>DEN-0006</t>
  </si>
  <si>
    <t>DEN-0008</t>
  </si>
  <si>
    <t>IPD</t>
  </si>
  <si>
    <t>It is deployed, but not being used</t>
  </si>
  <si>
    <t>DEN-0013</t>
  </si>
  <si>
    <t>DEN-0014</t>
  </si>
  <si>
    <t>DEN-0015</t>
  </si>
  <si>
    <t>SDM-0003</t>
  </si>
  <si>
    <t>DEN-0019</t>
  </si>
  <si>
    <t>DEN-0020</t>
  </si>
  <si>
    <t>LAL-0019</t>
  </si>
  <si>
    <t>DEN-0025</t>
  </si>
  <si>
    <t>Legayada Princess</t>
  </si>
  <si>
    <t>LAL-0010</t>
  </si>
  <si>
    <t>DEN-0026</t>
  </si>
  <si>
    <t>Maricel Salmasan</t>
  </si>
  <si>
    <t>LAL-0011</t>
  </si>
  <si>
    <t>DEN-0027</t>
  </si>
  <si>
    <t>Jasmin Cansanay</t>
  </si>
  <si>
    <t>LAL-0016</t>
  </si>
  <si>
    <t>DEN-0030</t>
  </si>
  <si>
    <t>7/30/2024</t>
  </si>
  <si>
    <t>DEN-0032</t>
  </si>
  <si>
    <t>SDM-0005</t>
  </si>
  <si>
    <t>Pamplona, Aubrey</t>
  </si>
  <si>
    <t>SDM-0002</t>
  </si>
  <si>
    <t>SDM-0004</t>
  </si>
  <si>
    <t>DEN-0037</t>
  </si>
  <si>
    <t>DEN-0038</t>
  </si>
  <si>
    <t>DEN-0039</t>
  </si>
  <si>
    <t>DEN-0040</t>
  </si>
  <si>
    <t>LAL-0028</t>
  </si>
  <si>
    <t>GSW-0001</t>
  </si>
  <si>
    <t>Dell OptiPlex 3070</t>
  </si>
  <si>
    <t>LAL-0035</t>
  </si>
  <si>
    <t>GSW-0002</t>
  </si>
  <si>
    <t>Daina Rose Aquino</t>
  </si>
  <si>
    <t>LAL-0032</t>
  </si>
  <si>
    <t>GSW-0003</t>
  </si>
  <si>
    <t>Marjorie Espanola</t>
  </si>
  <si>
    <t>GSW-0004</t>
  </si>
  <si>
    <t>GSW-0005</t>
  </si>
  <si>
    <t>GSW-0006</t>
  </si>
  <si>
    <t>Mary Jane Fresco</t>
  </si>
  <si>
    <t>LAL-0036</t>
  </si>
  <si>
    <t>GSW-0007</t>
  </si>
  <si>
    <t>Unison Global Technologies, Inc.</t>
  </si>
  <si>
    <t>GSW-0008</t>
  </si>
  <si>
    <t>MHE</t>
  </si>
  <si>
    <t xml:space="preserve">EdTech
</t>
  </si>
  <si>
    <t>GSW-0009</t>
  </si>
  <si>
    <t>GSW-0010</t>
  </si>
  <si>
    <t>GSW-0011</t>
  </si>
  <si>
    <t>GSW-0012</t>
  </si>
  <si>
    <t>Vernaflor PERENA</t>
  </si>
  <si>
    <t>GSW-0013</t>
  </si>
  <si>
    <t>Beltran Shieney Joy</t>
  </si>
  <si>
    <t>GSW-0014</t>
  </si>
  <si>
    <t>GSW-0015</t>
  </si>
  <si>
    <t>GSW-0016</t>
  </si>
  <si>
    <t>GSW-0017</t>
  </si>
  <si>
    <t>GSW-0018</t>
  </si>
  <si>
    <t>Dominic Cardel</t>
  </si>
  <si>
    <t>Dominic  Cardel</t>
  </si>
  <si>
    <t>GSW-0019</t>
  </si>
  <si>
    <t>GSW-0020</t>
  </si>
  <si>
    <t>GSW-0021</t>
  </si>
  <si>
    <t>GSW-0022</t>
  </si>
  <si>
    <t>GSW-0023</t>
  </si>
  <si>
    <t>GSW-0024</t>
  </si>
  <si>
    <t>GSW-0025</t>
  </si>
  <si>
    <t>11/16/0205</t>
  </si>
  <si>
    <t>GSW-0026</t>
  </si>
  <si>
    <t>11/13/2024</t>
  </si>
  <si>
    <t>GSW-0027</t>
  </si>
  <si>
    <t>GSW-0028</t>
  </si>
  <si>
    <t>GSW-0029</t>
  </si>
  <si>
    <t>GSW-0030</t>
  </si>
  <si>
    <t>GSW-0031</t>
  </si>
  <si>
    <t>IND-0001</t>
  </si>
  <si>
    <t>FROM PQE</t>
  </si>
  <si>
    <t>IND-0002</t>
  </si>
  <si>
    <t>IND-0003</t>
  </si>
  <si>
    <t>IND-0004</t>
  </si>
  <si>
    <t>IND-0005</t>
  </si>
  <si>
    <t>IND-0006</t>
  </si>
  <si>
    <t>IND-0007</t>
  </si>
  <si>
    <t>IND-0008</t>
  </si>
  <si>
    <t>IND-0009</t>
  </si>
  <si>
    <t>IND-0010</t>
  </si>
  <si>
    <t>IND-0011</t>
  </si>
  <si>
    <t>IND-0012</t>
  </si>
  <si>
    <t>IND-0013</t>
  </si>
  <si>
    <t>IND-0014</t>
  </si>
  <si>
    <t>IND-0015</t>
  </si>
  <si>
    <t>IND-0016</t>
  </si>
  <si>
    <t>IND-0017</t>
  </si>
  <si>
    <t>IND-0018</t>
  </si>
  <si>
    <t>IND-0019</t>
  </si>
  <si>
    <t>IND-0020</t>
  </si>
  <si>
    <t>IND-0021</t>
  </si>
  <si>
    <t>IND-0022</t>
  </si>
  <si>
    <t>IND-0023</t>
  </si>
  <si>
    <t>IND-0024</t>
  </si>
  <si>
    <t>IND-0025</t>
  </si>
  <si>
    <t>IND-0026</t>
  </si>
  <si>
    <t>IND-0027</t>
  </si>
  <si>
    <t>IND-0028</t>
  </si>
  <si>
    <t>IND-0029</t>
  </si>
  <si>
    <t>IND-0030</t>
  </si>
  <si>
    <t>IND-0031</t>
  </si>
  <si>
    <t>IND-0032</t>
  </si>
  <si>
    <t>IND-0033</t>
  </si>
  <si>
    <t>IND-0034</t>
  </si>
  <si>
    <t>IND-0035</t>
  </si>
  <si>
    <t>IND-0036</t>
  </si>
  <si>
    <t>IND-0037</t>
  </si>
  <si>
    <t>LAL-0001</t>
  </si>
  <si>
    <t>LAL-0002</t>
  </si>
  <si>
    <t>LAL-0003</t>
  </si>
  <si>
    <t>LAL-0004</t>
  </si>
  <si>
    <t>LAL-0005</t>
  </si>
  <si>
    <t>LAL-0006</t>
  </si>
  <si>
    <t>LAL-0007</t>
  </si>
  <si>
    <t>LAL-0008</t>
  </si>
  <si>
    <t>LAL-0009</t>
  </si>
  <si>
    <t>LAL-0012</t>
  </si>
  <si>
    <t>LAL-0013</t>
  </si>
  <si>
    <t>LAL-0014</t>
  </si>
  <si>
    <t>Cailao, Anatoly</t>
  </si>
  <si>
    <t>LAL-0015</t>
  </si>
  <si>
    <t>LAL-0017</t>
  </si>
  <si>
    <t>LAL-0018</t>
  </si>
  <si>
    <t>LAL-0021</t>
  </si>
  <si>
    <t>LAL-0022</t>
  </si>
  <si>
    <t>LAL-0023</t>
  </si>
  <si>
    <t>LAL-0024</t>
  </si>
  <si>
    <t>LAL-0025</t>
  </si>
  <si>
    <t>LAL-0026</t>
  </si>
  <si>
    <t>LAL-0027</t>
  </si>
  <si>
    <t>Mark Anthony Mendoza</t>
  </si>
  <si>
    <t>LAL-0029</t>
  </si>
  <si>
    <t>LAL-0030</t>
  </si>
  <si>
    <t>LAL-0031</t>
  </si>
  <si>
    <t>LAL-0033</t>
  </si>
  <si>
    <t>LAL-0034</t>
  </si>
  <si>
    <t>LAL-0037</t>
  </si>
  <si>
    <t>LAL-0038</t>
  </si>
  <si>
    <t>LAL-0039</t>
  </si>
  <si>
    <t>LAL-0040</t>
  </si>
  <si>
    <t>LAL-0041</t>
  </si>
  <si>
    <t>LAL-0042</t>
  </si>
  <si>
    <t>LAL-0043</t>
  </si>
  <si>
    <t>LAL-0044</t>
  </si>
  <si>
    <t>LAL-0045</t>
  </si>
  <si>
    <t>LAL-0046</t>
  </si>
  <si>
    <t>LAL-0047</t>
  </si>
  <si>
    <t>LAL-0048</t>
  </si>
  <si>
    <t>LAL-0049</t>
  </si>
  <si>
    <t>LAL-0050</t>
  </si>
  <si>
    <t>LAL-0051</t>
  </si>
  <si>
    <t>LAL-0052</t>
  </si>
  <si>
    <t>LAL-0053</t>
  </si>
  <si>
    <t>LAL-0054</t>
  </si>
  <si>
    <t>LAL-0055</t>
  </si>
  <si>
    <t>LAL-0056</t>
  </si>
  <si>
    <t>LAL-0057</t>
  </si>
  <si>
    <t>LAL-0058</t>
  </si>
  <si>
    <t>LAL-0059</t>
  </si>
  <si>
    <t>LAL-0060</t>
  </si>
  <si>
    <t>LAL-0061</t>
  </si>
  <si>
    <t>LAL-0063</t>
  </si>
  <si>
    <t>MIA-0001</t>
  </si>
  <si>
    <t>MIA-0002</t>
  </si>
  <si>
    <t>MIA-0003</t>
  </si>
  <si>
    <t>MIA-0004</t>
  </si>
  <si>
    <t>MIA-0005</t>
  </si>
  <si>
    <t>MIA-0006</t>
  </si>
  <si>
    <t>MIA-0007</t>
  </si>
  <si>
    <t>MIA-0008</t>
  </si>
  <si>
    <t>MIA-0009</t>
  </si>
  <si>
    <t>MIA-0010</t>
  </si>
  <si>
    <t>MIA-0011</t>
  </si>
  <si>
    <t>MIA-0012</t>
  </si>
  <si>
    <t>MIA-0013</t>
  </si>
  <si>
    <t>MIA-0014</t>
  </si>
  <si>
    <t>MIA-0015</t>
  </si>
  <si>
    <t>MIA-0016</t>
  </si>
  <si>
    <t>MIA-0017</t>
  </si>
  <si>
    <t>MIA-0018</t>
  </si>
  <si>
    <t>MIA-0019</t>
  </si>
  <si>
    <t>MIA-0020</t>
  </si>
  <si>
    <t>MIA-0021</t>
  </si>
  <si>
    <t>MIA-0022</t>
  </si>
  <si>
    <t>IND - 0035</t>
  </si>
  <si>
    <t>MIA-0023</t>
  </si>
  <si>
    <t>MIA-0024</t>
  </si>
  <si>
    <t>MIA-0025</t>
  </si>
  <si>
    <t>MIA-0026</t>
  </si>
  <si>
    <t>MIA-0027</t>
  </si>
  <si>
    <t>For PostNL Seasonal</t>
  </si>
  <si>
    <t>MIA-0028</t>
  </si>
  <si>
    <t>MIA-0029</t>
  </si>
  <si>
    <t>MIA-0030</t>
  </si>
  <si>
    <t>MIA-0031</t>
  </si>
  <si>
    <t>MIA-0032</t>
  </si>
  <si>
    <t>TRN-011</t>
  </si>
  <si>
    <t>ORL-0001</t>
  </si>
  <si>
    <t>TRN-020</t>
  </si>
  <si>
    <t>ORL-0002</t>
  </si>
  <si>
    <t>ORL-0003</t>
  </si>
  <si>
    <t>TRN-018</t>
  </si>
  <si>
    <t>ORL-0004</t>
  </si>
  <si>
    <t>ORL-0005</t>
  </si>
  <si>
    <t>ORL-0006</t>
  </si>
  <si>
    <t>ORL-0007</t>
  </si>
  <si>
    <t>ORL-0008</t>
  </si>
  <si>
    <t>ORL-0009</t>
  </si>
  <si>
    <t>ORL-0010</t>
  </si>
  <si>
    <t>ORL-0011</t>
  </si>
  <si>
    <t>ORL-0012</t>
  </si>
  <si>
    <t>Corporate</t>
  </si>
  <si>
    <t>ORL-0013</t>
  </si>
  <si>
    <t>ORL-0014</t>
  </si>
  <si>
    <t>Rizzabelle Sumagui Isuan</t>
  </si>
  <si>
    <t>ORL-0015</t>
  </si>
  <si>
    <t>Jenny Rose Inoferio</t>
  </si>
  <si>
    <t>ORL-0016</t>
  </si>
  <si>
    <t>Precious Anne Magpantay</t>
  </si>
  <si>
    <t>ORL-0017</t>
  </si>
  <si>
    <t>Diana Elaine Magpantay</t>
  </si>
  <si>
    <t>ORL-0018</t>
  </si>
  <si>
    <t>Ventoza, Abigail</t>
  </si>
  <si>
    <t>ORL-0019</t>
  </si>
  <si>
    <t>ORL-0020</t>
  </si>
  <si>
    <t>PHX-0001</t>
  </si>
  <si>
    <t>Cabanero, Rodrigo</t>
  </si>
  <si>
    <t>PHX-0003</t>
  </si>
  <si>
    <t>Charlotte Ramones</t>
  </si>
  <si>
    <t>PHX-0005</t>
  </si>
  <si>
    <t>BEEP</t>
  </si>
  <si>
    <t>PHX-0007</t>
  </si>
  <si>
    <t>C3-6 0013</t>
  </si>
  <si>
    <t>Clinic</t>
  </si>
  <si>
    <t>IB NOLO</t>
  </si>
  <si>
    <t>PHX-0015</t>
  </si>
  <si>
    <t>remote pc</t>
  </si>
  <si>
    <t>PHX-0016</t>
  </si>
  <si>
    <t>IT Network Monitoring PC</t>
  </si>
  <si>
    <t>PHX-0017</t>
  </si>
  <si>
    <t>IT Printer PC</t>
  </si>
  <si>
    <t>PHX-0018</t>
  </si>
  <si>
    <t>PHX-0019</t>
  </si>
  <si>
    <t>Test PC Ryan</t>
  </si>
  <si>
    <t>PHX-0020</t>
  </si>
  <si>
    <t>PHX-0021</t>
  </si>
  <si>
    <t>TRN-010</t>
  </si>
  <si>
    <t>PHX-0024</t>
  </si>
  <si>
    <t>PHX-0025</t>
  </si>
  <si>
    <t>PHX-0026</t>
  </si>
  <si>
    <t>PHX-0027</t>
  </si>
  <si>
    <t>PHX-0028</t>
  </si>
  <si>
    <t>PHX-0029</t>
  </si>
  <si>
    <t>PHX-0030</t>
  </si>
  <si>
    <t>PHX-0031</t>
  </si>
  <si>
    <t>PHX-0032</t>
  </si>
  <si>
    <t>PHX-0033</t>
  </si>
  <si>
    <t>PHX-0034</t>
  </si>
  <si>
    <t>PHX-0035</t>
  </si>
  <si>
    <t>SAC-0001</t>
  </si>
  <si>
    <t>SAC-0002</t>
  </si>
  <si>
    <t>SAC-0003</t>
  </si>
  <si>
    <t>SAC-0004</t>
  </si>
  <si>
    <t>SAC-0005</t>
  </si>
  <si>
    <t>SAC-0006</t>
  </si>
  <si>
    <t>SAC-0007</t>
  </si>
  <si>
    <t>SAC-0009</t>
  </si>
  <si>
    <t>SAC-0010</t>
  </si>
  <si>
    <t>SAC-0011</t>
  </si>
  <si>
    <t>SAC-0012</t>
  </si>
  <si>
    <t>TRN-019</t>
  </si>
  <si>
    <t>SAC-0013</t>
  </si>
  <si>
    <t>SAC-0014</t>
  </si>
  <si>
    <t>Mikelien Mejares Calumpag</t>
  </si>
  <si>
    <t>SAC-0015</t>
  </si>
  <si>
    <t>Joimee Anne Zara Alamag</t>
  </si>
  <si>
    <t>SAC-0016</t>
  </si>
  <si>
    <t>Mharie Anne Francis Mance</t>
  </si>
  <si>
    <t>SAS-0001</t>
  </si>
  <si>
    <t>Renz Albert Miranda</t>
  </si>
  <si>
    <t>SAS-0002</t>
  </si>
  <si>
    <t>Bernard Allan Sangalang</t>
  </si>
  <si>
    <t>SAS-0003</t>
  </si>
  <si>
    <t>Renelyn Binondo Nazario</t>
  </si>
  <si>
    <t>SAS-0004</t>
  </si>
  <si>
    <t>FMG MST</t>
  </si>
  <si>
    <t>SAS-0005</t>
  </si>
  <si>
    <t>SAS-0006</t>
  </si>
  <si>
    <t>SAS-0007</t>
  </si>
  <si>
    <t>SAS-0008</t>
  </si>
  <si>
    <t>SAS-0009</t>
  </si>
  <si>
    <t>SAS-0010</t>
  </si>
  <si>
    <t>SAS-0011</t>
  </si>
  <si>
    <t>SAS-0012</t>
  </si>
  <si>
    <t>SAS-0013</t>
  </si>
  <si>
    <t>SAS-0014</t>
  </si>
  <si>
    <t>SAS-0015</t>
  </si>
  <si>
    <t>FMG Lobby</t>
  </si>
  <si>
    <t>SAS-0016</t>
  </si>
  <si>
    <t>SAS-0017</t>
  </si>
  <si>
    <t>LaL-0032</t>
  </si>
  <si>
    <t>SAS-0018</t>
  </si>
  <si>
    <t>SAS-0019</t>
  </si>
  <si>
    <t>SAS-0020</t>
  </si>
  <si>
    <t>SAS-0021</t>
  </si>
  <si>
    <t>mezzanine</t>
  </si>
  <si>
    <t>SAS-0026</t>
  </si>
  <si>
    <t>SAS-0027</t>
  </si>
  <si>
    <t>SAS-0028</t>
  </si>
  <si>
    <t>SAS-0029</t>
  </si>
  <si>
    <t>LN Caselaw</t>
  </si>
  <si>
    <t>SAS-0030</t>
  </si>
  <si>
    <t>SAS-0031</t>
  </si>
  <si>
    <t>SAS-0032</t>
  </si>
  <si>
    <t>SAS-0033</t>
  </si>
  <si>
    <t>SAS-0034</t>
  </si>
  <si>
    <t>SAS-0035</t>
  </si>
  <si>
    <t>Maritonilou Montalbo</t>
  </si>
  <si>
    <t>SAS-0036</t>
  </si>
  <si>
    <t>Mojares, Edison Don</t>
  </si>
  <si>
    <t>SAS-0037</t>
  </si>
  <si>
    <t>Marie Pesigan</t>
  </si>
  <si>
    <t>SAS-0038</t>
  </si>
  <si>
    <t>Emelyn Dacara</t>
  </si>
  <si>
    <t>SAS-0039</t>
  </si>
  <si>
    <t>Jerlyn Mostales</t>
  </si>
  <si>
    <t>SAS-0040</t>
  </si>
  <si>
    <t>Aala , Emmanuel Joshua</t>
  </si>
  <si>
    <t>SAS-0041</t>
  </si>
  <si>
    <t>Vincent Reglos</t>
  </si>
  <si>
    <t>SAS-0042</t>
  </si>
  <si>
    <t>Vicente Abarcar</t>
  </si>
  <si>
    <t>LN UK Data Conversion</t>
  </si>
  <si>
    <t>ATL-36</t>
  </si>
  <si>
    <t>SAS-0043</t>
  </si>
  <si>
    <t>Training Room</t>
  </si>
  <si>
    <t>SAS-0044</t>
  </si>
  <si>
    <t>SAS-0045</t>
  </si>
  <si>
    <t>Ambrosio, Edlyn</t>
  </si>
  <si>
    <t>SAS-0046</t>
  </si>
  <si>
    <t>HP Prodesk 400 GB</t>
  </si>
  <si>
    <t>SAS-0047</t>
  </si>
  <si>
    <t>SAS-0048</t>
  </si>
  <si>
    <t>SAS-0049</t>
  </si>
  <si>
    <t>TOR-0001</t>
  </si>
  <si>
    <t>TOR-0002</t>
  </si>
  <si>
    <t>11/15/2023</t>
  </si>
  <si>
    <t>Grace Jean C. Oribiana</t>
  </si>
  <si>
    <t>TOR-0003</t>
  </si>
  <si>
    <t>Rodelyn Velasco</t>
  </si>
  <si>
    <t>TOR-0004</t>
  </si>
  <si>
    <t>TOR-0005</t>
  </si>
  <si>
    <t>Ompad, Beneth Joy</t>
  </si>
  <si>
    <t>TOR-0006</t>
  </si>
  <si>
    <t>Allison Alipon</t>
  </si>
  <si>
    <t>TOR-0007</t>
  </si>
  <si>
    <t>Francis Evangelista</t>
  </si>
  <si>
    <t>TOR-0008</t>
  </si>
  <si>
    <t>7/29/2024</t>
  </si>
  <si>
    <t>TOR-0009</t>
  </si>
  <si>
    <t>Joanne Bonafe</t>
  </si>
  <si>
    <t>TOR-0010</t>
  </si>
  <si>
    <t>11/23/2023</t>
  </si>
  <si>
    <t>TOR-0011</t>
  </si>
  <si>
    <t>TOR-0012</t>
  </si>
  <si>
    <t>PXH-0020</t>
  </si>
  <si>
    <t>TOR-0013</t>
  </si>
  <si>
    <t>7/31/2024</t>
  </si>
  <si>
    <t>TOR-0014</t>
  </si>
  <si>
    <t>TOR-0015</t>
  </si>
  <si>
    <t>TOR-0016</t>
  </si>
  <si>
    <t>TOR-0017</t>
  </si>
  <si>
    <t>Palentinos, Ronabel</t>
  </si>
  <si>
    <t>TOR-0018</t>
  </si>
  <si>
    <t>Jeff Comia</t>
  </si>
  <si>
    <t>TOR-0019</t>
  </si>
  <si>
    <t>Clarissa Mondido-Constantino</t>
  </si>
  <si>
    <t>TOR-0020</t>
  </si>
  <si>
    <t>TOR-0021</t>
  </si>
  <si>
    <t>TOR-0022</t>
  </si>
  <si>
    <t>TOR-0023</t>
  </si>
  <si>
    <t>Euwellen P. Guerra</t>
  </si>
  <si>
    <t>LN TAD</t>
  </si>
  <si>
    <t>TOR-0024</t>
  </si>
  <si>
    <t>Merryrose E. Bilog</t>
  </si>
  <si>
    <t>TOR-0025</t>
  </si>
  <si>
    <t>Hilda B. Manuyog</t>
  </si>
  <si>
    <t>TOR-0026</t>
  </si>
  <si>
    <t>Karlo Lalap</t>
  </si>
  <si>
    <t>TOR-0027</t>
  </si>
  <si>
    <t>Bien Raden Quimio</t>
  </si>
  <si>
    <t>TOR-0028</t>
  </si>
  <si>
    <t>Errol Jaurigue</t>
  </si>
  <si>
    <t>TOR-0029</t>
  </si>
  <si>
    <t>Janith De Villa</t>
  </si>
  <si>
    <t>Natgen</t>
  </si>
  <si>
    <t>TOR-0030</t>
  </si>
  <si>
    <t>Karen Cantos Llanza</t>
  </si>
  <si>
    <t>TOR-0031</t>
  </si>
  <si>
    <t>4/16/2024</t>
  </si>
  <si>
    <t>TOR-0032</t>
  </si>
  <si>
    <t>TOR-0033</t>
  </si>
  <si>
    <t>TOR-0034</t>
  </si>
  <si>
    <t>TOR-0035</t>
  </si>
  <si>
    <t>TOR-0036</t>
  </si>
  <si>
    <t>TOR-0037</t>
  </si>
  <si>
    <t>4/26/2024</t>
  </si>
  <si>
    <t>TOR-0038</t>
  </si>
  <si>
    <t>TOR-0039</t>
  </si>
  <si>
    <t>TOR-0040</t>
  </si>
  <si>
    <t>LenovoThinkCentre M70s Gen3</t>
  </si>
  <si>
    <t>Gray Room</t>
  </si>
  <si>
    <t>TOR-0041</t>
  </si>
  <si>
    <t>DPD UK CS non voice</t>
  </si>
  <si>
    <t>TOR-0042</t>
  </si>
  <si>
    <t>TOR-0043</t>
  </si>
  <si>
    <t>TOR-0044</t>
  </si>
  <si>
    <t>TOR-0045</t>
  </si>
  <si>
    <t>TOR-0046</t>
  </si>
  <si>
    <t>TOR-0047</t>
  </si>
  <si>
    <t>TOR-0048</t>
  </si>
  <si>
    <t>TOR-0049</t>
  </si>
  <si>
    <t>TOR-0050</t>
  </si>
  <si>
    <t>TOR-0051</t>
  </si>
  <si>
    <t>TOR-0052</t>
  </si>
  <si>
    <t>TOR-0053</t>
  </si>
  <si>
    <t>TOR-0054</t>
  </si>
  <si>
    <t>TOR-0055</t>
  </si>
  <si>
    <t>TRN-0010</t>
  </si>
  <si>
    <t>TRN-0011</t>
  </si>
  <si>
    <t>Joan Metrillo</t>
  </si>
  <si>
    <t>Genecis Atienza</t>
  </si>
  <si>
    <t>EdTech</t>
  </si>
  <si>
    <t>Dennis Cauan</t>
  </si>
  <si>
    <t>Ryan Collano</t>
  </si>
  <si>
    <t>Jose Eugenio</t>
  </si>
  <si>
    <t>Brian Piring</t>
  </si>
  <si>
    <t>Kenneth Ortega</t>
  </si>
  <si>
    <t>Jay Zatarain</t>
  </si>
  <si>
    <t>Jecrie Verganio</t>
  </si>
  <si>
    <t>Edmel Yutan</t>
  </si>
  <si>
    <t>Reeva Mendoza</t>
  </si>
  <si>
    <t>LN KEYED</t>
  </si>
  <si>
    <t>Jonalyn Siman</t>
  </si>
  <si>
    <t>Eimireen Manilay</t>
  </si>
  <si>
    <t>Randy Ebreo</t>
  </si>
  <si>
    <t>Ressa Salaber</t>
  </si>
  <si>
    <t>Johnny Albino Jr.</t>
  </si>
  <si>
    <t>Marlfrey Capanzana</t>
  </si>
  <si>
    <t>Franz Lawrence Fanoga</t>
  </si>
  <si>
    <t>5/18/2024</t>
  </si>
  <si>
    <t>Jose Ricardo Sumaong</t>
  </si>
  <si>
    <t>LN SEA</t>
  </si>
  <si>
    <t>Jennie Sabarias</t>
  </si>
  <si>
    <t>DAL</t>
  </si>
  <si>
    <t>PHX - 0003</t>
  </si>
  <si>
    <t>Mark Angelo Catindoy</t>
  </si>
  <si>
    <t>LN SEA HK</t>
  </si>
  <si>
    <t>5/30/2024</t>
  </si>
  <si>
    <t>Asendia</t>
  </si>
  <si>
    <t>Lenovo ThinkCetre M720s</t>
  </si>
  <si>
    <t>LENOVO M720s</t>
  </si>
  <si>
    <t>Lenovo Think Centre M720s</t>
  </si>
  <si>
    <t>LENOVO Thinkcentre M70s Gen 4</t>
  </si>
  <si>
    <t>OptiPlex Micro (7010) [i5 12th Gen</t>
  </si>
  <si>
    <t>Phil-Data Business</t>
  </si>
  <si>
    <t>Lenovo ThinkCentre M70s Gen 5</t>
  </si>
  <si>
    <t>11/26/2024</t>
  </si>
  <si>
    <t>Aira Eunice Gamboa</t>
  </si>
  <si>
    <t>Hindawin JEO</t>
  </si>
  <si>
    <t>Alviner Dadural Malaiba</t>
  </si>
  <si>
    <t>11/28/2024</t>
  </si>
  <si>
    <t>Anjallene Badulis</t>
  </si>
  <si>
    <t>Mariel Lanceta Derapite</t>
  </si>
  <si>
    <t>11/27/2024</t>
  </si>
  <si>
    <t>Giorgino Michael Adan Rubin</t>
  </si>
  <si>
    <t>Irish Anenias Lontayao</t>
  </si>
  <si>
    <t>Jerica Jona Majillano Lorenzo</t>
  </si>
  <si>
    <t>Jethro Almazan Elcano</t>
  </si>
  <si>
    <t>Lienell Ann Magnaye Chavez</t>
  </si>
  <si>
    <t>Ronna-Liza San Marcos Balce</t>
  </si>
  <si>
    <t>11/29/2024</t>
  </si>
  <si>
    <t>Ivy Cacao</t>
  </si>
  <si>
    <t>Greshelle Rubin</t>
  </si>
  <si>
    <t>Jerissa Maranan De Villa</t>
  </si>
  <si>
    <t>LENOVO 10SUSDKA00</t>
  </si>
  <si>
    <t>LENOVO M720</t>
  </si>
  <si>
    <t>Lenovo Thinkcentre M70s Gen 4</t>
  </si>
  <si>
    <t>LN RIAG Additional</t>
  </si>
  <si>
    <t>Mae Valdez</t>
  </si>
  <si>
    <t>John Paul Alvarez</t>
  </si>
  <si>
    <t>Villanueva, Joyce</t>
  </si>
  <si>
    <t>Dell OptiPlex Micro (7010) i5 12th Gen</t>
  </si>
  <si>
    <t>John Adrian Ruidera</t>
  </si>
  <si>
    <t>Kevin Arren Palicpic</t>
  </si>
  <si>
    <t>Mark Anthony Roy</t>
  </si>
  <si>
    <t>LN UK</t>
  </si>
  <si>
    <t>Mendoza, Donnalyn</t>
  </si>
  <si>
    <t>DPD Geo-Brexit</t>
  </si>
  <si>
    <t>Kenneth Mark Claur</t>
  </si>
  <si>
    <t>Jessabel Ann Salvador</t>
  </si>
  <si>
    <t>Ma. Sushmita Enriquez</t>
  </si>
  <si>
    <t>Lenovo Thinkcentre M70s Gen 5</t>
  </si>
  <si>
    <t>Bon Patrick Alcantara</t>
  </si>
  <si>
    <t>From PQ Unit</t>
  </si>
  <si>
    <t>SW176</t>
  </si>
  <si>
    <t>TCL TV</t>
  </si>
  <si>
    <t>EMERGENCY EXIT</t>
  </si>
  <si>
    <t>Aircon</t>
  </si>
  <si>
    <t>THEO TABLE</t>
  </si>
  <si>
    <t>SW136P11</t>
  </si>
  <si>
    <t>SW171P27</t>
  </si>
  <si>
    <t>SW165P02</t>
  </si>
  <si>
    <t>SW161P10</t>
  </si>
  <si>
    <t>SW161P09</t>
  </si>
  <si>
    <t>SW161P08</t>
  </si>
  <si>
    <t>SW161P07</t>
  </si>
  <si>
    <t>SW161P06</t>
  </si>
  <si>
    <t>SW161P05</t>
  </si>
  <si>
    <t>SW161P04</t>
  </si>
  <si>
    <t>SW161P03</t>
  </si>
  <si>
    <t>SW161P02</t>
  </si>
  <si>
    <t>SW161P01</t>
  </si>
  <si>
    <t>SW140P37</t>
  </si>
  <si>
    <t>SW137P22</t>
  </si>
  <si>
    <t>SW137P23</t>
  </si>
  <si>
    <t>SW140P32</t>
  </si>
  <si>
    <t>SW171P31</t>
  </si>
  <si>
    <t>no sticker</t>
  </si>
  <si>
    <t>SW137P07</t>
  </si>
  <si>
    <t>SW137P06</t>
  </si>
  <si>
    <t>SW137P05</t>
  </si>
  <si>
    <t>SW137P11</t>
  </si>
  <si>
    <t>SW137P02</t>
  </si>
  <si>
    <t>SW137P13</t>
  </si>
  <si>
    <t>SW137P14</t>
  </si>
  <si>
    <t>SW137P15</t>
  </si>
  <si>
    <t>SW144P22</t>
  </si>
  <si>
    <t>Vacant</t>
  </si>
  <si>
    <t>BGPC000032716</t>
  </si>
  <si>
    <t>SW136P12</t>
  </si>
  <si>
    <t>SW171P28.0</t>
  </si>
  <si>
    <t>SW171P26</t>
  </si>
  <si>
    <t>SW145P05</t>
  </si>
  <si>
    <t>AUNZ</t>
  </si>
  <si>
    <t>KEYED</t>
  </si>
  <si>
    <t>EP</t>
  </si>
  <si>
    <t>AAAS</t>
  </si>
  <si>
    <t>x</t>
  </si>
  <si>
    <t>o</t>
  </si>
  <si>
    <t>SW161P22</t>
  </si>
  <si>
    <t>SW161P21</t>
  </si>
  <si>
    <t>SW161P20</t>
  </si>
  <si>
    <t>SW161P19</t>
  </si>
  <si>
    <t>SW161P18</t>
  </si>
  <si>
    <t>SW161P17</t>
  </si>
  <si>
    <t>SW161P16</t>
  </si>
  <si>
    <t>SW161P15</t>
  </si>
  <si>
    <t>SW161P14</t>
  </si>
  <si>
    <t>SW161P13</t>
  </si>
  <si>
    <t>SW161P12</t>
  </si>
  <si>
    <t>SW140P34</t>
  </si>
  <si>
    <t>SW140P38</t>
  </si>
  <si>
    <t>SW137P24</t>
  </si>
  <si>
    <t>SW140P39</t>
  </si>
  <si>
    <t>SW140P19</t>
  </si>
  <si>
    <t>SW140P23</t>
  </si>
  <si>
    <t>S137P29</t>
  </si>
  <si>
    <t>S137P18</t>
  </si>
  <si>
    <t>S137P26</t>
  </si>
  <si>
    <t>S137P20</t>
  </si>
  <si>
    <t>S137P19</t>
  </si>
  <si>
    <t>SW137P08</t>
  </si>
  <si>
    <t>SW137P09</t>
  </si>
  <si>
    <t>SW137P10</t>
  </si>
  <si>
    <t>SW137P4</t>
  </si>
  <si>
    <t>SW137P03</t>
  </si>
  <si>
    <t>SW137P12</t>
  </si>
  <si>
    <t>SW137P01</t>
  </si>
  <si>
    <t>SW144P24</t>
  </si>
  <si>
    <t>SW144P23</t>
  </si>
  <si>
    <t>SW131P15</t>
  </si>
  <si>
    <t>SW171P21</t>
  </si>
  <si>
    <t>SW145P25</t>
  </si>
  <si>
    <t>-</t>
  </si>
  <si>
    <t>SOPLAGWK032729</t>
  </si>
  <si>
    <t>VACANT</t>
  </si>
  <si>
    <t>SW136P21</t>
  </si>
  <si>
    <t>SW171P24.0</t>
  </si>
  <si>
    <t>SW171P20</t>
  </si>
  <si>
    <t>SW145P03</t>
  </si>
  <si>
    <t>for restart</t>
  </si>
  <si>
    <t>SW136P09</t>
  </si>
  <si>
    <t>SW171P19.0</t>
  </si>
  <si>
    <t>SW131P9</t>
  </si>
  <si>
    <t>SW145P10</t>
  </si>
  <si>
    <t>SW161P35</t>
  </si>
  <si>
    <t>SW161P34</t>
  </si>
  <si>
    <t>SW161P33</t>
  </si>
  <si>
    <t>SW161P32</t>
  </si>
  <si>
    <t>SW161P31</t>
  </si>
  <si>
    <t>SW161P29</t>
  </si>
  <si>
    <t>SW161P28</t>
  </si>
  <si>
    <t>SW161P27</t>
  </si>
  <si>
    <t>SW161P26</t>
  </si>
  <si>
    <t>SW161P25</t>
  </si>
  <si>
    <t>SW161P24</t>
  </si>
  <si>
    <t>SW140P29</t>
  </si>
  <si>
    <t>SW137P20</t>
  </si>
  <si>
    <t>SW145P13</t>
  </si>
  <si>
    <t>SW140P28</t>
  </si>
  <si>
    <t>SW140P18</t>
  </si>
  <si>
    <t>SW137P37</t>
  </si>
  <si>
    <t>SW137P38</t>
  </si>
  <si>
    <t>SW137P39</t>
  </si>
  <si>
    <t>SW137P40</t>
  </si>
  <si>
    <t>SW137P30</t>
  </si>
  <si>
    <t>SW144P21</t>
  </si>
  <si>
    <t>SW136P34</t>
  </si>
  <si>
    <t>SW136P33</t>
  </si>
  <si>
    <t>SW136P39</t>
  </si>
  <si>
    <t>SW136P40</t>
  </si>
  <si>
    <t>SW136P41</t>
  </si>
  <si>
    <t>SW136P42</t>
  </si>
  <si>
    <t>SW136P43</t>
  </si>
  <si>
    <t>SW136P44</t>
  </si>
  <si>
    <t>Samsung TV</t>
  </si>
  <si>
    <t>LN UK done</t>
  </si>
  <si>
    <t>SW136P23</t>
  </si>
  <si>
    <t>SW171P18.0</t>
  </si>
  <si>
    <t>SW171P17</t>
  </si>
  <si>
    <t>SW145P07</t>
  </si>
  <si>
    <t>SW162P46</t>
  </si>
  <si>
    <t>SW161P46</t>
  </si>
  <si>
    <t>SW161P45</t>
  </si>
  <si>
    <t>SW161P44</t>
  </si>
  <si>
    <t>SW161P43</t>
  </si>
  <si>
    <t>SW161P42</t>
  </si>
  <si>
    <t>SW161P41</t>
  </si>
  <si>
    <t>SW161P40</t>
  </si>
  <si>
    <t>SW161P39</t>
  </si>
  <si>
    <t>SW161P38</t>
  </si>
  <si>
    <t>SW161P37</t>
  </si>
  <si>
    <t>SW161P36</t>
  </si>
  <si>
    <t>SW140P30</t>
  </si>
  <si>
    <t>SW140P20</t>
  </si>
  <si>
    <t>SW137P36</t>
  </si>
  <si>
    <t>SW144P42</t>
  </si>
  <si>
    <t>SW140P31</t>
  </si>
  <si>
    <t>SW145P22</t>
  </si>
  <si>
    <t>SW138P01</t>
  </si>
  <si>
    <t>SW138P04</t>
  </si>
  <si>
    <t>SW138P03</t>
  </si>
  <si>
    <t>SW137P43</t>
  </si>
  <si>
    <t>SW137P42</t>
  </si>
  <si>
    <t>SW136P35</t>
  </si>
  <si>
    <t>SW136P36</t>
  </si>
  <si>
    <t>SW136P37</t>
  </si>
  <si>
    <t>SW136P38</t>
  </si>
  <si>
    <t>SW136P31</t>
  </si>
  <si>
    <t>SW136P30</t>
  </si>
  <si>
    <t>SW136P29</t>
  </si>
  <si>
    <t>SW136P28</t>
  </si>
  <si>
    <t>SW136P27</t>
  </si>
  <si>
    <t>SOPLAGWK035396</t>
  </si>
  <si>
    <t>SOPLAGWK033554</t>
  </si>
  <si>
    <t>SOPLAGWK033557</t>
  </si>
  <si>
    <t>Laptop use</t>
  </si>
  <si>
    <t>SOPLAGWK033173</t>
  </si>
  <si>
    <t>SOPLAGWK035737</t>
  </si>
  <si>
    <t>SOPLAGWK035728</t>
  </si>
  <si>
    <t>SOPLAGWK035392</t>
  </si>
  <si>
    <t>SOPLAGWK035738</t>
  </si>
  <si>
    <t>SOPLAGWK035398</t>
  </si>
  <si>
    <t>BGPC000035726</t>
  </si>
  <si>
    <t>SW136P07</t>
  </si>
  <si>
    <t>SW141P39</t>
  </si>
  <si>
    <t>SW171P30</t>
  </si>
  <si>
    <t>LN Analytical</t>
  </si>
  <si>
    <t>RMG</t>
  </si>
  <si>
    <t>XCAGO</t>
  </si>
  <si>
    <t>d</t>
  </si>
  <si>
    <t>SAN ANTONIO</t>
  </si>
  <si>
    <t>Phoenix</t>
  </si>
  <si>
    <t>PLOS AREA</t>
  </si>
  <si>
    <t>RMG AREA</t>
  </si>
  <si>
    <t>SW136P06</t>
  </si>
  <si>
    <t>SW145P08</t>
  </si>
  <si>
    <t>SW145P12</t>
  </si>
  <si>
    <t>SW145P01</t>
  </si>
  <si>
    <t>DOOR</t>
  </si>
  <si>
    <t>SW162P11</t>
  </si>
  <si>
    <t>SW162P10</t>
  </si>
  <si>
    <t>SW162P09</t>
  </si>
  <si>
    <t>SW162P08</t>
  </si>
  <si>
    <t>SW162P07</t>
  </si>
  <si>
    <t>SW162P06</t>
  </si>
  <si>
    <t>SW162P05</t>
  </si>
  <si>
    <t>SW145P21</t>
  </si>
  <si>
    <t>SW138P14</t>
  </si>
  <si>
    <t>SW138P20</t>
  </si>
  <si>
    <t>SW144P26</t>
  </si>
  <si>
    <t>SW144P25</t>
  </si>
  <si>
    <t>SW138P05</t>
  </si>
  <si>
    <t>SW136P16/P15</t>
  </si>
  <si>
    <t>SW136P14</t>
  </si>
  <si>
    <t>SW144P17</t>
  </si>
  <si>
    <t>SW144P18</t>
  </si>
  <si>
    <t>SW136P04</t>
  </si>
  <si>
    <t>SW135P38</t>
  </si>
  <si>
    <t>SW135P37</t>
  </si>
  <si>
    <t>SW135P36</t>
  </si>
  <si>
    <t>SW145P09</t>
  </si>
  <si>
    <t>MANAGERS AREA</t>
  </si>
  <si>
    <t>SW162P23</t>
  </si>
  <si>
    <t>SW162P21</t>
  </si>
  <si>
    <t>SW162P20</t>
  </si>
  <si>
    <t>SW162P19</t>
  </si>
  <si>
    <t>SW162P18</t>
  </si>
  <si>
    <t>SW162P17</t>
  </si>
  <si>
    <t>SW162P16</t>
  </si>
  <si>
    <t>SW162P15</t>
  </si>
  <si>
    <t>SW162P14</t>
  </si>
  <si>
    <t>SW162P13</t>
  </si>
  <si>
    <t>SW162P12</t>
  </si>
  <si>
    <t>SW138P06/P15</t>
  </si>
  <si>
    <t>SW138P18</t>
  </si>
  <si>
    <t>SW138P17</t>
  </si>
  <si>
    <t>SW138P16</t>
  </si>
  <si>
    <t>SW136P18</t>
  </si>
  <si>
    <t>SW135P43</t>
  </si>
  <si>
    <t>SW135P42</t>
  </si>
  <si>
    <t>SW135P41</t>
  </si>
  <si>
    <t>SW135P40</t>
  </si>
  <si>
    <t>SW135P39</t>
  </si>
  <si>
    <t>SW136P01</t>
  </si>
  <si>
    <t>SW136P02</t>
  </si>
  <si>
    <t>SW136P03</t>
  </si>
  <si>
    <t>SOPLAGWK032742</t>
  </si>
  <si>
    <t>SW132 P35</t>
  </si>
  <si>
    <t>SW131 P31</t>
  </si>
  <si>
    <t>SW132 P38</t>
  </si>
  <si>
    <t>STM - IB - DPD - ASENDIA</t>
  </si>
  <si>
    <t>SW145 P37</t>
  </si>
  <si>
    <t>SW131 P17</t>
  </si>
  <si>
    <t>SW162P35</t>
  </si>
  <si>
    <t>SW162P34</t>
  </si>
  <si>
    <t>SW162P33</t>
  </si>
  <si>
    <t>SW162P32</t>
  </si>
  <si>
    <t>SW162P31</t>
  </si>
  <si>
    <t>SW162P30</t>
  </si>
  <si>
    <t>SW162P29</t>
  </si>
  <si>
    <t>SW162P28</t>
  </si>
  <si>
    <t>SW162P27</t>
  </si>
  <si>
    <t>SW162P26</t>
  </si>
  <si>
    <t>SW162P25</t>
  </si>
  <si>
    <t>SW162P24</t>
  </si>
  <si>
    <t>SW138P10</t>
  </si>
  <si>
    <t>SW138P11</t>
  </si>
  <si>
    <t>SW138P08</t>
  </si>
  <si>
    <t>SW143P20</t>
  </si>
  <si>
    <t>SW138P09</t>
  </si>
  <si>
    <t>SW138P12</t>
  </si>
  <si>
    <t>SW135P24/P33</t>
  </si>
  <si>
    <t>SW135P25</t>
  </si>
  <si>
    <t>SW135P26</t>
  </si>
  <si>
    <t>SW135P27</t>
  </si>
  <si>
    <t>SW135P28</t>
  </si>
  <si>
    <t>SW135P29</t>
  </si>
  <si>
    <t>SW135P30</t>
  </si>
  <si>
    <t>SW135P31</t>
  </si>
  <si>
    <t>SW135P32</t>
  </si>
  <si>
    <t>SW132 P37</t>
  </si>
  <si>
    <t>SW145 P36</t>
  </si>
  <si>
    <t>SW132 P33</t>
  </si>
  <si>
    <t>E-Crash</t>
  </si>
  <si>
    <t>ASENDIA</t>
  </si>
  <si>
    <t>WK TAA</t>
  </si>
  <si>
    <t>HALLWAY</t>
  </si>
  <si>
    <t>ATL - 001</t>
  </si>
  <si>
    <t>ATL - 002</t>
  </si>
  <si>
    <t>IND - 0001</t>
  </si>
  <si>
    <t>IND - 0002</t>
  </si>
  <si>
    <t>IND - 0003</t>
  </si>
  <si>
    <t>IND - 0004</t>
  </si>
  <si>
    <t>IND - 0005</t>
  </si>
  <si>
    <t>Door</t>
  </si>
  <si>
    <t>SOPLAGW60018683</t>
  </si>
  <si>
    <t>SW140P10</t>
  </si>
  <si>
    <t>SW140P04</t>
  </si>
  <si>
    <t>SW140P11</t>
  </si>
  <si>
    <t>SW142P22</t>
  </si>
  <si>
    <t>SW142P20</t>
  </si>
  <si>
    <t>SW142P19</t>
  </si>
  <si>
    <t>SW142P21</t>
  </si>
  <si>
    <t>SW140P09</t>
  </si>
  <si>
    <t>SW140P8</t>
  </si>
  <si>
    <t>SW143P1</t>
  </si>
  <si>
    <t>SW142P25</t>
  </si>
  <si>
    <t>SW135 /P15</t>
  </si>
  <si>
    <t>SW135 /P16</t>
  </si>
  <si>
    <t>SW135P16</t>
  </si>
  <si>
    <t>SW135 /P14</t>
  </si>
  <si>
    <t>SW135P18</t>
  </si>
  <si>
    <t>SW135 - P20</t>
  </si>
  <si>
    <t>SW135 /P23</t>
  </si>
  <si>
    <t>SW174 - P19</t>
  </si>
  <si>
    <t>SW171 /P34</t>
  </si>
  <si>
    <t>SW171 /P33</t>
  </si>
  <si>
    <t>SW171 - P35</t>
  </si>
  <si>
    <t>SW171 /P36</t>
  </si>
  <si>
    <t>SW171 /P39</t>
  </si>
  <si>
    <t>ECRASH</t>
  </si>
  <si>
    <t>SONY TV</t>
  </si>
  <si>
    <t>Wiley AOS</t>
  </si>
  <si>
    <t>SOPLAGW60018689</t>
  </si>
  <si>
    <t>IND - 0006</t>
  </si>
  <si>
    <t>IND - 0007</t>
  </si>
  <si>
    <t>IND - 0008</t>
  </si>
  <si>
    <t>IND - 0009</t>
  </si>
  <si>
    <t>SW142P29</t>
  </si>
  <si>
    <t>SW143P01</t>
  </si>
  <si>
    <t>SW138P27</t>
  </si>
  <si>
    <t>SW140P03</t>
  </si>
  <si>
    <t>SW142P33</t>
  </si>
  <si>
    <t>SW142P27</t>
  </si>
  <si>
    <t>SW142P35</t>
  </si>
  <si>
    <t>SW142P37</t>
  </si>
  <si>
    <t>SW143P38</t>
  </si>
  <si>
    <t>SW142P39</t>
  </si>
  <si>
    <t>SW135P04</t>
  </si>
  <si>
    <t>SW135P06</t>
  </si>
  <si>
    <t>SW135P07</t>
  </si>
  <si>
    <t>SW135P08</t>
  </si>
  <si>
    <t>SW135 - P10</t>
  </si>
  <si>
    <t>SW172 /P20</t>
  </si>
  <si>
    <t>SW144 /P2</t>
  </si>
  <si>
    <t>SOPLAGWK035441</t>
  </si>
  <si>
    <t>SOPLAGWK035735</t>
  </si>
  <si>
    <t>DPDo</t>
  </si>
  <si>
    <t>DPD o</t>
  </si>
  <si>
    <t>SOPLAGWK32849</t>
  </si>
  <si>
    <t>IND - 0010</t>
  </si>
  <si>
    <t>IND - 0011</t>
  </si>
  <si>
    <t>IND - 0012</t>
  </si>
  <si>
    <t>IND - 0013</t>
  </si>
  <si>
    <t>SW142P36</t>
  </si>
  <si>
    <t>SW142P28</t>
  </si>
  <si>
    <t>SW142P34</t>
  </si>
  <si>
    <t>SW142P41</t>
  </si>
  <si>
    <t>SW142P26</t>
  </si>
  <si>
    <t>SW142P40</t>
  </si>
  <si>
    <t>SW142P42</t>
  </si>
  <si>
    <t>SW143P02</t>
  </si>
  <si>
    <t>SW142P30</t>
  </si>
  <si>
    <t>SW143P4</t>
  </si>
  <si>
    <t>SW142P31</t>
  </si>
  <si>
    <t>SW135P02</t>
  </si>
  <si>
    <t>SW135 /P1</t>
  </si>
  <si>
    <t>SW144P16</t>
  </si>
  <si>
    <t>SW144P15</t>
  </si>
  <si>
    <t>SW174 /P15</t>
  </si>
  <si>
    <t>SW174 - P20</t>
  </si>
  <si>
    <t>SW172 /P2</t>
  </si>
  <si>
    <t>SW172 - P3</t>
  </si>
  <si>
    <t>SW172 /P4</t>
  </si>
  <si>
    <t>SW172 /P5</t>
  </si>
  <si>
    <t>SW172 /P6</t>
  </si>
  <si>
    <t>SW172 - P7</t>
  </si>
  <si>
    <t>SW172 /P8</t>
  </si>
  <si>
    <t>SOPLAGW60023139</t>
  </si>
  <si>
    <t>SOPLAGW60023138</t>
  </si>
  <si>
    <t>SOPLAGW60023137</t>
  </si>
  <si>
    <t>SOPLAGW60023136</t>
  </si>
  <si>
    <t>SOPLAGW60023135</t>
  </si>
  <si>
    <t>SOPLAGW60023134</t>
  </si>
  <si>
    <t>SOPLAGW60023151</t>
  </si>
  <si>
    <t>SOPLAGW60023150</t>
  </si>
  <si>
    <t>SOPLAGW60023149</t>
  </si>
  <si>
    <t>SOPLAGW60023148</t>
  </si>
  <si>
    <t>IND - 0014</t>
  </si>
  <si>
    <t>IND - 0015</t>
  </si>
  <si>
    <t>IND - 0016</t>
  </si>
  <si>
    <t>IND - 0017</t>
  </si>
  <si>
    <t>Pillar</t>
  </si>
  <si>
    <t>SW138PP40</t>
  </si>
  <si>
    <t>SW138P39</t>
  </si>
  <si>
    <t>SW138P38</t>
  </si>
  <si>
    <t>SW138P37</t>
  </si>
  <si>
    <t>SW143P13</t>
  </si>
  <si>
    <t>SW138P35</t>
  </si>
  <si>
    <t>SW139P22</t>
  </si>
  <si>
    <t>SW143P11</t>
  </si>
  <si>
    <t>SW143P8</t>
  </si>
  <si>
    <t>SW138P30</t>
  </si>
  <si>
    <t>SW174 /P28</t>
  </si>
  <si>
    <t>SW174 /P27</t>
  </si>
  <si>
    <t>SW174 /P26</t>
  </si>
  <si>
    <t>SW134P26</t>
  </si>
  <si>
    <t>SW174 /P24</t>
  </si>
  <si>
    <t>SW174 - P3</t>
  </si>
  <si>
    <t>SW172 /P31</t>
  </si>
  <si>
    <t>SW172 /P30</t>
  </si>
  <si>
    <t>SW172/P26</t>
  </si>
  <si>
    <t>SW172 - P9</t>
  </si>
  <si>
    <t>SOPLAGW60024065</t>
  </si>
  <si>
    <t>SOPLAGW60024066</t>
  </si>
  <si>
    <t>SOPLAGW60024067</t>
  </si>
  <si>
    <t>ORL - 0017</t>
  </si>
  <si>
    <t>ORL - 0018</t>
  </si>
  <si>
    <t>ORL - 0019</t>
  </si>
  <si>
    <t>ORL - 0020</t>
  </si>
  <si>
    <t>SOPLAGW60020695 / SOPLAGW60020696</t>
  </si>
  <si>
    <t>SOPLAGW60023146</t>
  </si>
  <si>
    <t>SOPLAGW60023145</t>
  </si>
  <si>
    <t>SOPLAGW60023144</t>
  </si>
  <si>
    <t>SOPLAGW60023143</t>
  </si>
  <si>
    <t>SOPLAGW60023142</t>
  </si>
  <si>
    <t>SOPLAGW60023141</t>
  </si>
  <si>
    <t>SOPLAGW60023154</t>
  </si>
  <si>
    <t>SOPLAGW60023153</t>
  </si>
  <si>
    <t>SOPLAGW60023152</t>
  </si>
  <si>
    <t>SOPLAGW60023147</t>
  </si>
  <si>
    <t>IND - 0018</t>
  </si>
  <si>
    <t>IND - 0019</t>
  </si>
  <si>
    <t>IND - 0020</t>
  </si>
  <si>
    <t>IND - 0021</t>
  </si>
  <si>
    <t>SW163P35</t>
  </si>
  <si>
    <t>S163P33</t>
  </si>
  <si>
    <t>SW143P10</t>
  </si>
  <si>
    <t>SW143P07</t>
  </si>
  <si>
    <t>SW138P33</t>
  </si>
  <si>
    <t>SW138P34</t>
  </si>
  <si>
    <t>SW143P05</t>
  </si>
  <si>
    <t>SW143P12</t>
  </si>
  <si>
    <t>SW143P06</t>
  </si>
  <si>
    <t>SW139P20</t>
  </si>
  <si>
    <t>SW138P32</t>
  </si>
  <si>
    <t>SW143P9</t>
  </si>
  <si>
    <t>SW138P36</t>
  </si>
  <si>
    <t>SW174 /P32</t>
  </si>
  <si>
    <t>SW134P34</t>
  </si>
  <si>
    <t>SW174 /P34</t>
  </si>
  <si>
    <t>SW134P36</t>
  </si>
  <si>
    <t>SW143 /P30</t>
  </si>
  <si>
    <t>SW143 /P31</t>
  </si>
  <si>
    <t>SW173 /P6</t>
  </si>
  <si>
    <t>SW172 /P39</t>
  </si>
  <si>
    <t>SW172 - P15</t>
  </si>
  <si>
    <t>Avision TV</t>
  </si>
  <si>
    <t>SOPLAGW60024075</t>
  </si>
  <si>
    <t>SOPLAGWK035340</t>
  </si>
  <si>
    <t>Mia - 0032</t>
  </si>
  <si>
    <t>Mia - 0031</t>
  </si>
  <si>
    <t>Mia - 0030</t>
  </si>
  <si>
    <t>Mia - 0029</t>
  </si>
  <si>
    <t>Mia - 0028</t>
  </si>
  <si>
    <t>Mia - 0027</t>
  </si>
  <si>
    <t>Mia - 0026</t>
  </si>
  <si>
    <t>Mia - 0025</t>
  </si>
  <si>
    <t>SOPLAGW60019770</t>
  </si>
  <si>
    <t>SOPLAGW60020899</t>
  </si>
  <si>
    <t>IND - 0022</t>
  </si>
  <si>
    <t>IND - 0023</t>
  </si>
  <si>
    <t>IND - 0024</t>
  </si>
  <si>
    <t>IND - 0025</t>
  </si>
  <si>
    <t>SW144 /P5</t>
  </si>
  <si>
    <t>SW172 /P43</t>
  </si>
  <si>
    <t>SW172 /P42</t>
  </si>
  <si>
    <t>SW173 /P0</t>
  </si>
  <si>
    <t>SW139P04</t>
  </si>
  <si>
    <t>SW138P43</t>
  </si>
  <si>
    <t>SW139P39</t>
  </si>
  <si>
    <t>SW144P31</t>
  </si>
  <si>
    <t>SW139P41</t>
  </si>
  <si>
    <t>SW144P32</t>
  </si>
  <si>
    <t>SW138P42</t>
  </si>
  <si>
    <t>SW143P21</t>
  </si>
  <si>
    <t>SW139P3</t>
  </si>
  <si>
    <t>SW138P44</t>
  </si>
  <si>
    <t>SW143P23</t>
  </si>
  <si>
    <t>SW173 /P40</t>
  </si>
  <si>
    <t>SW133P42</t>
  </si>
  <si>
    <t>SW133P43</t>
  </si>
  <si>
    <t>SW173 /P43</t>
  </si>
  <si>
    <t>SW173 /P31</t>
  </si>
  <si>
    <t>SW173 /P32</t>
  </si>
  <si>
    <t>SW174 /P9</t>
  </si>
  <si>
    <t>SOPLAGW60024076</t>
  </si>
  <si>
    <t>SOPLAGW60024082</t>
  </si>
  <si>
    <t>SOPLAGW60024077</t>
  </si>
  <si>
    <t>SOPLAGW60024078</t>
  </si>
  <si>
    <t>IDF</t>
  </si>
  <si>
    <t>sticker</t>
  </si>
  <si>
    <t>Mia - 0024</t>
  </si>
  <si>
    <t>Mia - 0023</t>
  </si>
  <si>
    <t>Mia - 0022</t>
  </si>
  <si>
    <t>Mia - 0021</t>
  </si>
  <si>
    <t>Mia - 0020</t>
  </si>
  <si>
    <t>Mia - 0019</t>
  </si>
  <si>
    <t>Mia - 0018</t>
  </si>
  <si>
    <t>Mia - 0017</t>
  </si>
  <si>
    <t>IND - 0026</t>
  </si>
  <si>
    <t>IND - 0027</t>
  </si>
  <si>
    <t>IND - 0028</t>
  </si>
  <si>
    <t>IND - 0029</t>
  </si>
  <si>
    <t>SW144 /P6</t>
  </si>
  <si>
    <t>SW173 /P3</t>
  </si>
  <si>
    <t>SW144 /P7</t>
  </si>
  <si>
    <t>SOPLAGWK035241</t>
  </si>
  <si>
    <t>SW143P14</t>
  </si>
  <si>
    <t>SW139P05</t>
  </si>
  <si>
    <t>SW139P38</t>
  </si>
  <si>
    <t>SW139P40</t>
  </si>
  <si>
    <t>SW139P34</t>
  </si>
  <si>
    <t>SW139P01</t>
  </si>
  <si>
    <t>SW143P17</t>
  </si>
  <si>
    <t>SW139P02</t>
  </si>
  <si>
    <t>SW144P29</t>
  </si>
  <si>
    <t>SW144P30</t>
  </si>
  <si>
    <t>SW133P38</t>
  </si>
  <si>
    <t>SW133P22</t>
  </si>
  <si>
    <t>SW133P16</t>
  </si>
  <si>
    <t>SW133P35</t>
  </si>
  <si>
    <t>Clinic-001</t>
  </si>
  <si>
    <t>SOPLAGW60024069</t>
  </si>
  <si>
    <t>SOPLAGW60024070</t>
  </si>
  <si>
    <t>SOPLAGW60024071</t>
  </si>
  <si>
    <t>SOPLAGW60024072</t>
  </si>
  <si>
    <t>SOPLAGW60024068</t>
  </si>
  <si>
    <t>SOPLAGW60024073</t>
  </si>
  <si>
    <t>SOPLAGW60024074</t>
  </si>
  <si>
    <t>no lan port</t>
  </si>
  <si>
    <t>Naka SSD</t>
  </si>
  <si>
    <t>S141P41</t>
  </si>
  <si>
    <t>SW164 P30</t>
  </si>
  <si>
    <t>DP141 / SW164 P31</t>
  </si>
  <si>
    <t>Mia - 0016</t>
  </si>
  <si>
    <t>Mia - 0015</t>
  </si>
  <si>
    <t>Mia - 0014</t>
  </si>
  <si>
    <t>Mia - 0013</t>
  </si>
  <si>
    <t>Mia - 0012</t>
  </si>
  <si>
    <t>Mia - 0011</t>
  </si>
  <si>
    <t>Mia - 0010</t>
  </si>
  <si>
    <t>Mia - 0009</t>
  </si>
  <si>
    <t>SOPLAGWK035288</t>
  </si>
  <si>
    <t>IND - 0030</t>
  </si>
  <si>
    <t>IND - 0031</t>
  </si>
  <si>
    <t>IND - 0032</t>
  </si>
  <si>
    <t>IND - 0033</t>
  </si>
  <si>
    <t>SW172 /P21</t>
  </si>
  <si>
    <t>SW138 - P23</t>
  </si>
  <si>
    <t>BGPC000032837P</t>
  </si>
  <si>
    <t>BGPC000032838P</t>
  </si>
  <si>
    <t>SOPLAGWK035906</t>
  </si>
  <si>
    <t>SOPLAGW60020900</t>
  </si>
  <si>
    <t>DP142 / SW163 P45</t>
  </si>
  <si>
    <t>DP141 / SW164 P32</t>
  </si>
  <si>
    <t>SW143P19</t>
  </si>
  <si>
    <t>SW139P12</t>
  </si>
  <si>
    <t>SW139P33</t>
  </si>
  <si>
    <t>SW139P30</t>
  </si>
  <si>
    <t>SW139P14</t>
  </si>
  <si>
    <t>SW139P08</t>
  </si>
  <si>
    <t>SW139P29</t>
  </si>
  <si>
    <t>SW139P10</t>
  </si>
  <si>
    <t>SW143P16</t>
  </si>
  <si>
    <t>SW173 /P17</t>
  </si>
  <si>
    <t>SW173 /P22</t>
  </si>
  <si>
    <t>SW133P24</t>
  </si>
  <si>
    <t>SW173 /P24</t>
  </si>
  <si>
    <t>SW173 /P26</t>
  </si>
  <si>
    <t>SW174 /P13</t>
  </si>
  <si>
    <t>SW143P25</t>
  </si>
  <si>
    <t>SOPLAGW60024079</t>
  </si>
  <si>
    <t>SOPLAGW60024080</t>
  </si>
  <si>
    <t>SOPLAGW60024081</t>
  </si>
  <si>
    <t>SOPLAGWK019724</t>
  </si>
  <si>
    <t>SOPLAGWK019735</t>
  </si>
  <si>
    <t>SOPLAGW60035897</t>
  </si>
  <si>
    <t>SOPLAGWK019734</t>
  </si>
  <si>
    <t>SOPLAGW60035861</t>
  </si>
  <si>
    <t>SOPLAGWK019714</t>
  </si>
  <si>
    <t>DP141 / SW163 P44</t>
  </si>
  <si>
    <t>DP141 / SW164 P33</t>
  </si>
  <si>
    <t>Mia - 0008</t>
  </si>
  <si>
    <t>Mia - 0007</t>
  </si>
  <si>
    <t>Mia - 0006</t>
  </si>
  <si>
    <t>Mia - 0005</t>
  </si>
  <si>
    <t>Mia - 0004</t>
  </si>
  <si>
    <t>Mia - 0003</t>
  </si>
  <si>
    <t>Mia - 0002</t>
  </si>
  <si>
    <t>Mia - 0001</t>
  </si>
  <si>
    <t>IND - 0034</t>
  </si>
  <si>
    <t>IND - 0036</t>
  </si>
  <si>
    <t>IND - 0037</t>
  </si>
  <si>
    <t>SOPLAGW60020898</t>
  </si>
  <si>
    <t>SOPLAGW60020897</t>
  </si>
  <si>
    <t>BGPC000032842 / BGPC000032838</t>
  </si>
  <si>
    <t>SOPLAGWK032828 / SOPLAGW60020647</t>
  </si>
  <si>
    <t>BGPC000032840P / SOPLAGWK032827</t>
  </si>
  <si>
    <t>SOPLAGWK032839 / SOPLAGWK032823</t>
  </si>
  <si>
    <t>DP140 / SW163 P43</t>
  </si>
  <si>
    <t>DP141 / SW164 P34</t>
  </si>
  <si>
    <t>SW139P23</t>
  </si>
  <si>
    <t>SW139P07</t>
  </si>
  <si>
    <t>SW139P26</t>
  </si>
  <si>
    <t>SW139P27</t>
  </si>
  <si>
    <t>SW139P31</t>
  </si>
  <si>
    <t>SW139P16</t>
  </si>
  <si>
    <t>SW139P21</t>
  </si>
  <si>
    <t>SW139P17</t>
  </si>
  <si>
    <t>SW133P21</t>
  </si>
  <si>
    <t>SW173 /P16</t>
  </si>
  <si>
    <t>SW173 /P14</t>
  </si>
  <si>
    <t>SW133P23</t>
  </si>
  <si>
    <t>SW172 /P12</t>
  </si>
  <si>
    <t>Laptop Use</t>
  </si>
  <si>
    <t>SOPLAGW60024083</t>
  </si>
  <si>
    <t>SOPLAGWK032730</t>
  </si>
  <si>
    <t>Template :</t>
  </si>
  <si>
    <t>Cubicle #</t>
  </si>
  <si>
    <t>Team Leads workstation natgen</t>
  </si>
  <si>
    <t>Sw and port</t>
  </si>
  <si>
    <t>hostname</t>
  </si>
  <si>
    <t>department</t>
  </si>
  <si>
    <t>THINKPAD T460 NOTEBOOK</t>
  </si>
  <si>
    <t>Returned 12/03/2025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</si>
</sst>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 h:mm:ss"/>
    <numFmt numFmtId="165" formatCode="dd/mm/yyyy"/>
    <numFmt numFmtId="166" formatCode="dd/mm/yy"/>
    <numFmt numFmtId="167" formatCode="d/m/yy"/>
    <numFmt numFmtId="168" formatCode="d/m/yyyy"/>
    <numFmt numFmtId="169" formatCode="M/d/yyyy HH:mm:ss"/>
    <numFmt numFmtId="170" formatCode="D/M/YYYY"/>
    <numFmt numFmtId="171" formatCode="mm/dd/yyyy"/>
    <numFmt numFmtId="172" formatCode="m/d/yyyy"/>
    <numFmt numFmtId="173" formatCode="M/d/yyyy"/>
    <numFmt numFmtId="174" formatCode="mm/dd/yy"/>
    <numFmt numFmtId="175" formatCode="m/d/yy"/>
  </numFmts>
  <fonts count="51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theme="1"/>
      <name val="Calibri"/>
    </font>
    <font>
      <sz val="11.0"/>
      <color rgb="FF444444"/>
      <name val="Calibri"/>
    </font>
    <font>
      <sz val="11.0"/>
      <color rgb="FF201F1E"/>
      <name val="Calibri"/>
    </font>
    <font>
      <sz val="11.0"/>
      <color rgb="FF222222"/>
      <name val="Calibri"/>
    </font>
    <font>
      <sz val="11.0"/>
      <color rgb="FF202124"/>
      <name val="Calibri"/>
    </font>
    <font>
      <sz val="11.0"/>
      <color rgb="FF242424"/>
      <name val="Calibri"/>
    </font>
    <font>
      <sz val="11.0"/>
      <color rgb="FF242424"/>
      <name val="Times New Roman"/>
    </font>
    <font>
      <sz val="11.0"/>
      <color rgb="FF222222"/>
      <name val="Arial"/>
    </font>
    <font>
      <sz val="8.0"/>
      <color theme="1"/>
      <name val="Roboto"/>
    </font>
    <font>
      <b/>
      <color theme="1"/>
      <name val="Arial"/>
    </font>
    <font>
      <color theme="1"/>
      <name val="Arial"/>
    </font>
    <font>
      <color rgb="FF1F1F1F"/>
      <name val="Arial"/>
    </font>
    <font>
      <color rgb="FF222222"/>
      <name val="Arial"/>
    </font>
    <font>
      <color rgb="FF1F1F1F"/>
      <name val="Google Sans"/>
    </font>
    <font>
      <sz val="11.0"/>
      <color rgb="FF1F1F1F"/>
      <name val="Google Sans"/>
    </font>
    <font>
      <sz val="11.0"/>
      <color theme="1"/>
      <name val="Arial"/>
    </font>
    <font>
      <sz val="11.0"/>
      <color rgb="FF222222"/>
      <name val="Google Sans"/>
    </font>
    <font>
      <color theme="1"/>
      <name val="Arial"/>
      <scheme val="minor"/>
    </font>
    <font>
      <sz val="12.0"/>
      <color theme="1"/>
      <name val="Calibri"/>
    </font>
    <font>
      <color rgb="FF222222"/>
      <name val="Verdana"/>
    </font>
    <font>
      <sz val="11.0"/>
      <color rgb="FF5E5E5E"/>
      <name val="Google Sans"/>
    </font>
    <font>
      <b/>
      <sz val="11.0"/>
      <color rgb="FF4472C4"/>
      <name val="Calibri"/>
    </font>
    <font>
      <sz val="11.0"/>
      <color rgb="FFFF0000"/>
      <name val="Calibri"/>
    </font>
    <font>
      <sz val="11.0"/>
      <color rgb="FF1F497D"/>
      <name val="Calibri"/>
    </font>
    <font>
      <sz val="11.0"/>
      <color rgb="FF203764"/>
      <name val="Calibri"/>
    </font>
    <font>
      <sz val="11.0"/>
      <color rgb="FF222222"/>
      <name val="Calibri Light"/>
    </font>
    <font>
      <sz val="11.0"/>
      <color rgb="FF333333"/>
      <name val="Calibri"/>
    </font>
    <font>
      <sz val="11.0"/>
      <color rgb="FF201F1E"/>
      <name val="Arial"/>
    </font>
    <font>
      <sz val="11.0"/>
      <color theme="1"/>
      <name val="Times New Roman"/>
    </font>
    <font>
      <b/>
      <color theme="1"/>
      <name val="Arial"/>
      <scheme val="minor"/>
    </font>
    <font/>
    <font>
      <b/>
      <sz val="18.0"/>
      <color theme="1"/>
      <name val="Calibri"/>
    </font>
    <font>
      <b/>
      <sz val="12.0"/>
      <color theme="1"/>
      <name val="Calibri"/>
    </font>
    <font>
      <b/>
      <sz val="20.0"/>
      <color theme="1"/>
      <name val="Calibri"/>
    </font>
    <font>
      <sz val="11.0"/>
      <color theme="1"/>
      <name val="Helvetica"/>
    </font>
    <font>
      <b/>
      <sz val="15.0"/>
      <color theme="1"/>
      <name val="Calibri"/>
    </font>
    <font>
      <b/>
      <sz val="17.0"/>
      <color theme="1"/>
      <name val="Calibri"/>
    </font>
    <font>
      <b/>
      <sz val="27.0"/>
      <color theme="1"/>
      <name val="Calibri"/>
    </font>
    <font>
      <b/>
      <sz val="35.0"/>
      <color theme="1"/>
      <name val="Calibri"/>
    </font>
    <font>
      <b/>
      <sz val="50.0"/>
      <color theme="1"/>
      <name val="Calibri"/>
    </font>
    <font>
      <b/>
      <sz val="30.0"/>
      <color theme="1"/>
      <name val="Calibri"/>
    </font>
    <font>
      <sz val="20.0"/>
      <color theme="1"/>
      <name val="Calibri"/>
    </font>
    <font>
      <sz val="53.0"/>
      <color theme="1"/>
      <name val="Calibri"/>
    </font>
    <font>
      <b/>
      <sz val="32.0"/>
      <color theme="1"/>
      <name val="Calibri"/>
    </font>
    <font>
      <i/>
      <sz val="11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>
      <b/>
      <sz val="22.0"/>
      <color theme="1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B4A7D6"/>
        <bgColor rgb="FFB4A7D6"/>
      </patternFill>
    </fill>
    <fill>
      <patternFill patternType="solid">
        <fgColor rgb="FFFFC000"/>
        <bgColor rgb="FFFFC000"/>
      </patternFill>
    </fill>
    <fill>
      <patternFill patternType="solid">
        <fgColor rgb="FF674EA7"/>
        <bgColor rgb="FF674EA7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D1E7FF"/>
        <bgColor rgb="FFD1E7FF"/>
      </patternFill>
    </fill>
    <fill>
      <patternFill patternType="solid">
        <fgColor rgb="FFC6E0B4"/>
        <bgColor rgb="FFC6E0B4"/>
      </patternFill>
    </fill>
    <fill>
      <patternFill patternType="solid">
        <fgColor rgb="FF92D050"/>
        <bgColor rgb="FF92D050"/>
      </patternFill>
    </fill>
    <fill>
      <patternFill patternType="solid">
        <fgColor rgb="FFF584F3"/>
        <bgColor rgb="FFF584F3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FFE699"/>
        <bgColor rgb="FFFFE699"/>
      </patternFill>
    </fill>
    <fill>
      <patternFill patternType="solid">
        <fgColor rgb="FFFF00FF"/>
        <bgColor rgb="FFFF00FF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</fills>
  <borders count="1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hair">
        <color rgb="FFFF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</border>
    <border>
      <right style="medium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bottom style="dotted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dotted">
        <color rgb="FF000000"/>
      </left>
    </border>
    <border>
      <right style="hair">
        <color rgb="FF000000"/>
      </right>
    </border>
    <border>
      <right style="dotted">
        <color rgb="FF000000"/>
      </right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dotted">
        <color rgb="FF000000"/>
      </right>
      <top style="hair">
        <color rgb="FF000000"/>
      </top>
    </border>
    <border>
      <left style="hair">
        <color rgb="FF000000"/>
      </lef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hair">
        <color rgb="FF000000"/>
      </left>
      <bottom style="dotted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</border>
    <border>
      <right style="thin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FFFFFF"/>
      </bottom>
    </border>
    <border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hair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hair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n">
        <color rgb="FF000000"/>
      </left>
      <right style="dotted">
        <color rgb="FF000000"/>
      </right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medium">
        <color rgb="FF000000"/>
      </right>
      <bottom style="thin">
        <color rgb="FFFFFFFF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hair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dotted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FFFFFF"/>
      </right>
      <bottom style="medium">
        <color rgb="FF000000"/>
      </bottom>
    </border>
    <border>
      <right style="thin">
        <color rgb="FFFFFFFF"/>
      </right>
      <bottom style="medium">
        <color rgb="FF000000"/>
      </bottom>
    </border>
    <border>
      <left style="thin">
        <color rgb="FFFF0000"/>
      </left>
      <top style="thin">
        <color rgb="FFFF0000"/>
      </top>
    </border>
    <border>
      <right style="thin">
        <color rgb="FFFF0000"/>
      </right>
      <top style="thin">
        <color rgb="FFFF0000"/>
      </top>
    </border>
    <border>
      <left style="thin">
        <color rgb="FFFF0000"/>
      </left>
    </border>
    <border>
      <right style="thin">
        <color rgb="FFFF0000"/>
      </right>
    </border>
    <border>
      <left style="thin">
        <color rgb="FFFF0000"/>
      </left>
      <bottom style="thin">
        <color rgb="FFFF0000"/>
      </bottom>
    </border>
    <border>
      <right style="thin">
        <color rgb="FFFF0000"/>
      </right>
      <bottom style="thin">
        <color rgb="FFFF0000"/>
      </bottom>
    </border>
  </borders>
  <cellStyleXfs count="1">
    <xf borderId="0" fillId="0" fontId="0" numFmtId="0" applyAlignment="1" applyFont="1"/>
  </cellStyleXfs>
  <cellXfs count="4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vertical="bottom"/>
    </xf>
    <xf borderId="1" fillId="6" fontId="3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  <xf borderId="1" fillId="5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6" numFmtId="0" xfId="0" applyAlignment="1" applyBorder="1" applyFont="1">
      <alignment horizontal="center" vertical="bottom"/>
    </xf>
    <xf borderId="2" fillId="7" fontId="3" numFmtId="0" xfId="0" applyAlignment="1" applyBorder="1" applyFill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/>
    </xf>
    <xf borderId="1" fillId="4" fontId="3" numFmtId="0" xfId="0" applyBorder="1" applyFont="1"/>
    <xf borderId="2" fillId="8" fontId="3" numFmtId="0" xfId="0" applyAlignment="1" applyBorder="1" applyFill="1" applyFont="1">
      <alignment horizontal="center" vertical="bottom"/>
    </xf>
    <xf borderId="1" fillId="8" fontId="3" numFmtId="0" xfId="0" applyAlignment="1" applyBorder="1" applyFont="1">
      <alignment horizontal="center" vertical="bottom"/>
    </xf>
    <xf borderId="2" fillId="8" fontId="7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vertical="bottom"/>
    </xf>
    <xf borderId="2" fillId="8" fontId="3" numFmtId="0" xfId="0" applyAlignment="1" applyBorder="1" applyFont="1">
      <alignment vertical="bottom"/>
    </xf>
    <xf borderId="2" fillId="2" fontId="3" numFmtId="0" xfId="0" applyAlignment="1" applyBorder="1" applyFont="1">
      <alignment horizontal="center" vertical="bottom"/>
    </xf>
    <xf borderId="2" fillId="9" fontId="3" numFmtId="0" xfId="0" applyAlignment="1" applyBorder="1" applyFill="1" applyFont="1">
      <alignment horizontal="center" vertical="bottom"/>
    </xf>
    <xf borderId="1" fillId="9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shrinkToFit="0" vertical="bottom" wrapText="1"/>
    </xf>
    <xf borderId="2" fillId="3" fontId="8" numFmtId="0" xfId="0" applyAlignment="1" applyBorder="1" applyFont="1">
      <alignment horizontal="center" vertical="bottom"/>
    </xf>
    <xf borderId="2" fillId="2" fontId="8" numFmtId="0" xfId="0" applyAlignment="1" applyBorder="1" applyFont="1">
      <alignment horizontal="center" vertical="bottom"/>
    </xf>
    <xf borderId="0" fillId="3" fontId="3" numFmtId="0" xfId="0" applyAlignment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vertical="bottom"/>
    </xf>
    <xf borderId="0" fillId="3" fontId="3" numFmtId="0" xfId="0" applyAlignment="1" applyFont="1">
      <alignment vertical="bottom"/>
    </xf>
    <xf borderId="1" fillId="3" fontId="9" numFmtId="0" xfId="0" applyAlignment="1" applyBorder="1" applyFont="1">
      <alignment horizontal="center" vertical="bottom"/>
    </xf>
    <xf borderId="1" fillId="3" fontId="10" numFmtId="0" xfId="0" applyAlignment="1" applyBorder="1" applyFont="1">
      <alignment horizontal="center" vertical="bottom"/>
    </xf>
    <xf borderId="0" fillId="3" fontId="10" numFmtId="0" xfId="0" applyAlignment="1" applyFont="1">
      <alignment vertical="bottom"/>
    </xf>
    <xf borderId="0" fillId="3" fontId="11" numFmtId="0" xfId="0" applyAlignment="1" applyFont="1">
      <alignment vertical="bottom"/>
    </xf>
    <xf borderId="1" fillId="0" fontId="12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1" fillId="0" fontId="13" numFmtId="0" xfId="0" applyAlignment="1" applyBorder="1" applyFont="1">
      <alignment readingOrder="0" vertical="bottom"/>
    </xf>
    <xf borderId="1" fillId="4" fontId="13" numFmtId="0" xfId="0" applyAlignment="1" applyBorder="1" applyFont="1">
      <alignment readingOrder="0" vertical="bottom"/>
    </xf>
    <xf borderId="1" fillId="0" fontId="13" numFmtId="164" xfId="0" applyAlignment="1" applyBorder="1" applyFont="1" applyNumberFormat="1">
      <alignment readingOrder="0" vertical="bottom"/>
    </xf>
    <xf borderId="1" fillId="0" fontId="13" numFmtId="0" xfId="0" applyAlignment="1" applyBorder="1" applyFont="1">
      <alignment vertical="bottom"/>
    </xf>
    <xf borderId="1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13" numFmtId="0" xfId="0" applyFont="1"/>
    <xf borderId="1" fillId="0" fontId="13" numFmtId="0" xfId="0" applyAlignment="1" applyBorder="1" applyFont="1">
      <alignment horizontal="center"/>
    </xf>
    <xf borderId="1" fillId="0" fontId="13" numFmtId="165" xfId="0" applyAlignment="1" applyBorder="1" applyFont="1" applyNumberFormat="1">
      <alignment horizontal="center"/>
    </xf>
    <xf borderId="1" fillId="0" fontId="13" numFmtId="0" xfId="0" applyBorder="1" applyFont="1"/>
    <xf borderId="1" fillId="0" fontId="3" numFmtId="0" xfId="0" applyAlignment="1" applyBorder="1" applyFont="1">
      <alignment horizontal="center"/>
    </xf>
    <xf borderId="1" fillId="0" fontId="3" numFmtId="165" xfId="0" applyAlignment="1" applyBorder="1" applyFont="1" applyNumberFormat="1">
      <alignment horizontal="center"/>
    </xf>
    <xf borderId="1" fillId="4" fontId="14" numFmtId="0" xfId="0" applyAlignment="1" applyBorder="1" applyFont="1">
      <alignment horizontal="center"/>
    </xf>
    <xf borderId="1" fillId="4" fontId="15" numFmtId="0" xfId="0" applyAlignment="1" applyBorder="1" applyFont="1">
      <alignment horizontal="center"/>
    </xf>
    <xf borderId="1" fillId="4" fontId="16" numFmtId="0" xfId="0" applyAlignment="1" applyBorder="1" applyFont="1">
      <alignment horizontal="center"/>
    </xf>
    <xf borderId="1" fillId="0" fontId="13" numFmtId="166" xfId="0" applyAlignment="1" applyBorder="1" applyFont="1" applyNumberFormat="1">
      <alignment horizontal="center"/>
    </xf>
    <xf borderId="1" fillId="0" fontId="13" numFmtId="167" xfId="0" applyAlignment="1" applyBorder="1" applyFont="1" applyNumberFormat="1">
      <alignment horizontal="center"/>
    </xf>
    <xf borderId="1" fillId="4" fontId="17" numFmtId="0" xfId="0" applyAlignment="1" applyBorder="1" applyFont="1">
      <alignment horizontal="center" shrinkToFit="0" wrapText="0"/>
    </xf>
    <xf borderId="1" fillId="10" fontId="13" numFmtId="0" xfId="0" applyAlignment="1" applyBorder="1" applyFill="1" applyFont="1">
      <alignment horizontal="center"/>
    </xf>
    <xf borderId="1" fillId="0" fontId="18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1" fillId="4" fontId="17" numFmtId="0" xfId="0" applyAlignment="1" applyBorder="1" applyFont="1">
      <alignment horizontal="center"/>
    </xf>
    <xf borderId="1" fillId="4" fontId="10" numFmtId="0" xfId="0" applyAlignment="1" applyBorder="1" applyFont="1">
      <alignment horizontal="center"/>
    </xf>
    <xf borderId="1" fillId="4" fontId="15" numFmtId="0" xfId="0" applyAlignment="1" applyBorder="1" applyFont="1">
      <alignment horizontal="center" vertical="bottom"/>
    </xf>
    <xf borderId="1" fillId="4" fontId="15" numFmtId="0" xfId="0" applyAlignment="1" applyBorder="1" applyFont="1">
      <alignment vertical="bottom"/>
    </xf>
    <xf borderId="1" fillId="4" fontId="17" numFmtId="0" xfId="0" applyAlignment="1" applyBorder="1" applyFont="1">
      <alignment vertical="bottom"/>
    </xf>
    <xf borderId="1" fillId="4" fontId="17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top"/>
    </xf>
    <xf borderId="1" fillId="4" fontId="19" numFmtId="0" xfId="0" applyAlignment="1" applyBorder="1" applyFont="1">
      <alignment vertical="bottom"/>
    </xf>
    <xf borderId="1" fillId="0" fontId="13" numFmtId="0" xfId="0" applyAlignment="1" applyBorder="1" applyFont="1">
      <alignment horizontal="center" vertical="bottom"/>
    </xf>
    <xf borderId="0" fillId="0" fontId="13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4" fontId="3" numFmtId="0" xfId="0" applyAlignment="1" applyFont="1">
      <alignment horizontal="center" vertical="bottom"/>
    </xf>
    <xf borderId="0" fillId="4" fontId="16" numFmtId="0" xfId="0" applyAlignment="1" applyFont="1">
      <alignment vertical="bottom"/>
    </xf>
    <xf borderId="0" fillId="4" fontId="17" numFmtId="0" xfId="0" applyAlignment="1" applyFont="1">
      <alignment shrinkToFit="0" vertical="bottom" wrapText="0"/>
    </xf>
    <xf borderId="0" fillId="4" fontId="10" numFmtId="0" xfId="0" applyAlignment="1" applyFont="1">
      <alignment vertical="bottom"/>
    </xf>
    <xf borderId="0" fillId="4" fontId="10" numFmtId="0" xfId="0" applyAlignment="1" applyFont="1">
      <alignment horizontal="right" vertical="bottom"/>
    </xf>
    <xf borderId="0" fillId="4" fontId="18" numFmtId="0" xfId="0" applyAlignment="1" applyFont="1">
      <alignment vertical="bottom"/>
    </xf>
    <xf borderId="0" fillId="4" fontId="21" numFmtId="0" xfId="0" applyAlignment="1" applyFont="1">
      <alignment vertical="bottom"/>
    </xf>
    <xf borderId="0" fillId="4" fontId="17" numFmtId="0" xfId="0" applyAlignment="1" applyFont="1">
      <alignment vertical="bottom"/>
    </xf>
    <xf borderId="0" fillId="4" fontId="15" numFmtId="0" xfId="0" applyAlignment="1" applyFont="1">
      <alignment horizontal="right" vertical="bottom"/>
    </xf>
    <xf borderId="0" fillId="4" fontId="15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4" fontId="22" numFmtId="0" xfId="0" applyAlignment="1" applyFont="1">
      <alignment vertical="bottom"/>
    </xf>
    <xf borderId="0" fillId="4" fontId="22" numFmtId="0" xfId="0" applyAlignment="1" applyFont="1">
      <alignment horizontal="right" vertical="bottom"/>
    </xf>
    <xf borderId="0" fillId="0" fontId="13" numFmtId="167" xfId="0" applyAlignment="1" applyFont="1" applyNumberFormat="1">
      <alignment horizontal="right" vertical="bottom"/>
    </xf>
    <xf borderId="0" fillId="4" fontId="19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168" xfId="0" applyAlignment="1" applyFont="1" applyNumberFormat="1">
      <alignment horizontal="right" vertical="bottom"/>
    </xf>
    <xf borderId="0" fillId="4" fontId="2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11" fontId="13" numFmtId="0" xfId="0" applyAlignment="1" applyFill="1" applyFont="1">
      <alignment readingOrder="0" vertical="bottom"/>
    </xf>
    <xf borderId="0" fillId="12" fontId="13" numFmtId="0" xfId="0" applyAlignment="1" applyFill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169" xfId="0" applyAlignment="1" applyBorder="1" applyFont="1" applyNumberFormat="1">
      <alignment horizontal="center" vertical="bottom"/>
    </xf>
    <xf borderId="1" fillId="0" fontId="24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1" fillId="0" fontId="3" numFmtId="169" xfId="0" applyAlignment="1" applyBorder="1" applyFont="1" applyNumberFormat="1">
      <alignment horizontal="center" vertical="bottom"/>
    </xf>
    <xf borderId="1" fillId="0" fontId="3" numFmtId="2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70" xfId="0" applyAlignment="1" applyBorder="1" applyFont="1" applyNumberFormat="1">
      <alignment vertical="bottom"/>
    </xf>
    <xf borderId="1" fillId="0" fontId="3" numFmtId="167" xfId="0" applyAlignment="1" applyBorder="1" applyFont="1" applyNumberFormat="1">
      <alignment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3" numFmtId="168" xfId="0" applyAlignment="1" applyBorder="1" applyFont="1" applyNumberFormat="1">
      <alignment horizontal="center" vertical="bottom"/>
    </xf>
    <xf borderId="1" fillId="0" fontId="2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3" numFmtId="17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170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72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165" xfId="0" applyAlignment="1" applyBorder="1" applyFont="1" applyNumberFormat="1">
      <alignment vertical="bottom"/>
    </xf>
    <xf borderId="2" fillId="0" fontId="3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2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27" numFmtId="0" xfId="0" applyAlignment="1" applyBorder="1" applyFont="1">
      <alignment horizontal="center" vertical="bottom"/>
    </xf>
    <xf borderId="0" fillId="0" fontId="28" numFmtId="0" xfId="0" applyAlignment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29" numFmtId="0" xfId="0" applyAlignment="1" applyBorder="1" applyFont="1">
      <alignment horizontal="center" vertical="bottom"/>
    </xf>
    <xf borderId="1" fillId="0" fontId="3" numFmtId="169" xfId="0" applyAlignment="1" applyBorder="1" applyFont="1" applyNumberFormat="1">
      <alignment horizontal="right" vertical="bottom"/>
    </xf>
    <xf borderId="0" fillId="0" fontId="18" numFmtId="169" xfId="0" applyAlignment="1" applyFont="1" applyNumberFormat="1">
      <alignment horizontal="center" vertical="bottom"/>
    </xf>
    <xf borderId="0" fillId="0" fontId="30" numFmtId="0" xfId="0" applyAlignment="1" applyFont="1">
      <alignment horizontal="center" vertical="bottom"/>
    </xf>
    <xf borderId="1" fillId="0" fontId="31" numFmtId="169" xfId="0" applyAlignment="1" applyBorder="1" applyFont="1" applyNumberFormat="1">
      <alignment horizontal="center" vertical="bottom"/>
    </xf>
    <xf borderId="1" fillId="0" fontId="3" numFmtId="171" xfId="0" applyAlignment="1" applyBorder="1" applyFont="1" applyNumberFormat="1">
      <alignment vertical="bottom"/>
    </xf>
    <xf borderId="1" fillId="0" fontId="6" numFmtId="169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10" numFmtId="169" xfId="0" applyAlignment="1" applyBorder="1" applyFont="1" applyNumberFormat="1">
      <alignment horizontal="center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3" numFmtId="169" xfId="0" applyAlignment="1" applyFont="1" applyNumberFormat="1">
      <alignment vertical="bottom"/>
    </xf>
    <xf borderId="0" fillId="0" fontId="20" numFmtId="169" xfId="0" applyFont="1" applyNumberFormat="1"/>
    <xf borderId="0" fillId="0" fontId="32" numFmtId="164" xfId="0" applyAlignment="1" applyFont="1" applyNumberFormat="1">
      <alignment readingOrder="0"/>
    </xf>
    <xf borderId="0" fillId="0" fontId="32" numFmtId="0" xfId="0" applyAlignment="1" applyFont="1">
      <alignment readingOrder="0"/>
    </xf>
    <xf borderId="0" fillId="0" fontId="20" numFmtId="164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20" numFmtId="0" xfId="0" applyFont="1"/>
    <xf borderId="1" fillId="0" fontId="3" numFmtId="173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33" numFmtId="0" xfId="0" applyBorder="1" applyFont="1"/>
    <xf borderId="1" fillId="0" fontId="3" numFmtId="174" xfId="0" applyAlignment="1" applyBorder="1" applyFont="1" applyNumberFormat="1">
      <alignment horizontal="center" vertical="bottom"/>
    </xf>
    <xf borderId="1" fillId="13" fontId="3" numFmtId="0" xfId="0" applyAlignment="1" applyBorder="1" applyFill="1" applyFont="1">
      <alignment horizontal="center" vertical="bottom"/>
    </xf>
    <xf borderId="1" fillId="13" fontId="3" numFmtId="172" xfId="0" applyAlignment="1" applyBorder="1" applyFont="1" applyNumberFormat="1">
      <alignment horizontal="center" vertical="bottom"/>
    </xf>
    <xf borderId="1" fillId="13" fontId="3" numFmtId="0" xfId="0" applyAlignment="1" applyBorder="1" applyFont="1">
      <alignment vertical="bottom"/>
    </xf>
    <xf borderId="1" fillId="0" fontId="3" numFmtId="175" xfId="0" applyAlignment="1" applyBorder="1" applyFont="1" applyNumberFormat="1">
      <alignment horizontal="center" vertical="bottom"/>
    </xf>
    <xf borderId="1" fillId="0" fontId="3" numFmtId="11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4" numFmtId="0" xfId="0" applyAlignment="1" applyBorder="1" applyFont="1">
      <alignment horizontal="center" vertical="bottom"/>
    </xf>
    <xf borderId="9" fillId="14" fontId="1" numFmtId="0" xfId="0" applyAlignment="1" applyBorder="1" applyFill="1" applyFont="1">
      <alignment horizontal="center" vertical="bottom"/>
    </xf>
    <xf borderId="10" fillId="0" fontId="3" numFmtId="0" xfId="0" applyAlignment="1" applyBorder="1" applyFont="1">
      <alignment vertical="bottom"/>
    </xf>
    <xf borderId="11" fillId="15" fontId="3" numFmtId="0" xfId="0" applyAlignment="1" applyBorder="1" applyFill="1" applyFont="1">
      <alignment horizontal="center" vertical="bottom"/>
    </xf>
    <xf borderId="12" fillId="0" fontId="33" numFmtId="0" xfId="0" applyBorder="1" applyFont="1"/>
    <xf borderId="13" fillId="14" fontId="1" numFmtId="0" xfId="0" applyAlignment="1" applyBorder="1" applyFont="1">
      <alignment horizontal="center" vertical="bottom"/>
    </xf>
    <xf borderId="14" fillId="0" fontId="3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16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0" fillId="10" fontId="35" numFmtId="0" xfId="0" applyAlignment="1" applyFont="1">
      <alignment horizontal="center" vertical="bottom"/>
    </xf>
    <xf borderId="15" fillId="4" fontId="3" numFmtId="0" xfId="0" applyAlignment="1" applyBorder="1" applyFont="1">
      <alignment vertical="bottom"/>
    </xf>
    <xf borderId="18" fillId="15" fontId="1" numFmtId="0" xfId="0" applyAlignment="1" applyBorder="1" applyFont="1">
      <alignment horizontal="center" vertical="bottom"/>
    </xf>
    <xf borderId="19" fillId="0" fontId="33" numFmtId="0" xfId="0" applyBorder="1" applyFont="1"/>
    <xf borderId="17" fillId="4" fontId="3" numFmtId="0" xfId="0" applyAlignment="1" applyBorder="1" applyFont="1">
      <alignment vertical="bottom"/>
    </xf>
    <xf borderId="15" fillId="0" fontId="1" numFmtId="0" xfId="0" applyAlignment="1" applyBorder="1" applyFont="1">
      <alignment horizontal="center" vertical="bottom"/>
    </xf>
    <xf borderId="20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16" fontId="1" numFmtId="0" xfId="0" applyAlignment="1" applyBorder="1" applyFill="1" applyFont="1">
      <alignment horizontal="center" vertical="bottom"/>
    </xf>
    <xf borderId="21" fillId="17" fontId="36" numFmtId="0" xfId="0" applyAlignment="1" applyBorder="1" applyFill="1" applyFont="1">
      <alignment horizontal="center" vertical="bottom"/>
    </xf>
    <xf borderId="22" fillId="0" fontId="3" numFmtId="0" xfId="0" applyAlignment="1" applyBorder="1" applyFont="1">
      <alignment horizontal="center" vertical="bottom"/>
    </xf>
    <xf borderId="1" fillId="14" fontId="1" numFmtId="0" xfId="0" applyAlignment="1" applyBorder="1" applyFont="1">
      <alignment horizontal="center" vertical="bottom"/>
    </xf>
    <xf borderId="23" fillId="0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24" fillId="0" fontId="3" numFmtId="0" xfId="0" applyAlignment="1" applyBorder="1" applyFont="1">
      <alignment vertical="bottom"/>
    </xf>
    <xf borderId="25" fillId="0" fontId="3" numFmtId="0" xfId="0" applyAlignment="1" applyBorder="1" applyFont="1">
      <alignment vertical="bottom"/>
    </xf>
    <xf borderId="25" fillId="4" fontId="3" numFmtId="0" xfId="0" applyAlignment="1" applyBorder="1" applyFont="1">
      <alignment vertical="bottom"/>
    </xf>
    <xf borderId="14" fillId="4" fontId="3" numFmtId="0" xfId="0" applyAlignment="1" applyBorder="1" applyFont="1">
      <alignment vertical="bottom"/>
    </xf>
    <xf borderId="26" fillId="0" fontId="33" numFmtId="0" xfId="0" applyBorder="1" applyFont="1"/>
    <xf borderId="27" fillId="0" fontId="33" numFmtId="0" xfId="0" applyBorder="1" applyFont="1"/>
    <xf borderId="28" fillId="0" fontId="3" numFmtId="0" xfId="0" applyAlignment="1" applyBorder="1" applyFont="1">
      <alignment vertical="bottom"/>
    </xf>
    <xf borderId="29" fillId="0" fontId="3" numFmtId="0" xfId="0" applyAlignment="1" applyBorder="1" applyFont="1">
      <alignment vertical="bottom"/>
    </xf>
    <xf borderId="30" fillId="0" fontId="3" numFmtId="0" xfId="0" applyAlignment="1" applyBorder="1" applyFont="1">
      <alignment horizontal="center" vertical="bottom"/>
    </xf>
    <xf borderId="31" fillId="0" fontId="3" numFmtId="0" xfId="0" applyAlignment="1" applyBorder="1" applyFont="1">
      <alignment vertical="bottom"/>
    </xf>
    <xf borderId="32" fillId="4" fontId="3" numFmtId="0" xfId="0" applyAlignment="1" applyBorder="1" applyFont="1">
      <alignment vertical="bottom"/>
    </xf>
    <xf borderId="0" fillId="10" fontId="1" numFmtId="0" xfId="0" applyAlignment="1" applyFont="1">
      <alignment horizontal="center" vertical="bottom"/>
    </xf>
    <xf borderId="22" fillId="0" fontId="33" numFmtId="0" xfId="0" applyBorder="1" applyFont="1"/>
    <xf borderId="33" fillId="0" fontId="3" numFmtId="0" xfId="0" applyAlignment="1" applyBorder="1" applyFont="1">
      <alignment vertical="bottom"/>
    </xf>
    <xf borderId="28" fillId="14" fontId="1" numFmtId="0" xfId="0" applyAlignment="1" applyBorder="1" applyFont="1">
      <alignment horizontal="center" vertical="bottom"/>
    </xf>
    <xf borderId="34" fillId="14" fontId="1" numFmtId="0" xfId="0" applyAlignment="1" applyBorder="1" applyFont="1">
      <alignment horizontal="center" vertical="bottom"/>
    </xf>
    <xf borderId="4" fillId="14" fontId="1" numFmtId="0" xfId="0" applyAlignment="1" applyBorder="1" applyFont="1">
      <alignment horizontal="center" vertical="bottom"/>
    </xf>
    <xf borderId="2" fillId="14" fontId="1" numFmtId="0" xfId="0" applyAlignment="1" applyBorder="1" applyFont="1">
      <alignment horizontal="center" vertical="bottom"/>
    </xf>
    <xf borderId="1" fillId="18" fontId="1" numFmtId="0" xfId="0" applyAlignment="1" applyBorder="1" applyFill="1" applyFont="1">
      <alignment horizontal="center" vertical="bottom"/>
    </xf>
    <xf borderId="4" fillId="18" fontId="1" numFmtId="0" xfId="0" applyAlignment="1" applyBorder="1" applyFont="1">
      <alignment horizontal="center" vertical="bottom"/>
    </xf>
    <xf borderId="35" fillId="18" fontId="1" numFmtId="0" xfId="0" applyAlignment="1" applyBorder="1" applyFont="1">
      <alignment horizontal="center" vertical="bottom"/>
    </xf>
    <xf borderId="3" fillId="16" fontId="1" numFmtId="0" xfId="0" applyAlignment="1" applyBorder="1" applyFont="1">
      <alignment horizontal="center" vertical="bottom"/>
    </xf>
    <xf borderId="1" fillId="16" fontId="1" numFmtId="0" xfId="0" applyAlignment="1" applyBorder="1" applyFont="1">
      <alignment horizontal="center" vertical="bottom"/>
    </xf>
    <xf borderId="35" fillId="16" fontId="1" numFmtId="0" xfId="0" applyAlignment="1" applyBorder="1" applyFont="1">
      <alignment horizontal="center" vertical="bottom"/>
    </xf>
    <xf borderId="4" fillId="19" fontId="1" numFmtId="0" xfId="0" applyAlignment="1" applyBorder="1" applyFill="1" applyFont="1">
      <alignment horizontal="center" vertical="bottom"/>
    </xf>
    <xf borderId="1" fillId="19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33" fillId="16" fontId="1" numFmtId="0" xfId="0" applyAlignment="1" applyBorder="1" applyFont="1">
      <alignment horizontal="center" vertical="bottom"/>
    </xf>
    <xf borderId="34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36" fillId="0" fontId="3" numFmtId="0" xfId="0" applyAlignment="1" applyBorder="1" applyFont="1">
      <alignment vertical="bottom"/>
    </xf>
    <xf borderId="36" fillId="0" fontId="1" numFmtId="0" xfId="0" applyAlignment="1" applyBorder="1" applyFont="1">
      <alignment horizontal="center" vertical="bottom"/>
    </xf>
    <xf borderId="2" fillId="4" fontId="3" numFmtId="0" xfId="0" applyAlignment="1" applyBorder="1" applyFont="1">
      <alignment vertical="bottom"/>
    </xf>
    <xf borderId="1" fillId="4" fontId="1" numFmtId="0" xfId="0" applyAlignment="1" applyBorder="1" applyFont="1">
      <alignment horizontal="center" vertical="bottom"/>
    </xf>
    <xf borderId="13" fillId="2" fontId="3" numFmtId="0" xfId="0" applyAlignment="1" applyBorder="1" applyFont="1">
      <alignment horizontal="center" vertical="bottom"/>
    </xf>
    <xf borderId="1" fillId="4" fontId="29" numFmtId="0" xfId="0" applyAlignment="1" applyBorder="1" applyFont="1">
      <alignment horizontal="center" vertical="bottom"/>
    </xf>
    <xf borderId="33" fillId="4" fontId="29" numFmtId="0" xfId="0" applyAlignment="1" applyBorder="1" applyFont="1">
      <alignment horizontal="center" vertical="bottom"/>
    </xf>
    <xf borderId="34" fillId="10" fontId="3" numFmtId="0" xfId="0" applyAlignment="1" applyBorder="1" applyFont="1">
      <alignment horizontal="center" vertical="bottom"/>
    </xf>
    <xf borderId="36" fillId="2" fontId="3" numFmtId="0" xfId="0" applyAlignment="1" applyBorder="1" applyFont="1">
      <alignment horizontal="center" vertical="bottom"/>
    </xf>
    <xf borderId="36" fillId="0" fontId="3" numFmtId="0" xfId="0" applyAlignment="1" applyBorder="1" applyFont="1">
      <alignment horizontal="center" vertical="bottom"/>
    </xf>
    <xf borderId="1" fillId="4" fontId="37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27" fillId="0" fontId="3" numFmtId="0" xfId="0" applyAlignment="1" applyBorder="1" applyFont="1">
      <alignment horizontal="center" vertical="bottom"/>
    </xf>
    <xf borderId="34" fillId="0" fontId="3" numFmtId="0" xfId="0" applyAlignment="1" applyBorder="1" applyFont="1">
      <alignment horizontal="center" vertical="bottom"/>
    </xf>
    <xf borderId="36" fillId="4" fontId="3" numFmtId="0" xfId="0" applyAlignment="1" applyBorder="1" applyFont="1">
      <alignment horizontal="center" vertical="bottom"/>
    </xf>
    <xf borderId="2" fillId="4" fontId="1" numFmtId="0" xfId="0" applyAlignment="1" applyBorder="1" applyFont="1">
      <alignment horizontal="center" vertical="bottom"/>
    </xf>
    <xf borderId="13" fillId="0" fontId="3" numFmtId="0" xfId="0" applyAlignment="1" applyBorder="1" applyFont="1">
      <alignment vertical="bottom"/>
    </xf>
    <xf borderId="33" fillId="4" fontId="3" numFmtId="0" xfId="0" applyAlignment="1" applyBorder="1" applyFont="1">
      <alignment vertical="bottom"/>
    </xf>
    <xf borderId="34" fillId="0" fontId="3" numFmtId="0" xfId="0" applyAlignment="1" applyBorder="1" applyFont="1">
      <alignment vertical="bottom"/>
    </xf>
    <xf borderId="3" fillId="4" fontId="3" numFmtId="0" xfId="0" applyAlignment="1" applyBorder="1" applyFont="1">
      <alignment vertical="bottom"/>
    </xf>
    <xf borderId="33" fillId="14" fontId="1" numFmtId="0" xfId="0" applyAlignment="1" applyBorder="1" applyFont="1">
      <alignment horizontal="center" vertical="bottom"/>
    </xf>
    <xf borderId="14" fillId="14" fontId="1" numFmtId="0" xfId="0" applyAlignment="1" applyBorder="1" applyFont="1">
      <alignment horizontal="center" vertical="bottom"/>
    </xf>
    <xf borderId="3" fillId="18" fontId="1" numFmtId="0" xfId="0" applyAlignment="1" applyBorder="1" applyFont="1">
      <alignment horizontal="center" vertical="bottom"/>
    </xf>
    <xf borderId="2" fillId="18" fontId="1" numFmtId="0" xfId="0" applyAlignment="1" applyBorder="1" applyFont="1">
      <alignment horizontal="center" vertical="bottom"/>
    </xf>
    <xf borderId="36" fillId="18" fontId="1" numFmtId="0" xfId="0" applyAlignment="1" applyBorder="1" applyFont="1">
      <alignment horizontal="center" vertical="bottom"/>
    </xf>
    <xf borderId="37" fillId="16" fontId="1" numFmtId="0" xfId="0" applyAlignment="1" applyBorder="1" applyFont="1">
      <alignment horizontal="center" vertical="bottom"/>
    </xf>
    <xf borderId="2" fillId="19" fontId="1" numFmtId="0" xfId="0" applyAlignment="1" applyBorder="1" applyFont="1">
      <alignment horizontal="center" vertical="bottom"/>
    </xf>
    <xf borderId="3" fillId="14" fontId="1" numFmtId="0" xfId="0" applyAlignment="1" applyBorder="1" applyFont="1">
      <alignment horizontal="center" vertical="bottom"/>
    </xf>
    <xf borderId="11" fillId="15" fontId="1" numFmtId="0" xfId="0" applyAlignment="1" applyBorder="1" applyFont="1">
      <alignment horizontal="center" vertical="bottom"/>
    </xf>
    <xf borderId="22" fillId="0" fontId="3" numFmtId="0" xfId="0" applyAlignment="1" applyBorder="1" applyFont="1">
      <alignment vertical="bottom"/>
    </xf>
    <xf borderId="37" fillId="0" fontId="1" numFmtId="0" xfId="0" applyAlignment="1" applyBorder="1" applyFont="1">
      <alignment horizontal="center" vertical="bottom"/>
    </xf>
    <xf borderId="24" fillId="0" fontId="33" numFmtId="0" xfId="0" applyBorder="1" applyFont="1"/>
    <xf borderId="13" fillId="0" fontId="3" numFmtId="0" xfId="0" applyAlignment="1" applyBorder="1" applyFont="1">
      <alignment horizontal="center" vertical="bottom"/>
    </xf>
    <xf borderId="33" fillId="0" fontId="3" numFmtId="0" xfId="0" applyAlignment="1" applyBorder="1" applyFont="1">
      <alignment horizontal="center" vertical="bottom"/>
    </xf>
    <xf borderId="22" fillId="14" fontId="1" numFmtId="0" xfId="0" applyAlignment="1" applyBorder="1" applyFont="1">
      <alignment horizontal="center" vertical="bottom"/>
    </xf>
    <xf borderId="1" fillId="10" fontId="3" numFmtId="0" xfId="0" applyAlignment="1" applyBorder="1" applyFont="1">
      <alignment horizontal="center" vertical="bottom"/>
    </xf>
    <xf borderId="33" fillId="2" fontId="3" numFmtId="0" xfId="0" applyAlignment="1" applyBorder="1" applyFont="1">
      <alignment horizontal="center" vertical="bottom"/>
    </xf>
    <xf borderId="22" fillId="2" fontId="3" numFmtId="0" xfId="0" applyAlignment="1" applyBorder="1" applyFont="1">
      <alignment horizontal="center" vertical="bottom"/>
    </xf>
    <xf borderId="29" fillId="0" fontId="3" numFmtId="0" xfId="0" applyAlignment="1" applyBorder="1" applyFont="1">
      <alignment horizontal="center" vertical="bottom"/>
    </xf>
    <xf borderId="38" fillId="4" fontId="3" numFmtId="0" xfId="0" applyAlignment="1" applyBorder="1" applyFont="1">
      <alignment horizontal="center" vertical="bottom"/>
    </xf>
    <xf borderId="14" fillId="0" fontId="3" numFmtId="0" xfId="0" applyAlignment="1" applyBorder="1" applyFont="1">
      <alignment horizontal="center" vertical="bottom"/>
    </xf>
    <xf borderId="39" fillId="0" fontId="33" numFmtId="0" xfId="0" applyBorder="1" applyFont="1"/>
    <xf borderId="40" fillId="4" fontId="3" numFmtId="0" xfId="0" applyAlignment="1" applyBorder="1" applyFont="1">
      <alignment vertical="bottom"/>
    </xf>
    <xf borderId="30" fillId="0" fontId="3" numFmtId="0" xfId="0" applyAlignment="1" applyBorder="1" applyFont="1">
      <alignment vertical="bottom"/>
    </xf>
    <xf borderId="32" fillId="0" fontId="3" numFmtId="0" xfId="0" applyAlignment="1" applyBorder="1" applyFont="1">
      <alignment vertical="bottom"/>
    </xf>
    <xf borderId="12" fillId="14" fontId="1" numFmtId="0" xfId="0" applyAlignment="1" applyBorder="1" applyFont="1">
      <alignment horizontal="center" vertical="bottom"/>
    </xf>
    <xf borderId="41" fillId="0" fontId="3" numFmtId="0" xfId="0" applyAlignment="1" applyBorder="1" applyFont="1">
      <alignment vertical="bottom"/>
    </xf>
    <xf borderId="42" fillId="0" fontId="3" numFmtId="0" xfId="0" applyAlignment="1" applyBorder="1" applyFont="1">
      <alignment vertical="bottom"/>
    </xf>
    <xf borderId="32" fillId="0" fontId="1" numFmtId="0" xfId="0" applyAlignment="1" applyBorder="1" applyFont="1">
      <alignment horizontal="center" vertical="bottom"/>
    </xf>
    <xf borderId="3" fillId="14" fontId="3" numFmtId="0" xfId="0" applyAlignment="1" applyBorder="1" applyFont="1">
      <alignment vertical="bottom"/>
    </xf>
    <xf borderId="2" fillId="15" fontId="1" numFmtId="0" xfId="0" applyAlignment="1" applyBorder="1" applyFont="1">
      <alignment horizontal="center" vertical="bottom"/>
    </xf>
    <xf borderId="1" fillId="10" fontId="29" numFmtId="0" xfId="0" applyAlignment="1" applyBorder="1" applyFont="1">
      <alignment horizontal="center" vertical="bottom"/>
    </xf>
    <xf borderId="1" fillId="20" fontId="3" numFmtId="0" xfId="0" applyAlignment="1" applyBorder="1" applyFill="1" applyFont="1">
      <alignment horizontal="center" vertical="bottom"/>
    </xf>
    <xf borderId="14" fillId="4" fontId="3" numFmtId="0" xfId="0" applyAlignment="1" applyBorder="1" applyFont="1">
      <alignment horizontal="center" vertical="bottom"/>
    </xf>
    <xf borderId="36" fillId="16" fontId="1" numFmtId="0" xfId="0" applyAlignment="1" applyBorder="1" applyFont="1">
      <alignment horizontal="center" vertical="bottom"/>
    </xf>
    <xf borderId="43" fillId="0" fontId="3" numFmtId="0" xfId="0" applyAlignment="1" applyBorder="1" applyFont="1">
      <alignment horizontal="center" vertical="bottom"/>
    </xf>
    <xf borderId="3" fillId="4" fontId="3" numFmtId="0" xfId="0" applyAlignment="1" applyBorder="1" applyFont="1">
      <alignment horizontal="center" vertical="bottom"/>
    </xf>
    <xf borderId="38" fillId="0" fontId="3" numFmtId="0" xfId="0" applyAlignment="1" applyBorder="1" applyFont="1">
      <alignment horizontal="center" vertical="bottom"/>
    </xf>
    <xf borderId="4" fillId="21" fontId="3" numFmtId="0" xfId="0" applyAlignment="1" applyBorder="1" applyFill="1" applyFont="1">
      <alignment horizontal="center" vertical="bottom"/>
    </xf>
    <xf borderId="1" fillId="21" fontId="3" numFmtId="0" xfId="0" applyAlignment="1" applyBorder="1" applyFont="1">
      <alignment horizontal="center" vertical="bottom"/>
    </xf>
    <xf borderId="25" fillId="0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vertical="bottom"/>
    </xf>
    <xf borderId="44" fillId="15" fontId="1" numFmtId="0" xfId="0" applyAlignment="1" applyBorder="1" applyFont="1">
      <alignment horizontal="center" vertical="bottom"/>
    </xf>
    <xf borderId="0" fillId="0" fontId="38" numFmtId="0" xfId="0" applyAlignment="1" applyFont="1">
      <alignment horizontal="center" vertical="bottom"/>
    </xf>
    <xf borderId="45" fillId="0" fontId="33" numFmtId="0" xfId="0" applyBorder="1" applyFont="1"/>
    <xf borderId="0" fillId="0" fontId="39" numFmtId="0" xfId="0" applyAlignment="1" applyFont="1">
      <alignment horizontal="center" vertical="bottom"/>
    </xf>
    <xf borderId="46" fillId="0" fontId="3" numFmtId="0" xfId="0" applyAlignment="1" applyBorder="1" applyFont="1">
      <alignment vertical="bottom"/>
    </xf>
    <xf borderId="43" fillId="14" fontId="1" numFmtId="0" xfId="0" applyAlignment="1" applyBorder="1" applyFont="1">
      <alignment horizontal="center" vertical="bottom"/>
    </xf>
    <xf borderId="12" fillId="19" fontId="1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22" fontId="40" numFmtId="0" xfId="0" applyAlignment="1" applyFill="1" applyFont="1">
      <alignment horizontal="center" vertical="bottom"/>
    </xf>
    <xf borderId="4" fillId="0" fontId="3" numFmtId="0" xfId="0" applyAlignment="1" applyBorder="1" applyFont="1">
      <alignment vertical="bottom"/>
    </xf>
    <xf borderId="47" fillId="0" fontId="3" numFmtId="0" xfId="0" applyAlignment="1" applyBorder="1" applyFont="1">
      <alignment vertical="bottom"/>
    </xf>
    <xf borderId="48" fillId="0" fontId="3" numFmtId="0" xfId="0" applyAlignment="1" applyBorder="1" applyFont="1">
      <alignment vertical="bottom"/>
    </xf>
    <xf borderId="49" fillId="0" fontId="33" numFmtId="0" xfId="0" applyBorder="1" applyFont="1"/>
    <xf borderId="50" fillId="0" fontId="3" numFmtId="0" xfId="0" applyAlignment="1" applyBorder="1" applyFont="1">
      <alignment vertical="bottom"/>
    </xf>
    <xf borderId="51" fillId="0" fontId="3" numFmtId="0" xfId="0" applyAlignment="1" applyBorder="1" applyFont="1">
      <alignment vertical="bottom"/>
    </xf>
    <xf borderId="52" fillId="0" fontId="3" numFmtId="0" xfId="0" applyAlignment="1" applyBorder="1" applyFont="1">
      <alignment horizontal="center" vertical="bottom"/>
    </xf>
    <xf borderId="43" fillId="2" fontId="3" numFmtId="0" xfId="0" applyAlignment="1" applyBorder="1" applyFont="1">
      <alignment horizontal="center" vertical="bottom"/>
    </xf>
    <xf borderId="53" fillId="19" fontId="1" numFmtId="0" xfId="0" applyAlignment="1" applyBorder="1" applyFont="1">
      <alignment horizontal="center" vertical="bottom"/>
    </xf>
    <xf borderId="0" fillId="0" fontId="35" numFmtId="0" xfId="0" applyAlignment="1" applyFont="1">
      <alignment horizontal="center" vertical="bottom"/>
    </xf>
    <xf borderId="36" fillId="20" fontId="3" numFmtId="0" xfId="0" applyAlignment="1" applyBorder="1" applyFont="1">
      <alignment horizontal="center" vertical="bottom"/>
    </xf>
    <xf borderId="32" fillId="2" fontId="3" numFmtId="0" xfId="0" applyAlignment="1" applyBorder="1" applyFont="1">
      <alignment horizontal="center" vertical="bottom"/>
    </xf>
    <xf borderId="0" fillId="14" fontId="1" numFmtId="0" xfId="0" applyAlignment="1" applyFont="1">
      <alignment horizontal="center" vertical="bottom"/>
    </xf>
    <xf borderId="25" fillId="4" fontId="3" numFmtId="0" xfId="0" applyAlignment="1" applyBorder="1" applyFont="1">
      <alignment horizontal="center" vertical="bottom"/>
    </xf>
    <xf borderId="53" fillId="14" fontId="1" numFmtId="0" xfId="0" applyAlignment="1" applyBorder="1" applyFont="1">
      <alignment horizontal="center" vertical="bottom"/>
    </xf>
    <xf borderId="4" fillId="9" fontId="1" numFmtId="0" xfId="0" applyAlignment="1" applyBorder="1" applyFont="1">
      <alignment horizontal="center" vertical="bottom"/>
    </xf>
    <xf borderId="35" fillId="14" fontId="1" numFmtId="0" xfId="0" applyAlignment="1" applyBorder="1" applyFont="1">
      <alignment horizontal="center" vertical="bottom"/>
    </xf>
    <xf borderId="36" fillId="4" fontId="1" numFmtId="0" xfId="0" applyAlignment="1" applyBorder="1" applyFont="1">
      <alignment horizontal="center" vertical="bottom"/>
    </xf>
    <xf borderId="2" fillId="19" fontId="3" numFmtId="0" xfId="0" applyAlignment="1" applyBorder="1" applyFont="1">
      <alignment vertical="bottom"/>
    </xf>
    <xf borderId="0" fillId="19" fontId="3" numFmtId="0" xfId="0" applyAlignment="1" applyFont="1">
      <alignment vertical="bottom"/>
    </xf>
    <xf borderId="36" fillId="14" fontId="1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vertical="bottom"/>
    </xf>
    <xf borderId="54" fillId="0" fontId="3" numFmtId="0" xfId="0" applyAlignment="1" applyBorder="1" applyFont="1">
      <alignment horizontal="center" vertical="bottom"/>
    </xf>
    <xf borderId="55" fillId="0" fontId="3" numFmtId="0" xfId="0" applyAlignment="1" applyBorder="1" applyFont="1">
      <alignment horizontal="center" vertical="bottom"/>
    </xf>
    <xf borderId="56" fillId="0" fontId="3" numFmtId="0" xfId="0" applyAlignment="1" applyBorder="1" applyFont="1">
      <alignment horizontal="center" vertical="bottom"/>
    </xf>
    <xf borderId="57" fillId="10" fontId="40" numFmtId="0" xfId="0" applyAlignment="1" applyBorder="1" applyFont="1">
      <alignment horizontal="center"/>
    </xf>
    <xf borderId="58" fillId="0" fontId="3" numFmtId="0" xfId="0" applyAlignment="1" applyBorder="1" applyFont="1">
      <alignment vertical="bottom"/>
    </xf>
    <xf borderId="59" fillId="22" fontId="41" numFmtId="0" xfId="0" applyAlignment="1" applyBorder="1" applyFont="1">
      <alignment horizontal="center"/>
    </xf>
    <xf borderId="57" fillId="0" fontId="33" numFmtId="0" xfId="0" applyBorder="1" applyFont="1"/>
    <xf borderId="60" fillId="20" fontId="42" numFmtId="0" xfId="0" applyAlignment="1" applyBorder="1" applyFont="1">
      <alignment horizontal="center"/>
    </xf>
    <xf borderId="61" fillId="0" fontId="33" numFmtId="0" xfId="0" applyBorder="1" applyFont="1"/>
    <xf borderId="62" fillId="0" fontId="33" numFmtId="0" xfId="0" applyBorder="1" applyFont="1"/>
    <xf borderId="59" fillId="22" fontId="36" numFmtId="0" xfId="0" applyAlignment="1" applyBorder="1" applyFont="1">
      <alignment horizontal="center"/>
    </xf>
    <xf borderId="63" fillId="20" fontId="42" numFmtId="0" xfId="0" applyAlignment="1" applyBorder="1" applyFont="1">
      <alignment horizontal="center"/>
    </xf>
    <xf borderId="64" fillId="0" fontId="33" numFmtId="0" xfId="0" applyBorder="1" applyFont="1"/>
    <xf borderId="65" fillId="0" fontId="33" numFmtId="0" xfId="0" applyBorder="1" applyFont="1"/>
    <xf borderId="59" fillId="0" fontId="33" numFmtId="0" xfId="0" applyBorder="1" applyFont="1"/>
    <xf borderId="66" fillId="0" fontId="33" numFmtId="0" xfId="0" applyBorder="1" applyFont="1"/>
    <xf borderId="67" fillId="0" fontId="33" numFmtId="0" xfId="0" applyBorder="1" applyFont="1"/>
    <xf borderId="68" fillId="0" fontId="33" numFmtId="0" xfId="0" applyBorder="1" applyFont="1"/>
    <xf borderId="69" fillId="0" fontId="33" numFmtId="0" xfId="0" applyBorder="1" applyFont="1"/>
    <xf borderId="70" fillId="5" fontId="1" numFmtId="0" xfId="0" applyAlignment="1" applyBorder="1" applyFont="1">
      <alignment horizontal="center" vertical="bottom"/>
    </xf>
    <xf borderId="71" fillId="5" fontId="1" numFmtId="0" xfId="0" applyAlignment="1" applyBorder="1" applyFont="1">
      <alignment horizontal="center" vertical="bottom"/>
    </xf>
    <xf borderId="64" fillId="22" fontId="40" numFmtId="0" xfId="0" applyAlignment="1" applyBorder="1" applyFont="1">
      <alignment horizontal="center"/>
    </xf>
    <xf borderId="72" fillId="0" fontId="33" numFmtId="0" xfId="0" applyBorder="1" applyFont="1"/>
    <xf borderId="73" fillId="5" fontId="1" numFmtId="0" xfId="0" applyAlignment="1" applyBorder="1" applyFont="1">
      <alignment horizontal="center" vertical="bottom"/>
    </xf>
    <xf borderId="74" fillId="5" fontId="1" numFmtId="0" xfId="0" applyAlignment="1" applyBorder="1" applyFont="1">
      <alignment horizontal="center" vertical="bottom"/>
    </xf>
    <xf borderId="75" fillId="14" fontId="1" numFmtId="0" xfId="0" applyAlignment="1" applyBorder="1" applyFont="1">
      <alignment horizontal="center" vertical="bottom"/>
    </xf>
    <xf borderId="71" fillId="14" fontId="1" numFmtId="0" xfId="0" applyAlignment="1" applyBorder="1" applyFont="1">
      <alignment horizontal="center" vertical="bottom"/>
    </xf>
    <xf borderId="76" fillId="14" fontId="1" numFmtId="0" xfId="0" applyAlignment="1" applyBorder="1" applyFont="1">
      <alignment horizontal="center" vertical="bottom"/>
    </xf>
    <xf borderId="64" fillId="22" fontId="1" numFmtId="0" xfId="0" applyAlignment="1" applyBorder="1" applyFont="1">
      <alignment horizontal="center" vertical="bottom"/>
    </xf>
    <xf borderId="77" fillId="14" fontId="1" numFmtId="0" xfId="0" applyAlignment="1" applyBorder="1" applyFont="1">
      <alignment horizontal="center" vertical="bottom"/>
    </xf>
    <xf borderId="64" fillId="22" fontId="43" numFmtId="0" xfId="0" applyAlignment="1" applyBorder="1" applyFont="1">
      <alignment horizontal="center" vertical="bottom"/>
    </xf>
    <xf borderId="78" fillId="14" fontId="1" numFmtId="0" xfId="0" applyAlignment="1" applyBorder="1" applyFont="1">
      <alignment horizontal="center" vertical="bottom"/>
    </xf>
    <xf borderId="14" fillId="0" fontId="33" numFmtId="0" xfId="0" applyBorder="1" applyFont="1"/>
    <xf borderId="33" fillId="4" fontId="3" numFmtId="0" xfId="0" applyAlignment="1" applyBorder="1" applyFont="1">
      <alignment horizontal="center" vertical="bottom"/>
    </xf>
    <xf borderId="37" fillId="4" fontId="3" numFmtId="0" xfId="0" applyAlignment="1" applyBorder="1" applyFont="1">
      <alignment horizontal="center" vertical="bottom"/>
    </xf>
    <xf borderId="1" fillId="23" fontId="3" numFmtId="0" xfId="0" applyAlignment="1" applyBorder="1" applyFill="1" applyFont="1">
      <alignment horizontal="center" vertical="bottom"/>
    </xf>
    <xf borderId="35" fillId="0" fontId="3" numFmtId="0" xfId="0" applyAlignment="1" applyBorder="1" applyFont="1">
      <alignment horizontal="center" vertical="bottom"/>
    </xf>
    <xf borderId="79" fillId="0" fontId="3" numFmtId="0" xfId="0" applyAlignment="1" applyBorder="1" applyFont="1">
      <alignment horizontal="center" vertical="bottom"/>
    </xf>
    <xf borderId="15" fillId="15" fontId="3" numFmtId="0" xfId="0" applyAlignment="1" applyBorder="1" applyFont="1">
      <alignment horizontal="center" vertical="bottom"/>
    </xf>
    <xf borderId="26" fillId="0" fontId="3" numFmtId="0" xfId="0" applyAlignment="1" applyBorder="1" applyFont="1">
      <alignment vertical="bottom"/>
    </xf>
    <xf borderId="36" fillId="4" fontId="3" numFmtId="0" xfId="0" applyAlignment="1" applyBorder="1" applyFont="1">
      <alignment vertical="bottom"/>
    </xf>
    <xf borderId="1" fillId="5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vertical="bottom"/>
    </xf>
    <xf borderId="2" fillId="5" fontId="1" numFmtId="0" xfId="0" applyAlignment="1" applyBorder="1" applyFont="1">
      <alignment horizontal="center" vertical="bottom"/>
    </xf>
    <xf borderId="33" fillId="5" fontId="1" numFmtId="0" xfId="0" applyAlignment="1" applyBorder="1" applyFont="1">
      <alignment horizontal="center" vertical="bottom"/>
    </xf>
    <xf borderId="80" fillId="0" fontId="33" numFmtId="0" xfId="0" applyBorder="1" applyFont="1"/>
    <xf borderId="81" fillId="4" fontId="3" numFmtId="0" xfId="0" applyAlignment="1" applyBorder="1" applyFont="1">
      <alignment vertical="bottom"/>
    </xf>
    <xf borderId="13" fillId="4" fontId="3" numFmtId="0" xfId="0" applyAlignment="1" applyBorder="1" applyFont="1">
      <alignment horizontal="center" vertical="bottom"/>
    </xf>
    <xf borderId="37" fillId="14" fontId="1" numFmtId="0" xfId="0" applyAlignment="1" applyBorder="1" applyFont="1">
      <alignment horizontal="center" vertical="bottom"/>
    </xf>
    <xf borderId="37" fillId="0" fontId="3" numFmtId="0" xfId="0" applyAlignment="1" applyBorder="1" applyFont="1">
      <alignment horizontal="center" vertical="bottom"/>
    </xf>
    <xf borderId="13" fillId="5" fontId="1" numFmtId="0" xfId="0" applyAlignment="1" applyBorder="1" applyFont="1">
      <alignment horizontal="center" vertical="bottom"/>
    </xf>
    <xf borderId="4" fillId="5" fontId="1" numFmtId="0" xfId="0" applyAlignment="1" applyBorder="1" applyFont="1">
      <alignment horizontal="center" vertical="bottom"/>
    </xf>
    <xf borderId="37" fillId="4" fontId="3" numFmtId="0" xfId="0" applyAlignment="1" applyBorder="1" applyFont="1">
      <alignment vertical="bottom"/>
    </xf>
    <xf borderId="4" fillId="4" fontId="3" numFmtId="0" xfId="0" applyAlignment="1" applyBorder="1" applyFont="1">
      <alignment horizontal="center" vertical="bottom"/>
    </xf>
    <xf borderId="22" fillId="5" fontId="1" numFmtId="0" xfId="0" applyAlignment="1" applyBorder="1" applyFont="1">
      <alignment horizontal="center" vertical="bottom"/>
    </xf>
    <xf borderId="37" fillId="0" fontId="3" numFmtId="0" xfId="0" applyAlignment="1" applyBorder="1" applyFont="1">
      <alignment vertical="bottom"/>
    </xf>
    <xf borderId="32" fillId="14" fontId="1" numFmtId="0" xfId="0" applyAlignment="1" applyBorder="1" applyFont="1">
      <alignment horizontal="center" vertical="bottom"/>
    </xf>
    <xf borderId="82" fillId="3" fontId="36" numFmtId="0" xfId="0" applyAlignment="1" applyBorder="1" applyFont="1">
      <alignment horizontal="center"/>
    </xf>
    <xf borderId="83" fillId="0" fontId="33" numFmtId="0" xfId="0" applyBorder="1" applyFont="1"/>
    <xf borderId="40" fillId="0" fontId="3" numFmtId="0" xfId="0" applyAlignment="1" applyBorder="1" applyFont="1">
      <alignment vertical="bottom"/>
    </xf>
    <xf borderId="32" fillId="0" fontId="3" numFmtId="0" xfId="0" applyAlignment="1" applyBorder="1" applyFont="1">
      <alignment horizontal="center" vertical="bottom"/>
    </xf>
    <xf borderId="84" fillId="0" fontId="33" numFmtId="0" xfId="0" applyBorder="1" applyFont="1"/>
    <xf borderId="22" fillId="16" fontId="1" numFmtId="0" xfId="0" applyAlignment="1" applyBorder="1" applyFont="1">
      <alignment horizontal="center" vertical="bottom"/>
    </xf>
    <xf borderId="22" fillId="4" fontId="3" numFmtId="0" xfId="0" applyAlignment="1" applyBorder="1" applyFont="1">
      <alignment horizontal="center" vertical="bottom"/>
    </xf>
    <xf borderId="17" fillId="0" fontId="33" numFmtId="0" xfId="0" applyBorder="1" applyFont="1"/>
    <xf borderId="23" fillId="0" fontId="3" numFmtId="0" xfId="0" applyAlignment="1" applyBorder="1" applyFont="1">
      <alignment horizontal="center" vertical="bottom"/>
    </xf>
    <xf borderId="31" fillId="0" fontId="3" numFmtId="0" xfId="0" applyAlignment="1" applyBorder="1" applyFont="1">
      <alignment horizontal="center" vertical="bottom"/>
    </xf>
    <xf borderId="25" fillId="0" fontId="33" numFmtId="0" xfId="0" applyBorder="1" applyFont="1"/>
    <xf borderId="56" fillId="0" fontId="33" numFmtId="0" xfId="0" applyBorder="1" applyFont="1"/>
    <xf borderId="34" fillId="4" fontId="3" numFmtId="0" xfId="0" applyAlignment="1" applyBorder="1" applyFont="1">
      <alignment horizontal="center" vertical="bottom"/>
    </xf>
    <xf borderId="32" fillId="4" fontId="3" numFmtId="0" xfId="0" applyAlignment="1" applyBorder="1" applyFont="1">
      <alignment horizontal="center" vertical="bottom"/>
    </xf>
    <xf borderId="85" fillId="22" fontId="44" numFmtId="0" xfId="0" applyAlignment="1" applyBorder="1" applyFont="1">
      <alignment horizontal="center"/>
    </xf>
    <xf borderId="86" fillId="0" fontId="45" numFmtId="0" xfId="0" applyAlignment="1" applyBorder="1" applyFont="1">
      <alignment horizontal="center" vertical="bottom"/>
    </xf>
    <xf borderId="87" fillId="0" fontId="33" numFmtId="0" xfId="0" applyBorder="1" applyFont="1"/>
    <xf borderId="88" fillId="0" fontId="33" numFmtId="0" xfId="0" applyBorder="1" applyFont="1"/>
    <xf borderId="5" fillId="4" fontId="3" numFmtId="0" xfId="0" applyAlignment="1" applyBorder="1" applyFont="1">
      <alignment horizontal="center" vertical="bottom"/>
    </xf>
    <xf borderId="5" fillId="14" fontId="1" numFmtId="0" xfId="0" applyAlignment="1" applyBorder="1" applyFont="1">
      <alignment horizontal="center" vertical="bottom"/>
    </xf>
    <xf borderId="11" fillId="4" fontId="3" numFmtId="0" xfId="0" applyAlignment="1" applyBorder="1" applyFont="1">
      <alignment horizontal="center" vertical="bottom"/>
    </xf>
    <xf borderId="89" fillId="0" fontId="33" numFmtId="0" xfId="0" applyBorder="1" applyFont="1"/>
    <xf borderId="90" fillId="0" fontId="33" numFmtId="0" xfId="0" applyBorder="1" applyFont="1"/>
    <xf borderId="42" fillId="0" fontId="33" numFmtId="0" xfId="0" applyBorder="1" applyFont="1"/>
    <xf borderId="91" fillId="0" fontId="33" numFmtId="0" xfId="0" applyBorder="1" applyFont="1"/>
    <xf borderId="11" fillId="0" fontId="3" numFmtId="0" xfId="0" applyAlignment="1" applyBorder="1" applyFont="1">
      <alignment horizontal="center" vertical="bottom"/>
    </xf>
    <xf borderId="2" fillId="21" fontId="3" numFmtId="0" xfId="0" applyAlignment="1" applyBorder="1" applyFont="1">
      <alignment horizontal="center" vertical="bottom"/>
    </xf>
    <xf borderId="29" fillId="0" fontId="33" numFmtId="0" xfId="0" applyBorder="1" applyFont="1"/>
    <xf borderId="34" fillId="24" fontId="3" numFmtId="0" xfId="0" applyAlignment="1" applyBorder="1" applyFill="1" applyFont="1">
      <alignment horizontal="center" vertical="bottom"/>
    </xf>
    <xf borderId="24" fillId="24" fontId="46" numFmtId="0" xfId="0" applyAlignment="1" applyBorder="1" applyFont="1">
      <alignment horizontal="center"/>
    </xf>
    <xf borderId="36" fillId="24" fontId="3" numFmtId="0" xfId="0" applyAlignment="1" applyBorder="1" applyFont="1">
      <alignment horizontal="center" vertical="bottom"/>
    </xf>
    <xf borderId="34" fillId="24" fontId="47" numFmtId="0" xfId="0" applyAlignment="1" applyBorder="1" applyFont="1">
      <alignment horizontal="center" vertical="bottom"/>
    </xf>
    <xf borderId="36" fillId="24" fontId="47" numFmtId="0" xfId="0" applyAlignment="1" applyBorder="1" applyFont="1">
      <alignment horizontal="center" vertical="bottom"/>
    </xf>
    <xf borderId="1" fillId="4" fontId="21" numFmtId="0" xfId="0" applyAlignment="1" applyBorder="1" applyFont="1">
      <alignment horizontal="center" vertical="bottom"/>
    </xf>
    <xf borderId="38" fillId="2" fontId="3" numFmtId="0" xfId="0" applyAlignment="1" applyBorder="1" applyFont="1">
      <alignment horizontal="center" vertical="bottom"/>
    </xf>
    <xf borderId="1" fillId="14" fontId="3" numFmtId="0" xfId="0" applyAlignment="1" applyBorder="1" applyFont="1">
      <alignment vertical="bottom"/>
    </xf>
    <xf borderId="3" fillId="0" fontId="33" numFmtId="0" xfId="0" applyBorder="1" applyFont="1"/>
    <xf borderId="36" fillId="0" fontId="33" numFmtId="0" xfId="0" applyBorder="1" applyFont="1"/>
    <xf borderId="27" fillId="0" fontId="3" numFmtId="0" xfId="0" applyAlignment="1" applyBorder="1" applyFont="1">
      <alignment vertical="bottom"/>
    </xf>
    <xf borderId="0" fillId="10" fontId="48" numFmtId="0" xfId="0" applyAlignment="1" applyFont="1">
      <alignment horizontal="center" vertical="bottom"/>
    </xf>
    <xf borderId="34" fillId="24" fontId="3" numFmtId="0" xfId="0" applyAlignment="1" applyBorder="1" applyFont="1">
      <alignment vertical="bottom"/>
    </xf>
    <xf borderId="92" fillId="25" fontId="44" numFmtId="0" xfId="0" applyAlignment="1" applyBorder="1" applyFill="1" applyFont="1">
      <alignment horizontal="center" vertical="bottom"/>
    </xf>
    <xf borderId="0" fillId="10" fontId="49" numFmtId="0" xfId="0" applyAlignment="1" applyFont="1">
      <alignment horizontal="center" vertical="bottom"/>
    </xf>
    <xf borderId="0" fillId="10" fontId="50" numFmtId="0" xfId="0" applyAlignment="1" applyFont="1">
      <alignment horizontal="center" vertical="bottom"/>
    </xf>
    <xf borderId="93" fillId="0" fontId="3" numFmtId="0" xfId="0" applyAlignment="1" applyBorder="1" applyFont="1">
      <alignment vertical="bottom"/>
    </xf>
    <xf borderId="94" fillId="0" fontId="3" numFmtId="0" xfId="0" applyAlignment="1" applyBorder="1" applyFont="1">
      <alignment vertical="bottom"/>
    </xf>
    <xf borderId="95" fillId="0" fontId="3" numFmtId="0" xfId="0" applyAlignment="1" applyBorder="1" applyFont="1">
      <alignment vertical="bottom"/>
    </xf>
    <xf borderId="96" fillId="0" fontId="3" numFmtId="0" xfId="0" applyAlignment="1" applyBorder="1" applyFont="1">
      <alignment horizontal="center" vertical="bottom"/>
    </xf>
    <xf borderId="97" fillId="0" fontId="33" numFmtId="0" xfId="0" applyBorder="1" applyFont="1"/>
    <xf borderId="96" fillId="24" fontId="3" numFmtId="0" xfId="0" applyAlignment="1" applyBorder="1" applyFont="1">
      <alignment vertical="bottom"/>
    </xf>
    <xf borderId="98" fillId="0" fontId="33" numFmtId="0" xfId="0" applyBorder="1" applyFont="1"/>
    <xf borderId="99" fillId="0" fontId="33" numFmtId="0" xfId="0" applyBorder="1" applyFont="1"/>
    <xf borderId="90" fillId="4" fontId="3" numFmtId="0" xfId="0" applyAlignment="1" applyBorder="1" applyFont="1">
      <alignment vertical="bottom"/>
    </xf>
    <xf borderId="98" fillId="2" fontId="3" numFmtId="0" xfId="0" applyAlignment="1" applyBorder="1" applyFont="1">
      <alignment vertical="bottom"/>
    </xf>
    <xf borderId="100" fillId="2" fontId="3" numFmtId="0" xfId="0" applyAlignment="1" applyBorder="1" applyFont="1">
      <alignment vertical="bottom"/>
    </xf>
    <xf borderId="101" fillId="0" fontId="3" numFmtId="0" xfId="0" applyAlignment="1" applyBorder="1" applyFont="1">
      <alignment horizontal="center" vertical="bottom"/>
    </xf>
    <xf borderId="98" fillId="0" fontId="3" numFmtId="0" xfId="0" applyAlignment="1" applyBorder="1" applyFont="1">
      <alignment horizontal="center" vertical="bottom"/>
    </xf>
    <xf borderId="101" fillId="0" fontId="33" numFmtId="0" xfId="0" applyBorder="1" applyFont="1"/>
    <xf borderId="55" fillId="0" fontId="25" numFmtId="0" xfId="0" applyAlignment="1" applyBorder="1" applyFont="1">
      <alignment horizontal="center" vertical="bottom"/>
    </xf>
    <xf borderId="55" fillId="0" fontId="3" numFmtId="0" xfId="0" applyAlignment="1" applyBorder="1" applyFont="1">
      <alignment vertical="bottom"/>
    </xf>
    <xf borderId="102" fillId="0" fontId="33" numFmtId="0" xfId="0" applyBorder="1" applyFont="1"/>
    <xf borderId="54" fillId="4" fontId="3" numFmtId="0" xfId="0" applyAlignment="1" applyBorder="1" applyFont="1">
      <alignment vertical="bottom"/>
    </xf>
    <xf borderId="80" fillId="0" fontId="3" numFmtId="0" xfId="0" applyAlignment="1" applyBorder="1" applyFont="1">
      <alignment vertical="bottom"/>
    </xf>
    <xf borderId="103" fillId="0" fontId="3" numFmtId="0" xfId="0" applyAlignment="1" applyBorder="1" applyFont="1">
      <alignment vertical="bottom"/>
    </xf>
    <xf borderId="104" fillId="0" fontId="3" numFmtId="0" xfId="0" applyAlignment="1" applyBorder="1" applyFont="1">
      <alignment vertical="bottom"/>
    </xf>
    <xf borderId="56" fillId="0" fontId="3" numFmtId="0" xfId="0" applyAlignment="1" applyBorder="1" applyFont="1">
      <alignment vertical="bottom"/>
    </xf>
    <xf borderId="39" fillId="15" fontId="1" numFmtId="0" xfId="0" applyAlignment="1" applyBorder="1" applyFont="1">
      <alignment horizontal="center" vertical="bottom"/>
    </xf>
    <xf borderId="0" fillId="14" fontId="3" numFmtId="0" xfId="0" applyAlignment="1" applyFont="1">
      <alignment horizontal="center" vertical="bottom"/>
    </xf>
    <xf borderId="0" fillId="7" fontId="3" numFmtId="0" xfId="0" applyAlignment="1" applyFont="1">
      <alignment vertical="bottom"/>
    </xf>
    <xf borderId="105" fillId="0" fontId="3" numFmtId="0" xfId="0" applyAlignment="1" applyBorder="1" applyFont="1">
      <alignment horizontal="center" vertical="bottom"/>
    </xf>
    <xf borderId="106" fillId="0" fontId="3" numFmtId="0" xfId="0" applyAlignment="1" applyBorder="1" applyFont="1">
      <alignment horizontal="center" vertical="bottom"/>
    </xf>
    <xf borderId="107" fillId="0" fontId="3" numFmtId="0" xfId="0" applyAlignment="1" applyBorder="1" applyFont="1">
      <alignment vertical="bottom"/>
    </xf>
    <xf borderId="108" fillId="0" fontId="3" numFmtId="0" xfId="0" applyAlignment="1" applyBorder="1" applyFont="1">
      <alignment horizontal="center" vertical="bottom"/>
    </xf>
    <xf borderId="109" fillId="0" fontId="3" numFmtId="0" xfId="0" applyAlignment="1" applyBorder="1" applyFont="1">
      <alignment vertical="bottom"/>
    </xf>
    <xf borderId="110" fillId="0" fontId="3" numFmtId="0" xfId="0" applyAlignment="1" applyBorder="1" applyFont="1">
      <alignment horizontal="center" vertical="bottom"/>
    </xf>
    <xf borderId="0" fillId="0" fontId="20" numFmtId="0" xfId="0" applyAlignment="1" applyFont="1">
      <alignment readingOrder="0"/>
    </xf>
    <xf borderId="0" fillId="0" fontId="20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2.5"/>
    <col customWidth="1" min="3" max="3" width="20.63"/>
    <col customWidth="1" min="4" max="4" width="9.13"/>
    <col customWidth="1" min="5" max="5" width="19.38"/>
    <col customWidth="1" min="6" max="6" width="14.5"/>
    <col customWidth="1" min="7" max="7" width="6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>
      <c r="A3" s="6" t="s">
        <v>14</v>
      </c>
      <c r="B3" s="6" t="s">
        <v>15</v>
      </c>
      <c r="C3" s="6" t="s">
        <v>16</v>
      </c>
      <c r="D3" s="6" t="s">
        <v>10</v>
      </c>
      <c r="E3" s="6" t="s">
        <v>11</v>
      </c>
      <c r="F3" s="6" t="s">
        <v>17</v>
      </c>
      <c r="G3" s="6" t="s">
        <v>13</v>
      </c>
    </row>
    <row r="4">
      <c r="A4" s="5" t="s">
        <v>18</v>
      </c>
      <c r="B4" s="5" t="s">
        <v>19</v>
      </c>
      <c r="C4" s="5" t="s">
        <v>20</v>
      </c>
      <c r="D4" s="5" t="s">
        <v>10</v>
      </c>
      <c r="E4" s="5" t="s">
        <v>11</v>
      </c>
      <c r="F4" s="5" t="s">
        <v>12</v>
      </c>
      <c r="G4" s="5" t="s">
        <v>13</v>
      </c>
    </row>
    <row r="5">
      <c r="A5" s="5" t="s">
        <v>21</v>
      </c>
      <c r="B5" s="5" t="s">
        <v>22</v>
      </c>
      <c r="C5" s="5" t="s">
        <v>23</v>
      </c>
      <c r="D5" s="5" t="s">
        <v>10</v>
      </c>
      <c r="E5" s="5" t="s">
        <v>11</v>
      </c>
      <c r="F5" s="5" t="s">
        <v>12</v>
      </c>
      <c r="G5" s="5" t="s">
        <v>13</v>
      </c>
    </row>
    <row r="6">
      <c r="A6" s="5" t="s">
        <v>24</v>
      </c>
      <c r="B6" s="5" t="s">
        <v>25</v>
      </c>
      <c r="C6" s="5" t="s">
        <v>26</v>
      </c>
      <c r="D6" s="5" t="s">
        <v>10</v>
      </c>
      <c r="E6" s="5" t="s">
        <v>11</v>
      </c>
      <c r="F6" s="5" t="s">
        <v>12</v>
      </c>
      <c r="G6" s="5" t="s">
        <v>13</v>
      </c>
    </row>
    <row r="7">
      <c r="A7" s="5" t="s">
        <v>27</v>
      </c>
      <c r="B7" s="5" t="s">
        <v>28</v>
      </c>
      <c r="C7" s="5">
        <v>0.0</v>
      </c>
      <c r="D7" s="5" t="s">
        <v>10</v>
      </c>
      <c r="E7" s="5" t="s">
        <v>11</v>
      </c>
      <c r="F7" s="5" t="s">
        <v>12</v>
      </c>
      <c r="G7" s="5" t="s">
        <v>13</v>
      </c>
    </row>
    <row r="8">
      <c r="A8" s="6" t="s">
        <v>29</v>
      </c>
      <c r="B8" s="6" t="s">
        <v>30</v>
      </c>
      <c r="C8" s="6" t="s">
        <v>31</v>
      </c>
      <c r="D8" s="6" t="s">
        <v>10</v>
      </c>
      <c r="E8" s="6" t="s">
        <v>11</v>
      </c>
      <c r="F8" s="6" t="s">
        <v>17</v>
      </c>
      <c r="G8" s="6" t="s">
        <v>13</v>
      </c>
    </row>
    <row r="9">
      <c r="A9" s="7" t="s">
        <v>32</v>
      </c>
      <c r="B9" s="7" t="s">
        <v>33</v>
      </c>
      <c r="C9" s="7" t="s">
        <v>34</v>
      </c>
      <c r="D9" s="7" t="s">
        <v>10</v>
      </c>
      <c r="E9" s="7" t="s">
        <v>35</v>
      </c>
      <c r="F9" s="7" t="s">
        <v>12</v>
      </c>
      <c r="G9" s="7" t="s">
        <v>36</v>
      </c>
    </row>
    <row r="10">
      <c r="A10" s="6" t="s">
        <v>37</v>
      </c>
      <c r="B10" s="6" t="s">
        <v>38</v>
      </c>
      <c r="C10" s="6" t="s">
        <v>39</v>
      </c>
      <c r="D10" s="6" t="s">
        <v>10</v>
      </c>
      <c r="E10" s="6" t="s">
        <v>40</v>
      </c>
      <c r="F10" s="6" t="s">
        <v>17</v>
      </c>
      <c r="G10" s="6" t="s">
        <v>36</v>
      </c>
    </row>
    <row r="11">
      <c r="A11" s="7" t="s">
        <v>41</v>
      </c>
      <c r="B11" s="7" t="s">
        <v>42</v>
      </c>
      <c r="C11" s="7" t="s">
        <v>43</v>
      </c>
      <c r="D11" s="7" t="s">
        <v>10</v>
      </c>
      <c r="E11" s="7" t="s">
        <v>35</v>
      </c>
      <c r="F11" s="7" t="s">
        <v>12</v>
      </c>
      <c r="G11" s="7" t="s">
        <v>36</v>
      </c>
    </row>
    <row r="12">
      <c r="A12" s="6" t="s">
        <v>44</v>
      </c>
      <c r="B12" s="6" t="s">
        <v>45</v>
      </c>
      <c r="C12" s="6" t="s">
        <v>46</v>
      </c>
      <c r="D12" s="6" t="s">
        <v>10</v>
      </c>
      <c r="E12" s="6" t="s">
        <v>47</v>
      </c>
      <c r="F12" s="6" t="s">
        <v>17</v>
      </c>
      <c r="G12" s="6" t="s">
        <v>13</v>
      </c>
    </row>
    <row r="13">
      <c r="A13" s="7" t="s">
        <v>48</v>
      </c>
      <c r="B13" s="7" t="s">
        <v>49</v>
      </c>
      <c r="C13" s="7" t="s">
        <v>50</v>
      </c>
      <c r="D13" s="7" t="s">
        <v>10</v>
      </c>
      <c r="E13" s="7" t="s">
        <v>35</v>
      </c>
      <c r="F13" s="7" t="s">
        <v>12</v>
      </c>
      <c r="G13" s="7" t="s">
        <v>36</v>
      </c>
    </row>
    <row r="14">
      <c r="A14" s="5" t="s">
        <v>51</v>
      </c>
      <c r="B14" s="5" t="s">
        <v>52</v>
      </c>
      <c r="C14" s="5" t="s">
        <v>53</v>
      </c>
      <c r="D14" s="5" t="s">
        <v>10</v>
      </c>
      <c r="E14" s="5" t="s">
        <v>54</v>
      </c>
      <c r="F14" s="5" t="s">
        <v>55</v>
      </c>
      <c r="G14" s="5" t="s">
        <v>13</v>
      </c>
    </row>
    <row r="15">
      <c r="A15" s="7" t="s">
        <v>56</v>
      </c>
      <c r="B15" s="7" t="s">
        <v>57</v>
      </c>
      <c r="C15" s="7" t="s">
        <v>58</v>
      </c>
      <c r="D15" s="7" t="s">
        <v>10</v>
      </c>
      <c r="E15" s="7" t="s">
        <v>59</v>
      </c>
      <c r="F15" s="7" t="s">
        <v>12</v>
      </c>
      <c r="G15" s="7" t="s">
        <v>13</v>
      </c>
    </row>
    <row r="16">
      <c r="A16" s="7" t="s">
        <v>60</v>
      </c>
      <c r="B16" s="7" t="s">
        <v>61</v>
      </c>
      <c r="C16" s="7" t="s">
        <v>62</v>
      </c>
      <c r="D16" s="7" t="s">
        <v>10</v>
      </c>
      <c r="E16" s="7" t="s">
        <v>35</v>
      </c>
      <c r="F16" s="7" t="s">
        <v>12</v>
      </c>
      <c r="G16" s="7" t="s">
        <v>36</v>
      </c>
    </row>
    <row r="17">
      <c r="A17" s="7" t="s">
        <v>63</v>
      </c>
      <c r="B17" s="7" t="s">
        <v>64</v>
      </c>
      <c r="C17" s="7" t="s">
        <v>65</v>
      </c>
      <c r="D17" s="7" t="s">
        <v>10</v>
      </c>
      <c r="E17" s="7" t="s">
        <v>40</v>
      </c>
      <c r="F17" s="7" t="s">
        <v>12</v>
      </c>
      <c r="G17" s="7" t="s">
        <v>36</v>
      </c>
    </row>
    <row r="18">
      <c r="A18" s="7" t="s">
        <v>66</v>
      </c>
      <c r="B18" s="7" t="s">
        <v>67</v>
      </c>
      <c r="C18" s="7" t="s">
        <v>68</v>
      </c>
      <c r="D18" s="7" t="s">
        <v>10</v>
      </c>
      <c r="E18" s="7" t="s">
        <v>59</v>
      </c>
      <c r="F18" s="7" t="s">
        <v>12</v>
      </c>
      <c r="G18" s="7" t="s">
        <v>13</v>
      </c>
    </row>
    <row r="19">
      <c r="A19" s="7" t="s">
        <v>69</v>
      </c>
      <c r="B19" s="7" t="s">
        <v>70</v>
      </c>
      <c r="C19" s="7" t="s">
        <v>71</v>
      </c>
      <c r="D19" s="7" t="s">
        <v>10</v>
      </c>
      <c r="E19" s="7" t="s">
        <v>47</v>
      </c>
      <c r="F19" s="7" t="s">
        <v>12</v>
      </c>
      <c r="G19" s="7" t="s">
        <v>13</v>
      </c>
    </row>
    <row r="20">
      <c r="A20" s="7" t="s">
        <v>72</v>
      </c>
      <c r="B20" s="7" t="s">
        <v>73</v>
      </c>
      <c r="C20" s="7" t="s">
        <v>74</v>
      </c>
      <c r="D20" s="7" t="s">
        <v>10</v>
      </c>
      <c r="E20" s="7" t="s">
        <v>35</v>
      </c>
      <c r="F20" s="7" t="s">
        <v>12</v>
      </c>
      <c r="G20" s="7" t="s">
        <v>36</v>
      </c>
    </row>
    <row r="21">
      <c r="A21" s="7" t="s">
        <v>75</v>
      </c>
      <c r="B21" s="7" t="s">
        <v>76</v>
      </c>
      <c r="C21" s="7" t="s">
        <v>77</v>
      </c>
      <c r="D21" s="7" t="s">
        <v>10</v>
      </c>
      <c r="E21" s="7" t="s">
        <v>78</v>
      </c>
      <c r="F21" s="7" t="s">
        <v>12</v>
      </c>
      <c r="G21" s="7" t="s">
        <v>79</v>
      </c>
    </row>
    <row r="22">
      <c r="A22" s="7" t="s">
        <v>80</v>
      </c>
      <c r="B22" s="7" t="s">
        <v>81</v>
      </c>
      <c r="C22" s="7" t="s">
        <v>82</v>
      </c>
      <c r="D22" s="7" t="s">
        <v>10</v>
      </c>
      <c r="E22" s="7" t="s">
        <v>35</v>
      </c>
      <c r="F22" s="7" t="s">
        <v>12</v>
      </c>
      <c r="G22" s="7" t="s">
        <v>36</v>
      </c>
    </row>
    <row r="23">
      <c r="A23" s="7" t="s">
        <v>83</v>
      </c>
      <c r="B23" s="7" t="s">
        <v>84</v>
      </c>
      <c r="C23" s="7" t="s">
        <v>85</v>
      </c>
      <c r="D23" s="7" t="s">
        <v>10</v>
      </c>
      <c r="E23" s="7" t="s">
        <v>35</v>
      </c>
      <c r="F23" s="7" t="s">
        <v>12</v>
      </c>
      <c r="G23" s="7" t="s">
        <v>36</v>
      </c>
    </row>
    <row r="24">
      <c r="A24" s="7" t="s">
        <v>86</v>
      </c>
      <c r="B24" s="7" t="s">
        <v>87</v>
      </c>
      <c r="C24" s="7" t="s">
        <v>88</v>
      </c>
      <c r="D24" s="7" t="s">
        <v>10</v>
      </c>
      <c r="E24" s="7" t="s">
        <v>89</v>
      </c>
      <c r="F24" s="7" t="s">
        <v>12</v>
      </c>
      <c r="G24" s="7" t="s">
        <v>36</v>
      </c>
    </row>
    <row r="25">
      <c r="A25" s="7" t="s">
        <v>90</v>
      </c>
      <c r="B25" s="7" t="s">
        <v>91</v>
      </c>
      <c r="C25" s="7" t="s">
        <v>92</v>
      </c>
      <c r="D25" s="7" t="s">
        <v>10</v>
      </c>
      <c r="E25" s="7" t="s">
        <v>93</v>
      </c>
      <c r="F25" s="7" t="s">
        <v>12</v>
      </c>
      <c r="G25" s="7" t="s">
        <v>13</v>
      </c>
    </row>
    <row r="26">
      <c r="A26" s="7" t="s">
        <v>94</v>
      </c>
      <c r="B26" s="7" t="s">
        <v>95</v>
      </c>
      <c r="C26" s="7" t="s">
        <v>96</v>
      </c>
      <c r="D26" s="7" t="s">
        <v>10</v>
      </c>
      <c r="E26" s="7" t="s">
        <v>93</v>
      </c>
      <c r="F26" s="7" t="s">
        <v>12</v>
      </c>
      <c r="G26" s="7" t="s">
        <v>13</v>
      </c>
    </row>
    <row r="27">
      <c r="A27" s="7" t="s">
        <v>97</v>
      </c>
      <c r="B27" s="7" t="s">
        <v>98</v>
      </c>
      <c r="C27" s="7" t="s">
        <v>99</v>
      </c>
      <c r="D27" s="7" t="s">
        <v>10</v>
      </c>
      <c r="E27" s="7" t="s">
        <v>93</v>
      </c>
      <c r="F27" s="7" t="s">
        <v>12</v>
      </c>
      <c r="G27" s="7" t="s">
        <v>13</v>
      </c>
    </row>
    <row r="28">
      <c r="A28" s="6" t="s">
        <v>100</v>
      </c>
      <c r="B28" s="6" t="s">
        <v>101</v>
      </c>
      <c r="C28" s="6" t="s">
        <v>102</v>
      </c>
      <c r="D28" s="6" t="s">
        <v>10</v>
      </c>
      <c r="E28" s="6" t="s">
        <v>47</v>
      </c>
      <c r="F28" s="6" t="s">
        <v>17</v>
      </c>
      <c r="G28" s="6" t="s">
        <v>13</v>
      </c>
    </row>
    <row r="29">
      <c r="A29" s="6" t="s">
        <v>103</v>
      </c>
      <c r="B29" s="6" t="s">
        <v>104</v>
      </c>
      <c r="C29" s="6" t="s">
        <v>105</v>
      </c>
      <c r="D29" s="6" t="s">
        <v>10</v>
      </c>
      <c r="E29" s="6" t="s">
        <v>93</v>
      </c>
      <c r="F29" s="6" t="s">
        <v>17</v>
      </c>
      <c r="G29" s="6" t="s">
        <v>13</v>
      </c>
    </row>
    <row r="30">
      <c r="A30" s="6" t="s">
        <v>106</v>
      </c>
      <c r="B30" s="6" t="s">
        <v>107</v>
      </c>
      <c r="C30" s="6" t="s">
        <v>108</v>
      </c>
      <c r="D30" s="6" t="s">
        <v>10</v>
      </c>
      <c r="E30" s="6" t="s">
        <v>78</v>
      </c>
      <c r="F30" s="6" t="s">
        <v>17</v>
      </c>
      <c r="G30" s="6" t="s">
        <v>79</v>
      </c>
    </row>
    <row r="31">
      <c r="A31" s="5" t="s">
        <v>109</v>
      </c>
      <c r="B31" s="5" t="s">
        <v>110</v>
      </c>
      <c r="C31" s="5" t="s">
        <v>111</v>
      </c>
      <c r="D31" s="5" t="s">
        <v>10</v>
      </c>
      <c r="E31" s="5" t="s">
        <v>35</v>
      </c>
      <c r="F31" s="5" t="s">
        <v>12</v>
      </c>
      <c r="G31" s="5" t="s">
        <v>36</v>
      </c>
    </row>
    <row r="32">
      <c r="A32" s="7" t="s">
        <v>112</v>
      </c>
      <c r="B32" s="7" t="s">
        <v>113</v>
      </c>
      <c r="C32" s="7" t="s">
        <v>114</v>
      </c>
      <c r="D32" s="7" t="s">
        <v>10</v>
      </c>
      <c r="E32" s="7" t="s">
        <v>89</v>
      </c>
      <c r="F32" s="7" t="s">
        <v>12</v>
      </c>
      <c r="G32" s="7" t="s">
        <v>36</v>
      </c>
    </row>
    <row r="33">
      <c r="A33" s="7" t="s">
        <v>115</v>
      </c>
      <c r="B33" s="7" t="s">
        <v>116</v>
      </c>
      <c r="C33" s="7" t="s">
        <v>117</v>
      </c>
      <c r="D33" s="7" t="s">
        <v>10</v>
      </c>
      <c r="E33" s="7" t="s">
        <v>35</v>
      </c>
      <c r="F33" s="7" t="s">
        <v>12</v>
      </c>
      <c r="G33" s="7" t="s">
        <v>36</v>
      </c>
    </row>
    <row r="34">
      <c r="A34" s="7" t="s">
        <v>118</v>
      </c>
      <c r="B34" s="7" t="s">
        <v>119</v>
      </c>
      <c r="C34" s="7" t="s">
        <v>120</v>
      </c>
      <c r="D34" s="7" t="s">
        <v>10</v>
      </c>
      <c r="E34" s="7" t="s">
        <v>89</v>
      </c>
      <c r="F34" s="7" t="s">
        <v>12</v>
      </c>
      <c r="G34" s="7" t="s">
        <v>36</v>
      </c>
    </row>
    <row r="35">
      <c r="A35" s="7" t="s">
        <v>121</v>
      </c>
      <c r="B35" s="7" t="s">
        <v>122</v>
      </c>
      <c r="C35" s="7" t="s">
        <v>123</v>
      </c>
      <c r="D35" s="7" t="s">
        <v>10</v>
      </c>
      <c r="E35" s="7" t="s">
        <v>54</v>
      </c>
      <c r="F35" s="7" t="s">
        <v>12</v>
      </c>
      <c r="G35" s="7" t="s">
        <v>13</v>
      </c>
    </row>
    <row r="36">
      <c r="A36" s="6" t="s">
        <v>124</v>
      </c>
      <c r="B36" s="6" t="s">
        <v>125</v>
      </c>
      <c r="C36" s="8"/>
      <c r="D36" s="6" t="s">
        <v>10</v>
      </c>
      <c r="E36" s="6" t="s">
        <v>35</v>
      </c>
      <c r="F36" s="6" t="s">
        <v>17</v>
      </c>
      <c r="G36" s="6" t="s">
        <v>36</v>
      </c>
    </row>
    <row r="37">
      <c r="A37" s="7" t="s">
        <v>126</v>
      </c>
      <c r="B37" s="7" t="s">
        <v>127</v>
      </c>
      <c r="C37" s="7" t="s">
        <v>128</v>
      </c>
      <c r="D37" s="7" t="s">
        <v>10</v>
      </c>
      <c r="E37" s="7" t="s">
        <v>35</v>
      </c>
      <c r="F37" s="7" t="s">
        <v>12</v>
      </c>
      <c r="G37" s="7" t="s">
        <v>36</v>
      </c>
    </row>
    <row r="38">
      <c r="A38" s="6" t="s">
        <v>129</v>
      </c>
      <c r="B38" s="6" t="s">
        <v>130</v>
      </c>
      <c r="C38" s="8"/>
      <c r="D38" s="6" t="s">
        <v>10</v>
      </c>
      <c r="E38" s="6" t="s">
        <v>131</v>
      </c>
      <c r="F38" s="6" t="s">
        <v>17</v>
      </c>
      <c r="G38" s="6" t="s">
        <v>36</v>
      </c>
    </row>
    <row r="39">
      <c r="A39" s="6" t="s">
        <v>132</v>
      </c>
      <c r="B39" s="6" t="s">
        <v>133</v>
      </c>
      <c r="C39" s="6" t="s">
        <v>134</v>
      </c>
      <c r="D39" s="6" t="s">
        <v>10</v>
      </c>
      <c r="E39" s="6" t="e">
        <v>#N/A</v>
      </c>
      <c r="F39" s="6" t="s">
        <v>17</v>
      </c>
      <c r="G39" s="6" t="s">
        <v>36</v>
      </c>
    </row>
    <row r="40">
      <c r="A40" s="6" t="s">
        <v>135</v>
      </c>
      <c r="B40" s="6" t="s">
        <v>136</v>
      </c>
      <c r="C40" s="6" t="s">
        <v>137</v>
      </c>
      <c r="D40" s="6" t="s">
        <v>10</v>
      </c>
      <c r="E40" s="6" t="s">
        <v>54</v>
      </c>
      <c r="F40" s="6" t="s">
        <v>17</v>
      </c>
      <c r="G40" s="6" t="s">
        <v>13</v>
      </c>
    </row>
    <row r="41">
      <c r="A41" s="7" t="s">
        <v>138</v>
      </c>
      <c r="B41" s="7" t="s">
        <v>139</v>
      </c>
      <c r="C41" s="7" t="s">
        <v>140</v>
      </c>
      <c r="D41" s="7" t="s">
        <v>10</v>
      </c>
      <c r="E41" s="7" t="s">
        <v>78</v>
      </c>
      <c r="F41" s="7" t="s">
        <v>12</v>
      </c>
      <c r="G41" s="7" t="s">
        <v>79</v>
      </c>
    </row>
    <row r="42">
      <c r="A42" s="6" t="s">
        <v>141</v>
      </c>
      <c r="B42" s="6" t="s">
        <v>142</v>
      </c>
      <c r="C42" s="6" t="s">
        <v>143</v>
      </c>
      <c r="D42" s="6" t="s">
        <v>10</v>
      </c>
      <c r="E42" s="6" t="s">
        <v>144</v>
      </c>
      <c r="F42" s="6" t="s">
        <v>12</v>
      </c>
      <c r="G42" s="6" t="s">
        <v>36</v>
      </c>
    </row>
    <row r="43">
      <c r="A43" s="6" t="s">
        <v>145</v>
      </c>
      <c r="B43" s="6" t="s">
        <v>146</v>
      </c>
      <c r="C43" s="6" t="s">
        <v>147</v>
      </c>
      <c r="D43" s="6" t="s">
        <v>10</v>
      </c>
      <c r="E43" s="6" t="s">
        <v>144</v>
      </c>
      <c r="F43" s="6" t="s">
        <v>12</v>
      </c>
      <c r="G43" s="6" t="s">
        <v>36</v>
      </c>
    </row>
    <row r="44">
      <c r="A44" s="6" t="s">
        <v>148</v>
      </c>
      <c r="B44" s="6" t="s">
        <v>149</v>
      </c>
      <c r="C44" s="6" t="s">
        <v>150</v>
      </c>
      <c r="D44" s="6" t="s">
        <v>10</v>
      </c>
      <c r="E44" s="6" t="s">
        <v>144</v>
      </c>
      <c r="F44" s="6" t="s">
        <v>12</v>
      </c>
      <c r="G44" s="6" t="s">
        <v>36</v>
      </c>
    </row>
    <row r="45">
      <c r="A45" s="6" t="s">
        <v>151</v>
      </c>
      <c r="B45" s="6" t="s">
        <v>152</v>
      </c>
      <c r="C45" s="6" t="s">
        <v>153</v>
      </c>
      <c r="D45" s="6" t="s">
        <v>10</v>
      </c>
      <c r="E45" s="6" t="s">
        <v>144</v>
      </c>
      <c r="F45" s="6" t="s">
        <v>12</v>
      </c>
      <c r="G45" s="6" t="s">
        <v>36</v>
      </c>
    </row>
    <row r="46">
      <c r="A46" s="6" t="s">
        <v>154</v>
      </c>
      <c r="B46" s="6" t="s">
        <v>155</v>
      </c>
      <c r="C46" s="6" t="s">
        <v>156</v>
      </c>
      <c r="D46" s="6" t="s">
        <v>10</v>
      </c>
      <c r="E46" s="6" t="s">
        <v>144</v>
      </c>
      <c r="F46" s="6" t="s">
        <v>157</v>
      </c>
      <c r="G46" s="6" t="s">
        <v>36</v>
      </c>
    </row>
    <row r="47">
      <c r="A47" s="6" t="s">
        <v>158</v>
      </c>
      <c r="B47" s="6" t="s">
        <v>159</v>
      </c>
      <c r="C47" s="6" t="s">
        <v>160</v>
      </c>
      <c r="D47" s="6" t="s">
        <v>10</v>
      </c>
      <c r="E47" s="6" t="s">
        <v>144</v>
      </c>
      <c r="F47" s="6" t="s">
        <v>12</v>
      </c>
      <c r="G47" s="6" t="s">
        <v>36</v>
      </c>
    </row>
    <row r="48">
      <c r="A48" s="6" t="s">
        <v>161</v>
      </c>
      <c r="B48" s="6" t="s">
        <v>162</v>
      </c>
      <c r="C48" s="6" t="s">
        <v>163</v>
      </c>
      <c r="D48" s="6" t="s">
        <v>10</v>
      </c>
      <c r="E48" s="6" t="s">
        <v>144</v>
      </c>
      <c r="F48" s="6" t="s">
        <v>12</v>
      </c>
      <c r="G48" s="6" t="s">
        <v>36</v>
      </c>
    </row>
    <row r="49">
      <c r="A49" s="6" t="s">
        <v>164</v>
      </c>
      <c r="B49" s="6" t="s">
        <v>165</v>
      </c>
      <c r="C49" s="6" t="s">
        <v>166</v>
      </c>
      <c r="D49" s="6" t="s">
        <v>10</v>
      </c>
      <c r="E49" s="6" t="s">
        <v>144</v>
      </c>
      <c r="F49" s="6" t="s">
        <v>12</v>
      </c>
      <c r="G49" s="6" t="s">
        <v>36</v>
      </c>
    </row>
    <row r="50">
      <c r="A50" s="6" t="s">
        <v>167</v>
      </c>
      <c r="B50" s="6" t="s">
        <v>168</v>
      </c>
      <c r="C50" s="6" t="s">
        <v>169</v>
      </c>
      <c r="D50" s="6" t="s">
        <v>10</v>
      </c>
      <c r="E50" s="6" t="s">
        <v>144</v>
      </c>
      <c r="F50" s="6" t="s">
        <v>12</v>
      </c>
      <c r="G50" s="6" t="s">
        <v>36</v>
      </c>
    </row>
    <row r="51">
      <c r="A51" s="6" t="s">
        <v>170</v>
      </c>
      <c r="B51" s="6" t="s">
        <v>171</v>
      </c>
      <c r="C51" s="6" t="s">
        <v>172</v>
      </c>
      <c r="D51" s="6" t="s">
        <v>10</v>
      </c>
      <c r="E51" s="6" t="s">
        <v>144</v>
      </c>
      <c r="F51" s="6" t="s">
        <v>12</v>
      </c>
      <c r="G51" s="6" t="s">
        <v>36</v>
      </c>
    </row>
    <row r="52">
      <c r="A52" s="6" t="s">
        <v>173</v>
      </c>
      <c r="B52" s="6" t="s">
        <v>174</v>
      </c>
      <c r="C52" s="6" t="s">
        <v>175</v>
      </c>
      <c r="D52" s="6" t="s">
        <v>10</v>
      </c>
      <c r="E52" s="6" t="s">
        <v>144</v>
      </c>
      <c r="F52" s="6" t="s">
        <v>12</v>
      </c>
      <c r="G52" s="6" t="s">
        <v>36</v>
      </c>
    </row>
    <row r="53">
      <c r="A53" s="6" t="s">
        <v>176</v>
      </c>
      <c r="B53" s="6" t="s">
        <v>177</v>
      </c>
      <c r="C53" s="6" t="s">
        <v>178</v>
      </c>
      <c r="D53" s="6" t="s">
        <v>10</v>
      </c>
      <c r="E53" s="6" t="s">
        <v>144</v>
      </c>
      <c r="F53" s="6" t="s">
        <v>12</v>
      </c>
      <c r="G53" s="6" t="s">
        <v>36</v>
      </c>
    </row>
    <row r="54">
      <c r="A54" s="6" t="s">
        <v>179</v>
      </c>
      <c r="B54" s="6" t="s">
        <v>180</v>
      </c>
      <c r="C54" s="6" t="s">
        <v>181</v>
      </c>
      <c r="D54" s="6" t="s">
        <v>10</v>
      </c>
      <c r="E54" s="6" t="s">
        <v>144</v>
      </c>
      <c r="F54" s="6" t="s">
        <v>12</v>
      </c>
      <c r="G54" s="6" t="s">
        <v>36</v>
      </c>
    </row>
    <row r="55">
      <c r="A55" s="6" t="s">
        <v>182</v>
      </c>
      <c r="B55" s="6" t="s">
        <v>183</v>
      </c>
      <c r="C55" s="6" t="s">
        <v>184</v>
      </c>
      <c r="D55" s="6" t="s">
        <v>10</v>
      </c>
      <c r="E55" s="6" t="s">
        <v>144</v>
      </c>
      <c r="F55" s="6" t="s">
        <v>12</v>
      </c>
      <c r="G55" s="6" t="s">
        <v>36</v>
      </c>
    </row>
    <row r="56">
      <c r="A56" s="6" t="s">
        <v>185</v>
      </c>
      <c r="B56" s="6" t="s">
        <v>186</v>
      </c>
      <c r="C56" s="6" t="s">
        <v>187</v>
      </c>
      <c r="D56" s="6" t="s">
        <v>10</v>
      </c>
      <c r="E56" s="6" t="s">
        <v>144</v>
      </c>
      <c r="F56" s="6" t="s">
        <v>12</v>
      </c>
      <c r="G56" s="6" t="s">
        <v>36</v>
      </c>
    </row>
    <row r="57">
      <c r="A57" s="6" t="s">
        <v>188</v>
      </c>
      <c r="B57" s="6" t="s">
        <v>189</v>
      </c>
      <c r="C57" s="6" t="s">
        <v>190</v>
      </c>
      <c r="D57" s="6" t="s">
        <v>10</v>
      </c>
      <c r="E57" s="6" t="s">
        <v>144</v>
      </c>
      <c r="F57" s="6" t="s">
        <v>12</v>
      </c>
      <c r="G57" s="6" t="s">
        <v>36</v>
      </c>
    </row>
    <row r="58">
      <c r="A58" s="6" t="s">
        <v>191</v>
      </c>
      <c r="B58" s="6" t="s">
        <v>192</v>
      </c>
      <c r="C58" s="6" t="s">
        <v>193</v>
      </c>
      <c r="D58" s="6" t="s">
        <v>10</v>
      </c>
      <c r="E58" s="6" t="s">
        <v>144</v>
      </c>
      <c r="F58" s="6" t="s">
        <v>12</v>
      </c>
      <c r="G58" s="6" t="s">
        <v>36</v>
      </c>
    </row>
    <row r="59">
      <c r="A59" s="6" t="s">
        <v>194</v>
      </c>
      <c r="B59" s="6" t="s">
        <v>195</v>
      </c>
      <c r="C59" s="6" t="s">
        <v>196</v>
      </c>
      <c r="D59" s="6" t="s">
        <v>10</v>
      </c>
      <c r="E59" s="6" t="s">
        <v>144</v>
      </c>
      <c r="F59" s="6" t="s">
        <v>157</v>
      </c>
      <c r="G59" s="6" t="s">
        <v>36</v>
      </c>
    </row>
    <row r="60">
      <c r="A60" s="6" t="s">
        <v>197</v>
      </c>
      <c r="B60" s="6" t="s">
        <v>198</v>
      </c>
      <c r="C60" s="6" t="s">
        <v>199</v>
      </c>
      <c r="D60" s="6" t="s">
        <v>10</v>
      </c>
      <c r="E60" s="6" t="s">
        <v>144</v>
      </c>
      <c r="F60" s="6" t="s">
        <v>12</v>
      </c>
      <c r="G60" s="6" t="s">
        <v>36</v>
      </c>
    </row>
    <row r="61">
      <c r="A61" s="6" t="s">
        <v>200</v>
      </c>
      <c r="B61" s="6" t="s">
        <v>201</v>
      </c>
      <c r="C61" s="6" t="s">
        <v>202</v>
      </c>
      <c r="D61" s="6" t="s">
        <v>10</v>
      </c>
      <c r="E61" s="6" t="s">
        <v>144</v>
      </c>
      <c r="F61" s="6" t="s">
        <v>12</v>
      </c>
      <c r="G61" s="6" t="s">
        <v>36</v>
      </c>
    </row>
    <row r="62">
      <c r="A62" s="6" t="s">
        <v>203</v>
      </c>
      <c r="B62" s="6" t="s">
        <v>204</v>
      </c>
      <c r="C62" s="6" t="s">
        <v>205</v>
      </c>
      <c r="D62" s="6" t="s">
        <v>10</v>
      </c>
      <c r="E62" s="6" t="s">
        <v>144</v>
      </c>
      <c r="F62" s="6" t="s">
        <v>12</v>
      </c>
      <c r="G62" s="6" t="s">
        <v>36</v>
      </c>
    </row>
    <row r="63">
      <c r="A63" s="6" t="s">
        <v>206</v>
      </c>
      <c r="B63" s="6" t="s">
        <v>207</v>
      </c>
      <c r="C63" s="6" t="s">
        <v>208</v>
      </c>
      <c r="D63" s="6" t="s">
        <v>10</v>
      </c>
      <c r="E63" s="6" t="s">
        <v>144</v>
      </c>
      <c r="F63" s="6" t="s">
        <v>12</v>
      </c>
      <c r="G63" s="6" t="s">
        <v>36</v>
      </c>
    </row>
    <row r="64">
      <c r="A64" s="6" t="s">
        <v>209</v>
      </c>
      <c r="B64" s="6" t="s">
        <v>210</v>
      </c>
      <c r="C64" s="6" t="s">
        <v>211</v>
      </c>
      <c r="D64" s="6" t="s">
        <v>10</v>
      </c>
      <c r="E64" s="6" t="s">
        <v>144</v>
      </c>
      <c r="F64" s="6" t="s">
        <v>12</v>
      </c>
      <c r="G64" s="6" t="s">
        <v>36</v>
      </c>
    </row>
    <row r="65">
      <c r="A65" s="6" t="s">
        <v>212</v>
      </c>
      <c r="B65" s="6">
        <v>6.0019681E7</v>
      </c>
      <c r="C65" s="6" t="s">
        <v>213</v>
      </c>
      <c r="D65" s="6" t="s">
        <v>10</v>
      </c>
      <c r="E65" s="6" t="s">
        <v>214</v>
      </c>
      <c r="F65" s="6" t="s">
        <v>12</v>
      </c>
      <c r="G65" s="6" t="s">
        <v>36</v>
      </c>
    </row>
    <row r="66">
      <c r="A66" s="6" t="s">
        <v>215</v>
      </c>
      <c r="B66" s="6">
        <v>6.0019682E7</v>
      </c>
      <c r="C66" s="6" t="s">
        <v>216</v>
      </c>
      <c r="D66" s="6" t="s">
        <v>10</v>
      </c>
      <c r="E66" s="6" t="s">
        <v>214</v>
      </c>
      <c r="F66" s="6" t="s">
        <v>12</v>
      </c>
      <c r="G66" s="6" t="s">
        <v>36</v>
      </c>
    </row>
    <row r="67">
      <c r="A67" s="6" t="s">
        <v>217</v>
      </c>
      <c r="B67" s="6">
        <v>6.0019683E7</v>
      </c>
      <c r="C67" s="6" t="s">
        <v>218</v>
      </c>
      <c r="D67" s="6" t="s">
        <v>10</v>
      </c>
      <c r="E67" s="6" t="s">
        <v>214</v>
      </c>
      <c r="F67" s="6" t="s">
        <v>12</v>
      </c>
      <c r="G67" s="6" t="s">
        <v>36</v>
      </c>
    </row>
    <row r="68">
      <c r="A68" s="6" t="s">
        <v>219</v>
      </c>
      <c r="B68" s="6">
        <v>6.0019684E7</v>
      </c>
      <c r="C68" s="6" t="s">
        <v>220</v>
      </c>
      <c r="D68" s="6" t="s">
        <v>10</v>
      </c>
      <c r="E68" s="6" t="s">
        <v>214</v>
      </c>
      <c r="F68" s="6" t="s">
        <v>12</v>
      </c>
      <c r="G68" s="6" t="s">
        <v>36</v>
      </c>
    </row>
    <row r="69">
      <c r="A69" s="6" t="s">
        <v>221</v>
      </c>
      <c r="B69" s="6" t="s">
        <v>222</v>
      </c>
      <c r="C69" s="6" t="s">
        <v>223</v>
      </c>
      <c r="D69" s="6" t="s">
        <v>10</v>
      </c>
      <c r="E69" s="6" t="s">
        <v>224</v>
      </c>
      <c r="F69" s="6" t="s">
        <v>12</v>
      </c>
      <c r="G69" s="6" t="s">
        <v>13</v>
      </c>
    </row>
    <row r="70">
      <c r="A70" s="6" t="s">
        <v>225</v>
      </c>
      <c r="B70" s="6" t="s">
        <v>226</v>
      </c>
      <c r="C70" s="6" t="s">
        <v>227</v>
      </c>
      <c r="D70" s="6" t="s">
        <v>10</v>
      </c>
      <c r="E70" s="6" t="s">
        <v>224</v>
      </c>
      <c r="F70" s="6" t="s">
        <v>12</v>
      </c>
      <c r="G70" s="6" t="s">
        <v>13</v>
      </c>
    </row>
    <row r="71">
      <c r="A71" s="6" t="s">
        <v>228</v>
      </c>
      <c r="B71" s="6" t="s">
        <v>229</v>
      </c>
      <c r="C71" s="6" t="s">
        <v>230</v>
      </c>
      <c r="D71" s="6" t="s">
        <v>10</v>
      </c>
      <c r="E71" s="6" t="s">
        <v>224</v>
      </c>
      <c r="F71" s="6" t="s">
        <v>12</v>
      </c>
      <c r="G71" s="6" t="s">
        <v>13</v>
      </c>
    </row>
    <row r="72">
      <c r="A72" s="6" t="s">
        <v>231</v>
      </c>
      <c r="B72" s="6" t="s">
        <v>232</v>
      </c>
      <c r="C72" s="6" t="s">
        <v>233</v>
      </c>
      <c r="D72" s="6" t="s">
        <v>10</v>
      </c>
      <c r="E72" s="6" t="s">
        <v>224</v>
      </c>
      <c r="F72" s="6" t="s">
        <v>12</v>
      </c>
      <c r="G72" s="6" t="s">
        <v>13</v>
      </c>
    </row>
    <row r="73">
      <c r="A73" s="6" t="s">
        <v>234</v>
      </c>
      <c r="B73" s="6" t="s">
        <v>235</v>
      </c>
      <c r="C73" s="6" t="s">
        <v>236</v>
      </c>
      <c r="D73" s="6" t="s">
        <v>10</v>
      </c>
      <c r="E73" s="6" t="s">
        <v>224</v>
      </c>
      <c r="F73" s="6" t="s">
        <v>12</v>
      </c>
      <c r="G73" s="6" t="s">
        <v>13</v>
      </c>
    </row>
    <row r="74">
      <c r="A74" s="6" t="s">
        <v>237</v>
      </c>
      <c r="B74" s="6" t="s">
        <v>238</v>
      </c>
      <c r="C74" s="6" t="s">
        <v>239</v>
      </c>
      <c r="D74" s="6" t="s">
        <v>10</v>
      </c>
      <c r="E74" s="6" t="s">
        <v>224</v>
      </c>
      <c r="F74" s="6" t="s">
        <v>12</v>
      </c>
      <c r="G74" s="6" t="s">
        <v>13</v>
      </c>
    </row>
    <row r="75">
      <c r="A75" s="6" t="s">
        <v>240</v>
      </c>
      <c r="B75" s="6" t="s">
        <v>241</v>
      </c>
      <c r="C75" s="6" t="s">
        <v>242</v>
      </c>
      <c r="D75" s="6" t="s">
        <v>10</v>
      </c>
      <c r="E75" s="6" t="s">
        <v>224</v>
      </c>
      <c r="F75" s="6" t="s">
        <v>12</v>
      </c>
      <c r="G75" s="6" t="s">
        <v>13</v>
      </c>
    </row>
    <row r="76">
      <c r="A76" s="6" t="s">
        <v>243</v>
      </c>
      <c r="B76" s="6" t="s">
        <v>244</v>
      </c>
      <c r="C76" s="6" t="s">
        <v>245</v>
      </c>
      <c r="D76" s="6" t="s">
        <v>10</v>
      </c>
      <c r="E76" s="6" t="s">
        <v>224</v>
      </c>
      <c r="F76" s="6" t="s">
        <v>12</v>
      </c>
      <c r="G76" s="6" t="s">
        <v>13</v>
      </c>
    </row>
    <row r="77">
      <c r="A77" s="6" t="s">
        <v>246</v>
      </c>
      <c r="B77" s="6" t="s">
        <v>247</v>
      </c>
      <c r="C77" s="6" t="s">
        <v>248</v>
      </c>
      <c r="D77" s="6" t="s">
        <v>10</v>
      </c>
      <c r="E77" s="6" t="s">
        <v>224</v>
      </c>
      <c r="F77" s="6" t="s">
        <v>12</v>
      </c>
      <c r="G77" s="6" t="s">
        <v>13</v>
      </c>
    </row>
    <row r="78">
      <c r="A78" s="6" t="s">
        <v>249</v>
      </c>
      <c r="B78" s="6" t="s">
        <v>250</v>
      </c>
      <c r="C78" s="6" t="s">
        <v>251</v>
      </c>
      <c r="D78" s="6" t="s">
        <v>10</v>
      </c>
      <c r="E78" s="6" t="s">
        <v>224</v>
      </c>
      <c r="F78" s="6" t="s">
        <v>12</v>
      </c>
      <c r="G78" s="6" t="s">
        <v>13</v>
      </c>
    </row>
    <row r="79">
      <c r="A79" s="6" t="s">
        <v>252</v>
      </c>
      <c r="B79" s="6">
        <v>6.001969E7</v>
      </c>
      <c r="C79" s="6" t="s">
        <v>253</v>
      </c>
      <c r="D79" s="6" t="s">
        <v>10</v>
      </c>
      <c r="E79" s="6" t="s">
        <v>214</v>
      </c>
      <c r="F79" s="6" t="s">
        <v>12</v>
      </c>
      <c r="G79" s="6" t="s">
        <v>36</v>
      </c>
    </row>
    <row r="80">
      <c r="A80" s="6" t="s">
        <v>254</v>
      </c>
      <c r="B80" s="6">
        <v>6.0019675E7</v>
      </c>
      <c r="C80" s="6" t="s">
        <v>255</v>
      </c>
      <c r="D80" s="6" t="s">
        <v>10</v>
      </c>
      <c r="E80" s="6" t="s">
        <v>214</v>
      </c>
      <c r="F80" s="6" t="s">
        <v>12</v>
      </c>
      <c r="G80" s="6" t="s">
        <v>36</v>
      </c>
    </row>
    <row r="81">
      <c r="A81" s="6" t="s">
        <v>256</v>
      </c>
      <c r="B81" s="6">
        <v>6.0019676E7</v>
      </c>
      <c r="C81" s="6" t="s">
        <v>257</v>
      </c>
      <c r="D81" s="6" t="s">
        <v>10</v>
      </c>
      <c r="E81" s="6" t="s">
        <v>214</v>
      </c>
      <c r="F81" s="6" t="s">
        <v>12</v>
      </c>
      <c r="G81" s="6" t="s">
        <v>36</v>
      </c>
    </row>
    <row r="82">
      <c r="A82" s="6" t="s">
        <v>258</v>
      </c>
      <c r="B82" s="6">
        <v>6.0019677E7</v>
      </c>
      <c r="C82" s="6" t="s">
        <v>259</v>
      </c>
      <c r="D82" s="6" t="s">
        <v>10</v>
      </c>
      <c r="E82" s="6" t="s">
        <v>214</v>
      </c>
      <c r="F82" s="6" t="s">
        <v>12</v>
      </c>
      <c r="G82" s="6" t="s">
        <v>36</v>
      </c>
    </row>
    <row r="83">
      <c r="A83" s="6" t="s">
        <v>260</v>
      </c>
      <c r="B83" s="6">
        <v>6.0019678E7</v>
      </c>
      <c r="C83" s="6" t="s">
        <v>261</v>
      </c>
      <c r="D83" s="6" t="s">
        <v>10</v>
      </c>
      <c r="E83" s="6" t="s">
        <v>214</v>
      </c>
      <c r="F83" s="6" t="s">
        <v>12</v>
      </c>
      <c r="G83" s="6" t="s">
        <v>36</v>
      </c>
    </row>
    <row r="84">
      <c r="A84" s="6" t="s">
        <v>262</v>
      </c>
      <c r="B84" s="6">
        <v>6.0019679E7</v>
      </c>
      <c r="C84" s="6" t="s">
        <v>263</v>
      </c>
      <c r="D84" s="6" t="s">
        <v>10</v>
      </c>
      <c r="E84" s="6" t="s">
        <v>214</v>
      </c>
      <c r="F84" s="6" t="s">
        <v>12</v>
      </c>
      <c r="G84" s="6" t="s">
        <v>36</v>
      </c>
    </row>
    <row r="85">
      <c r="A85" s="6" t="s">
        <v>264</v>
      </c>
      <c r="B85" s="6">
        <v>6.001968E7</v>
      </c>
      <c r="C85" s="6" t="s">
        <v>265</v>
      </c>
      <c r="D85" s="6" t="s">
        <v>10</v>
      </c>
      <c r="E85" s="6" t="s">
        <v>214</v>
      </c>
      <c r="F85" s="6" t="s">
        <v>12</v>
      </c>
      <c r="G85" s="6" t="s">
        <v>36</v>
      </c>
    </row>
    <row r="86">
      <c r="A86" s="6" t="s">
        <v>266</v>
      </c>
      <c r="B86" s="6">
        <v>6.001967E7</v>
      </c>
      <c r="C86" s="6" t="s">
        <v>267</v>
      </c>
      <c r="D86" s="6" t="s">
        <v>10</v>
      </c>
      <c r="E86" s="6" t="s">
        <v>214</v>
      </c>
      <c r="F86" s="6" t="s">
        <v>12</v>
      </c>
      <c r="G86" s="6" t="s">
        <v>36</v>
      </c>
    </row>
    <row r="87">
      <c r="A87" s="6" t="s">
        <v>268</v>
      </c>
      <c r="B87" s="6">
        <v>6.0019671E7</v>
      </c>
      <c r="C87" s="6" t="s">
        <v>269</v>
      </c>
      <c r="D87" s="6" t="s">
        <v>10</v>
      </c>
      <c r="E87" s="6" t="s">
        <v>214</v>
      </c>
      <c r="F87" s="6" t="s">
        <v>12</v>
      </c>
      <c r="G87" s="6" t="s">
        <v>36</v>
      </c>
    </row>
    <row r="88">
      <c r="A88" s="6" t="s">
        <v>270</v>
      </c>
      <c r="B88" s="6">
        <v>6.0019672E7</v>
      </c>
      <c r="C88" s="6" t="s">
        <v>271</v>
      </c>
      <c r="D88" s="6" t="s">
        <v>10</v>
      </c>
      <c r="E88" s="6" t="s">
        <v>214</v>
      </c>
      <c r="F88" s="6" t="s">
        <v>12</v>
      </c>
      <c r="G88" s="6" t="s">
        <v>36</v>
      </c>
    </row>
    <row r="89">
      <c r="A89" s="6" t="s">
        <v>272</v>
      </c>
      <c r="B89" s="6">
        <v>6.0019673E7</v>
      </c>
      <c r="C89" s="6" t="s">
        <v>273</v>
      </c>
      <c r="D89" s="6" t="s">
        <v>10</v>
      </c>
      <c r="E89" s="6" t="s">
        <v>214</v>
      </c>
      <c r="F89" s="6" t="s">
        <v>12</v>
      </c>
      <c r="G89" s="6" t="s">
        <v>36</v>
      </c>
    </row>
    <row r="90">
      <c r="A90" s="6" t="s">
        <v>274</v>
      </c>
      <c r="B90" s="6">
        <v>6.0019674E7</v>
      </c>
      <c r="C90" s="6" t="s">
        <v>275</v>
      </c>
      <c r="D90" s="6" t="s">
        <v>10</v>
      </c>
      <c r="E90" s="6" t="s">
        <v>214</v>
      </c>
      <c r="F90" s="6" t="s">
        <v>12</v>
      </c>
      <c r="G90" s="6" t="s">
        <v>36</v>
      </c>
    </row>
    <row r="91">
      <c r="A91" s="6" t="s">
        <v>276</v>
      </c>
      <c r="B91" s="6">
        <v>6.0019685E7</v>
      </c>
      <c r="C91" s="6" t="s">
        <v>277</v>
      </c>
      <c r="D91" s="6" t="s">
        <v>10</v>
      </c>
      <c r="E91" s="6" t="s">
        <v>214</v>
      </c>
      <c r="F91" s="6" t="s">
        <v>12</v>
      </c>
      <c r="G91" s="6" t="s">
        <v>36</v>
      </c>
    </row>
    <row r="92">
      <c r="A92" s="6" t="s">
        <v>278</v>
      </c>
      <c r="B92" s="6" t="s">
        <v>279</v>
      </c>
      <c r="C92" s="6" t="s">
        <v>280</v>
      </c>
      <c r="D92" s="6" t="s">
        <v>10</v>
      </c>
      <c r="E92" s="6" t="s">
        <v>131</v>
      </c>
      <c r="F92" s="6" t="s">
        <v>12</v>
      </c>
      <c r="G92" s="6" t="s">
        <v>36</v>
      </c>
    </row>
    <row r="93">
      <c r="A93" s="6" t="s">
        <v>281</v>
      </c>
      <c r="B93" s="6">
        <v>6.0019689E7</v>
      </c>
      <c r="C93" s="6" t="s">
        <v>282</v>
      </c>
      <c r="D93" s="6" t="s">
        <v>10</v>
      </c>
      <c r="E93" s="6" t="s">
        <v>214</v>
      </c>
      <c r="F93" s="6" t="s">
        <v>12</v>
      </c>
      <c r="G93" s="6" t="s">
        <v>36</v>
      </c>
    </row>
    <row r="94">
      <c r="A94" s="6" t="s">
        <v>283</v>
      </c>
      <c r="B94" s="6" t="s">
        <v>284</v>
      </c>
      <c r="C94" s="6" t="s">
        <v>285</v>
      </c>
      <c r="D94" s="6" t="s">
        <v>10</v>
      </c>
      <c r="E94" s="6" t="s">
        <v>35</v>
      </c>
      <c r="F94" s="6" t="s">
        <v>12</v>
      </c>
      <c r="G94" s="6" t="s">
        <v>36</v>
      </c>
    </row>
    <row r="95">
      <c r="A95" s="6" t="s">
        <v>286</v>
      </c>
      <c r="B95" s="6" t="s">
        <v>287</v>
      </c>
      <c r="C95" s="6" t="s">
        <v>288</v>
      </c>
      <c r="D95" s="6" t="s">
        <v>10</v>
      </c>
      <c r="E95" s="6" t="s">
        <v>224</v>
      </c>
      <c r="F95" s="6" t="s">
        <v>12</v>
      </c>
      <c r="G95" s="6" t="s">
        <v>13</v>
      </c>
    </row>
    <row r="96">
      <c r="A96" s="6" t="s">
        <v>289</v>
      </c>
      <c r="B96" s="6">
        <v>6.0019688E7</v>
      </c>
      <c r="C96" s="6" t="s">
        <v>290</v>
      </c>
      <c r="D96" s="6" t="s">
        <v>10</v>
      </c>
      <c r="E96" s="6" t="s">
        <v>214</v>
      </c>
      <c r="F96" s="6" t="s">
        <v>12</v>
      </c>
      <c r="G96" s="6" t="s">
        <v>36</v>
      </c>
    </row>
    <row r="97">
      <c r="A97" s="6" t="s">
        <v>291</v>
      </c>
      <c r="B97" s="6" t="s">
        <v>292</v>
      </c>
      <c r="C97" s="6" t="s">
        <v>293</v>
      </c>
      <c r="D97" s="6" t="s">
        <v>10</v>
      </c>
      <c r="E97" s="6" t="s">
        <v>35</v>
      </c>
      <c r="F97" s="6" t="s">
        <v>12</v>
      </c>
      <c r="G97" s="6" t="s">
        <v>36</v>
      </c>
    </row>
    <row r="98">
      <c r="A98" s="6" t="s">
        <v>294</v>
      </c>
      <c r="B98" s="6">
        <v>6.0019687E7</v>
      </c>
      <c r="C98" s="6" t="s">
        <v>295</v>
      </c>
      <c r="D98" s="6" t="s">
        <v>10</v>
      </c>
      <c r="E98" s="6" t="s">
        <v>214</v>
      </c>
      <c r="F98" s="6" t="s">
        <v>12</v>
      </c>
      <c r="G98" s="6" t="s">
        <v>36</v>
      </c>
    </row>
    <row r="99">
      <c r="A99" s="6" t="s">
        <v>296</v>
      </c>
      <c r="B99" s="6" t="s">
        <v>297</v>
      </c>
      <c r="C99" s="6" t="s">
        <v>298</v>
      </c>
      <c r="D99" s="6" t="s">
        <v>10</v>
      </c>
      <c r="E99" s="6" t="s">
        <v>131</v>
      </c>
      <c r="F99" s="6" t="s">
        <v>12</v>
      </c>
      <c r="G99" s="6" t="s">
        <v>36</v>
      </c>
    </row>
    <row r="100">
      <c r="A100" s="6" t="s">
        <v>299</v>
      </c>
      <c r="B100" s="6" t="s">
        <v>300</v>
      </c>
      <c r="C100" s="6" t="s">
        <v>301</v>
      </c>
      <c r="D100" s="6" t="s">
        <v>10</v>
      </c>
      <c r="E100" s="6" t="s">
        <v>131</v>
      </c>
      <c r="F100" s="6" t="s">
        <v>12</v>
      </c>
      <c r="G100" s="6" t="s">
        <v>36</v>
      </c>
    </row>
    <row r="101">
      <c r="A101" s="6" t="s">
        <v>302</v>
      </c>
      <c r="B101" s="6" t="s">
        <v>303</v>
      </c>
      <c r="C101" s="6" t="s">
        <v>304</v>
      </c>
      <c r="D101" s="6" t="s">
        <v>10</v>
      </c>
      <c r="E101" s="6" t="s">
        <v>131</v>
      </c>
      <c r="F101" s="6" t="s">
        <v>12</v>
      </c>
      <c r="G101" s="6" t="s">
        <v>36</v>
      </c>
    </row>
    <row r="102">
      <c r="A102" s="6" t="s">
        <v>305</v>
      </c>
      <c r="B102" s="6" t="s">
        <v>306</v>
      </c>
      <c r="C102" s="6" t="s">
        <v>307</v>
      </c>
      <c r="D102" s="6" t="s">
        <v>10</v>
      </c>
      <c r="E102" s="6" t="s">
        <v>131</v>
      </c>
      <c r="F102" s="6" t="s">
        <v>12</v>
      </c>
      <c r="G102" s="6" t="s">
        <v>36</v>
      </c>
    </row>
    <row r="103">
      <c r="A103" s="6" t="s">
        <v>308</v>
      </c>
      <c r="B103" s="6" t="s">
        <v>309</v>
      </c>
      <c r="C103" s="6" t="s">
        <v>310</v>
      </c>
      <c r="D103" s="6" t="s">
        <v>10</v>
      </c>
      <c r="E103" s="6" t="s">
        <v>131</v>
      </c>
      <c r="F103" s="6" t="s">
        <v>12</v>
      </c>
      <c r="G103" s="6" t="s">
        <v>36</v>
      </c>
    </row>
    <row r="104">
      <c r="A104" s="6" t="s">
        <v>311</v>
      </c>
      <c r="B104" s="6" t="s">
        <v>312</v>
      </c>
      <c r="C104" s="6" t="s">
        <v>313</v>
      </c>
      <c r="D104" s="6" t="s">
        <v>10</v>
      </c>
      <c r="E104" s="6" t="s">
        <v>131</v>
      </c>
      <c r="F104" s="6" t="s">
        <v>12</v>
      </c>
      <c r="G104" s="6" t="s">
        <v>36</v>
      </c>
    </row>
    <row r="105">
      <c r="A105" s="6" t="s">
        <v>314</v>
      </c>
      <c r="B105" s="6" t="s">
        <v>315</v>
      </c>
      <c r="C105" s="6" t="s">
        <v>316</v>
      </c>
      <c r="D105" s="6" t="s">
        <v>10</v>
      </c>
      <c r="E105" s="6" t="s">
        <v>131</v>
      </c>
      <c r="F105" s="6" t="s">
        <v>12</v>
      </c>
      <c r="G105" s="6" t="s">
        <v>36</v>
      </c>
    </row>
    <row r="106">
      <c r="A106" s="6" t="s">
        <v>317</v>
      </c>
      <c r="B106" s="6">
        <v>6.0019686E7</v>
      </c>
      <c r="C106" s="6" t="s">
        <v>318</v>
      </c>
      <c r="D106" s="6" t="s">
        <v>10</v>
      </c>
      <c r="E106" s="6" t="s">
        <v>214</v>
      </c>
      <c r="F106" s="6" t="s">
        <v>12</v>
      </c>
      <c r="G106" s="6" t="s">
        <v>36</v>
      </c>
    </row>
    <row r="107">
      <c r="A107" s="6" t="s">
        <v>319</v>
      </c>
      <c r="B107" s="6" t="s">
        <v>320</v>
      </c>
      <c r="C107" s="6" t="s">
        <v>321</v>
      </c>
      <c r="D107" s="6" t="s">
        <v>10</v>
      </c>
      <c r="E107" s="6" t="s">
        <v>131</v>
      </c>
      <c r="F107" s="6" t="s">
        <v>12</v>
      </c>
      <c r="G107" s="6" t="s">
        <v>36</v>
      </c>
    </row>
    <row r="108">
      <c r="A108" s="6" t="s">
        <v>322</v>
      </c>
      <c r="B108" s="6" t="s">
        <v>323</v>
      </c>
      <c r="C108" s="6" t="s">
        <v>324</v>
      </c>
      <c r="D108" s="6" t="s">
        <v>10</v>
      </c>
      <c r="E108" s="6" t="s">
        <v>131</v>
      </c>
      <c r="F108" s="6" t="s">
        <v>12</v>
      </c>
      <c r="G108" s="6" t="s">
        <v>36</v>
      </c>
    </row>
    <row r="109">
      <c r="A109" s="6" t="s">
        <v>325</v>
      </c>
      <c r="B109" s="6" t="s">
        <v>326</v>
      </c>
      <c r="C109" s="6" t="s">
        <v>327</v>
      </c>
      <c r="D109" s="6" t="s">
        <v>10</v>
      </c>
      <c r="E109" s="6" t="s">
        <v>35</v>
      </c>
      <c r="F109" s="6" t="s">
        <v>12</v>
      </c>
      <c r="G109" s="6" t="s">
        <v>36</v>
      </c>
    </row>
    <row r="110">
      <c r="A110" s="6" t="s">
        <v>328</v>
      </c>
      <c r="B110" s="6" t="s">
        <v>329</v>
      </c>
      <c r="C110" s="6" t="s">
        <v>330</v>
      </c>
      <c r="D110" s="6" t="s">
        <v>10</v>
      </c>
      <c r="E110" s="6" t="s">
        <v>35</v>
      </c>
      <c r="F110" s="6" t="s">
        <v>12</v>
      </c>
      <c r="G110" s="6" t="s">
        <v>36</v>
      </c>
    </row>
    <row r="111">
      <c r="A111" s="6" t="s">
        <v>331</v>
      </c>
      <c r="B111" s="6" t="s">
        <v>332</v>
      </c>
      <c r="C111" s="6" t="s">
        <v>333</v>
      </c>
      <c r="D111" s="6" t="s">
        <v>10</v>
      </c>
      <c r="E111" s="6" t="s">
        <v>35</v>
      </c>
      <c r="F111" s="6" t="s">
        <v>12</v>
      </c>
      <c r="G111" s="6" t="s">
        <v>36</v>
      </c>
    </row>
    <row r="112">
      <c r="A112" s="6" t="s">
        <v>334</v>
      </c>
      <c r="B112" s="6" t="s">
        <v>335</v>
      </c>
      <c r="C112" s="6" t="s">
        <v>336</v>
      </c>
      <c r="D112" s="6" t="s">
        <v>10</v>
      </c>
      <c r="E112" s="6" t="s">
        <v>144</v>
      </c>
      <c r="F112" s="6" t="s">
        <v>12</v>
      </c>
      <c r="G112" s="6" t="s">
        <v>36</v>
      </c>
    </row>
    <row r="113">
      <c r="A113" s="6" t="s">
        <v>337</v>
      </c>
      <c r="B113" s="6" t="s">
        <v>338</v>
      </c>
      <c r="C113" s="6" t="s">
        <v>339</v>
      </c>
      <c r="D113" s="6" t="s">
        <v>10</v>
      </c>
      <c r="E113" s="6" t="s">
        <v>144</v>
      </c>
      <c r="F113" s="6" t="s">
        <v>12</v>
      </c>
      <c r="G113" s="6" t="s">
        <v>36</v>
      </c>
    </row>
    <row r="114">
      <c r="A114" s="6" t="s">
        <v>340</v>
      </c>
      <c r="B114" s="6" t="s">
        <v>341</v>
      </c>
      <c r="C114" s="6" t="s">
        <v>342</v>
      </c>
      <c r="D114" s="6" t="s">
        <v>10</v>
      </c>
      <c r="E114" s="6" t="s">
        <v>144</v>
      </c>
      <c r="F114" s="6" t="s">
        <v>12</v>
      </c>
      <c r="G114" s="6" t="s">
        <v>36</v>
      </c>
    </row>
    <row r="115">
      <c r="A115" s="6" t="s">
        <v>343</v>
      </c>
      <c r="B115" s="6" t="s">
        <v>344</v>
      </c>
      <c r="C115" s="6" t="s">
        <v>345</v>
      </c>
      <c r="D115" s="6" t="s">
        <v>10</v>
      </c>
      <c r="E115" s="6" t="s">
        <v>144</v>
      </c>
      <c r="F115" s="6" t="s">
        <v>12</v>
      </c>
      <c r="G115" s="6" t="s">
        <v>36</v>
      </c>
    </row>
    <row r="116">
      <c r="A116" s="6" t="s">
        <v>346</v>
      </c>
      <c r="B116" s="6" t="s">
        <v>347</v>
      </c>
      <c r="C116" s="6" t="s">
        <v>348</v>
      </c>
      <c r="D116" s="6" t="s">
        <v>10</v>
      </c>
      <c r="E116" s="6" t="s">
        <v>144</v>
      </c>
      <c r="F116" s="6" t="s">
        <v>12</v>
      </c>
      <c r="G116" s="6" t="s">
        <v>36</v>
      </c>
    </row>
    <row r="117">
      <c r="A117" s="6" t="s">
        <v>349</v>
      </c>
      <c r="B117" s="6" t="s">
        <v>350</v>
      </c>
      <c r="C117" s="6" t="s">
        <v>351</v>
      </c>
      <c r="D117" s="6" t="s">
        <v>10</v>
      </c>
      <c r="E117" s="6" t="s">
        <v>144</v>
      </c>
      <c r="F117" s="6" t="s">
        <v>12</v>
      </c>
      <c r="G117" s="6" t="s">
        <v>36</v>
      </c>
    </row>
    <row r="118">
      <c r="A118" s="6" t="s">
        <v>352</v>
      </c>
      <c r="B118" s="6" t="s">
        <v>353</v>
      </c>
      <c r="C118" s="6" t="s">
        <v>354</v>
      </c>
      <c r="D118" s="6" t="s">
        <v>10</v>
      </c>
      <c r="E118" s="6" t="s">
        <v>144</v>
      </c>
      <c r="F118" s="6" t="s">
        <v>12</v>
      </c>
      <c r="G118" s="6" t="s">
        <v>36</v>
      </c>
    </row>
    <row r="119">
      <c r="A119" s="5" t="s">
        <v>355</v>
      </c>
      <c r="B119" s="5" t="s">
        <v>356</v>
      </c>
      <c r="C119" s="5" t="s">
        <v>357</v>
      </c>
      <c r="D119" s="5" t="s">
        <v>10</v>
      </c>
      <c r="E119" s="5" t="s">
        <v>35</v>
      </c>
      <c r="F119" s="5" t="s">
        <v>12</v>
      </c>
      <c r="G119" s="5" t="s">
        <v>36</v>
      </c>
    </row>
    <row r="120">
      <c r="A120" s="5" t="s">
        <v>358</v>
      </c>
      <c r="B120" s="5" t="s">
        <v>359</v>
      </c>
      <c r="C120" s="5" t="s">
        <v>360</v>
      </c>
      <c r="D120" s="5" t="s">
        <v>10</v>
      </c>
      <c r="E120" s="5" t="s">
        <v>78</v>
      </c>
      <c r="F120" s="5" t="s">
        <v>12</v>
      </c>
      <c r="G120" s="5" t="s">
        <v>79</v>
      </c>
    </row>
    <row r="121">
      <c r="A121" s="5" t="s">
        <v>361</v>
      </c>
      <c r="B121" s="5" t="s">
        <v>362</v>
      </c>
      <c r="C121" s="5" t="s">
        <v>363</v>
      </c>
      <c r="D121" s="5" t="s">
        <v>10</v>
      </c>
      <c r="E121" s="5" t="s">
        <v>35</v>
      </c>
      <c r="F121" s="5" t="s">
        <v>12</v>
      </c>
      <c r="G121" s="5" t="s">
        <v>36</v>
      </c>
    </row>
    <row r="122">
      <c r="A122" s="5" t="s">
        <v>364</v>
      </c>
      <c r="B122" s="5" t="s">
        <v>365</v>
      </c>
      <c r="C122" s="5" t="s">
        <v>366</v>
      </c>
      <c r="D122" s="5" t="s">
        <v>10</v>
      </c>
      <c r="E122" s="5" t="s">
        <v>78</v>
      </c>
      <c r="F122" s="5" t="s">
        <v>12</v>
      </c>
      <c r="G122" s="5" t="s">
        <v>79</v>
      </c>
    </row>
    <row r="123">
      <c r="A123" s="5" t="s">
        <v>367</v>
      </c>
      <c r="B123" s="5">
        <v>6.0019705E7</v>
      </c>
      <c r="C123" s="5" t="s">
        <v>368</v>
      </c>
      <c r="D123" s="5" t="s">
        <v>10</v>
      </c>
      <c r="E123" s="5" t="s">
        <v>214</v>
      </c>
      <c r="F123" s="5" t="s">
        <v>12</v>
      </c>
      <c r="G123" s="5" t="s">
        <v>36</v>
      </c>
    </row>
    <row r="124">
      <c r="A124" s="5" t="s">
        <v>369</v>
      </c>
      <c r="B124" s="5">
        <v>6.0019706E7</v>
      </c>
      <c r="C124" s="5" t="s">
        <v>370</v>
      </c>
      <c r="D124" s="5" t="s">
        <v>10</v>
      </c>
      <c r="E124" s="5" t="s">
        <v>214</v>
      </c>
      <c r="F124" s="5" t="s">
        <v>12</v>
      </c>
      <c r="G124" s="5" t="s">
        <v>36</v>
      </c>
    </row>
    <row r="125">
      <c r="A125" s="5" t="s">
        <v>371</v>
      </c>
      <c r="B125" s="5" t="s">
        <v>372</v>
      </c>
      <c r="C125" s="5" t="s">
        <v>373</v>
      </c>
      <c r="D125" s="5" t="s">
        <v>10</v>
      </c>
      <c r="E125" s="5" t="s">
        <v>35</v>
      </c>
      <c r="F125" s="5" t="s">
        <v>12</v>
      </c>
      <c r="G125" s="5" t="s">
        <v>36</v>
      </c>
    </row>
    <row r="126">
      <c r="A126" s="5" t="s">
        <v>374</v>
      </c>
      <c r="B126" s="5" t="s">
        <v>375</v>
      </c>
      <c r="C126" s="5" t="s">
        <v>376</v>
      </c>
      <c r="D126" s="5" t="s">
        <v>10</v>
      </c>
      <c r="E126" s="5" t="s">
        <v>78</v>
      </c>
      <c r="F126" s="5" t="s">
        <v>12</v>
      </c>
      <c r="G126" s="5" t="s">
        <v>79</v>
      </c>
    </row>
    <row r="127">
      <c r="A127" s="6" t="s">
        <v>377</v>
      </c>
      <c r="B127" s="6" t="s">
        <v>378</v>
      </c>
      <c r="C127" s="6" t="s">
        <v>379</v>
      </c>
      <c r="D127" s="6" t="s">
        <v>10</v>
      </c>
      <c r="E127" s="6" t="s">
        <v>78</v>
      </c>
      <c r="F127" s="6" t="s">
        <v>12</v>
      </c>
      <c r="G127" s="6" t="s">
        <v>79</v>
      </c>
    </row>
    <row r="128">
      <c r="A128" s="5" t="s">
        <v>380</v>
      </c>
      <c r="B128" s="5">
        <v>6.0019707E7</v>
      </c>
      <c r="C128" s="5" t="s">
        <v>381</v>
      </c>
      <c r="D128" s="5" t="s">
        <v>10</v>
      </c>
      <c r="E128" s="5" t="s">
        <v>214</v>
      </c>
      <c r="F128" s="5" t="s">
        <v>12</v>
      </c>
      <c r="G128" s="5" t="s">
        <v>36</v>
      </c>
    </row>
    <row r="129">
      <c r="A129" s="5" t="s">
        <v>382</v>
      </c>
      <c r="B129" s="5" t="s">
        <v>383</v>
      </c>
      <c r="C129" s="5" t="s">
        <v>384</v>
      </c>
      <c r="D129" s="5" t="s">
        <v>10</v>
      </c>
      <c r="E129" s="5" t="s">
        <v>35</v>
      </c>
      <c r="F129" s="5" t="s">
        <v>12</v>
      </c>
      <c r="G129" s="5" t="s">
        <v>36</v>
      </c>
    </row>
    <row r="130">
      <c r="A130" s="5" t="s">
        <v>385</v>
      </c>
      <c r="B130" s="5" t="s">
        <v>386</v>
      </c>
      <c r="C130" s="5" t="s">
        <v>387</v>
      </c>
      <c r="D130" s="5" t="s">
        <v>10</v>
      </c>
      <c r="E130" s="5" t="s">
        <v>35</v>
      </c>
      <c r="F130" s="5" t="s">
        <v>12</v>
      </c>
      <c r="G130" s="5" t="s">
        <v>36</v>
      </c>
    </row>
    <row r="131">
      <c r="A131" s="7" t="s">
        <v>388</v>
      </c>
      <c r="B131" s="7">
        <v>6.0019708E7</v>
      </c>
      <c r="C131" s="7" t="s">
        <v>389</v>
      </c>
      <c r="D131" s="7" t="s">
        <v>10</v>
      </c>
      <c r="E131" s="7" t="s">
        <v>214</v>
      </c>
      <c r="F131" s="7" t="s">
        <v>12</v>
      </c>
      <c r="G131" s="7" t="s">
        <v>36</v>
      </c>
    </row>
    <row r="132">
      <c r="A132" s="5" t="s">
        <v>390</v>
      </c>
      <c r="B132" s="5" t="s">
        <v>391</v>
      </c>
      <c r="C132" s="5" t="s">
        <v>392</v>
      </c>
      <c r="D132" s="5" t="s">
        <v>10</v>
      </c>
      <c r="E132" s="5" t="s">
        <v>35</v>
      </c>
      <c r="F132" s="5" t="s">
        <v>12</v>
      </c>
      <c r="G132" s="5" t="s">
        <v>36</v>
      </c>
    </row>
    <row r="133">
      <c r="A133" s="7" t="s">
        <v>393</v>
      </c>
      <c r="B133" s="7">
        <v>6.0019699E7</v>
      </c>
      <c r="C133" s="7" t="s">
        <v>394</v>
      </c>
      <c r="D133" s="7" t="s">
        <v>10</v>
      </c>
      <c r="E133" s="7" t="s">
        <v>214</v>
      </c>
      <c r="F133" s="7" t="s">
        <v>12</v>
      </c>
      <c r="G133" s="7" t="s">
        <v>36</v>
      </c>
    </row>
    <row r="134">
      <c r="A134" s="5" t="s">
        <v>395</v>
      </c>
      <c r="B134" s="5">
        <v>6.0019694E7</v>
      </c>
      <c r="C134" s="5" t="s">
        <v>396</v>
      </c>
      <c r="D134" s="5" t="s">
        <v>10</v>
      </c>
      <c r="E134" s="5" t="s">
        <v>214</v>
      </c>
      <c r="F134" s="5" t="s">
        <v>12</v>
      </c>
      <c r="G134" s="5" t="s">
        <v>36</v>
      </c>
    </row>
    <row r="135">
      <c r="A135" s="7" t="s">
        <v>397</v>
      </c>
      <c r="B135" s="7">
        <v>6.0019697E7</v>
      </c>
      <c r="C135" s="7" t="s">
        <v>398</v>
      </c>
      <c r="D135" s="7" t="s">
        <v>10</v>
      </c>
      <c r="E135" s="7" t="s">
        <v>214</v>
      </c>
      <c r="F135" s="7" t="s">
        <v>12</v>
      </c>
      <c r="G135" s="7" t="s">
        <v>36</v>
      </c>
    </row>
    <row r="136">
      <c r="A136" s="7" t="s">
        <v>399</v>
      </c>
      <c r="B136" s="7">
        <v>6.0019691E7</v>
      </c>
      <c r="C136" s="7" t="s">
        <v>400</v>
      </c>
      <c r="D136" s="7" t="s">
        <v>10</v>
      </c>
      <c r="E136" s="7" t="s">
        <v>214</v>
      </c>
      <c r="F136" s="7" t="s">
        <v>12</v>
      </c>
      <c r="G136" s="7" t="s">
        <v>36</v>
      </c>
    </row>
    <row r="137">
      <c r="A137" s="9" t="s">
        <v>401</v>
      </c>
      <c r="B137" s="9" t="s">
        <v>402</v>
      </c>
      <c r="C137" s="9" t="s">
        <v>403</v>
      </c>
      <c r="D137" s="9" t="s">
        <v>10</v>
      </c>
      <c r="E137" s="9" t="s">
        <v>35</v>
      </c>
      <c r="F137" s="9" t="s">
        <v>12</v>
      </c>
      <c r="G137" s="9" t="s">
        <v>36</v>
      </c>
    </row>
    <row r="138">
      <c r="A138" s="7" t="s">
        <v>404</v>
      </c>
      <c r="B138" s="7">
        <v>6.0019693E7</v>
      </c>
      <c r="C138" s="7" t="s">
        <v>405</v>
      </c>
      <c r="D138" s="7" t="s">
        <v>10</v>
      </c>
      <c r="E138" s="7" t="s">
        <v>214</v>
      </c>
      <c r="F138" s="7" t="s">
        <v>12</v>
      </c>
      <c r="G138" s="7" t="s">
        <v>36</v>
      </c>
    </row>
    <row r="139">
      <c r="A139" s="7" t="s">
        <v>406</v>
      </c>
      <c r="B139" s="7">
        <v>6.0019692E7</v>
      </c>
      <c r="C139" s="7" t="s">
        <v>407</v>
      </c>
      <c r="D139" s="7" t="s">
        <v>10</v>
      </c>
      <c r="E139" s="7" t="s">
        <v>214</v>
      </c>
      <c r="F139" s="7" t="s">
        <v>12</v>
      </c>
      <c r="G139" s="7" t="s">
        <v>36</v>
      </c>
    </row>
    <row r="140">
      <c r="A140" s="6" t="s">
        <v>408</v>
      </c>
      <c r="B140" s="6" t="s">
        <v>409</v>
      </c>
      <c r="C140" s="6" t="s">
        <v>410</v>
      </c>
      <c r="D140" s="6" t="s">
        <v>10</v>
      </c>
      <c r="E140" s="6" t="s">
        <v>131</v>
      </c>
      <c r="F140" s="6" t="s">
        <v>12</v>
      </c>
      <c r="G140" s="6" t="s">
        <v>36</v>
      </c>
    </row>
    <row r="141">
      <c r="A141" s="7" t="s">
        <v>411</v>
      </c>
      <c r="B141" s="7">
        <v>6.0019698E7</v>
      </c>
      <c r="C141" s="7" t="s">
        <v>412</v>
      </c>
      <c r="D141" s="7" t="s">
        <v>10</v>
      </c>
      <c r="E141" s="7" t="s">
        <v>214</v>
      </c>
      <c r="F141" s="7" t="s">
        <v>12</v>
      </c>
      <c r="G141" s="7" t="s">
        <v>36</v>
      </c>
    </row>
    <row r="142">
      <c r="A142" s="7" t="s">
        <v>413</v>
      </c>
      <c r="B142" s="7" t="s">
        <v>414</v>
      </c>
      <c r="C142" s="7" t="s">
        <v>415</v>
      </c>
      <c r="D142" s="7" t="s">
        <v>10</v>
      </c>
      <c r="E142" s="7" t="s">
        <v>35</v>
      </c>
      <c r="F142" s="7" t="s">
        <v>12</v>
      </c>
      <c r="G142" s="7" t="s">
        <v>36</v>
      </c>
    </row>
    <row r="143">
      <c r="A143" s="5" t="s">
        <v>416</v>
      </c>
      <c r="B143" s="5" t="s">
        <v>417</v>
      </c>
      <c r="C143" s="5" t="s">
        <v>418</v>
      </c>
      <c r="D143" s="5" t="s">
        <v>10</v>
      </c>
      <c r="E143" s="5" t="s">
        <v>131</v>
      </c>
      <c r="F143" s="5" t="s">
        <v>12</v>
      </c>
      <c r="G143" s="5" t="s">
        <v>36</v>
      </c>
    </row>
    <row r="144">
      <c r="A144" s="5" t="s">
        <v>419</v>
      </c>
      <c r="B144" s="5" t="s">
        <v>420</v>
      </c>
      <c r="C144" s="5" t="s">
        <v>421</v>
      </c>
      <c r="D144" s="5" t="s">
        <v>10</v>
      </c>
      <c r="E144" s="5" t="s">
        <v>131</v>
      </c>
      <c r="F144" s="5" t="s">
        <v>12</v>
      </c>
      <c r="G144" s="5" t="s">
        <v>36</v>
      </c>
    </row>
    <row r="145">
      <c r="A145" s="5" t="s">
        <v>422</v>
      </c>
      <c r="B145" s="5" t="s">
        <v>423</v>
      </c>
      <c r="C145" s="5" t="s">
        <v>424</v>
      </c>
      <c r="D145" s="5" t="s">
        <v>10</v>
      </c>
      <c r="E145" s="5" t="s">
        <v>35</v>
      </c>
      <c r="F145" s="5" t="s">
        <v>12</v>
      </c>
      <c r="G145" s="5" t="s">
        <v>36</v>
      </c>
    </row>
    <row r="146">
      <c r="A146" s="5" t="s">
        <v>425</v>
      </c>
      <c r="B146" s="5" t="s">
        <v>426</v>
      </c>
      <c r="C146" s="5" t="s">
        <v>427</v>
      </c>
      <c r="D146" s="5" t="s">
        <v>10</v>
      </c>
      <c r="E146" s="5" t="s">
        <v>35</v>
      </c>
      <c r="F146" s="5" t="s">
        <v>12</v>
      </c>
      <c r="G146" s="5" t="s">
        <v>36</v>
      </c>
    </row>
    <row r="147">
      <c r="A147" s="5" t="s">
        <v>428</v>
      </c>
      <c r="B147" s="5">
        <v>6.0019704E7</v>
      </c>
      <c r="C147" s="5" t="s">
        <v>429</v>
      </c>
      <c r="D147" s="5" t="s">
        <v>10</v>
      </c>
      <c r="E147" s="5" t="s">
        <v>214</v>
      </c>
      <c r="F147" s="5" t="s">
        <v>12</v>
      </c>
      <c r="G147" s="5" t="s">
        <v>36</v>
      </c>
    </row>
    <row r="148">
      <c r="A148" s="5" t="s">
        <v>430</v>
      </c>
      <c r="B148" s="5">
        <v>6.00197E7</v>
      </c>
      <c r="C148" s="5" t="s">
        <v>431</v>
      </c>
      <c r="D148" s="5" t="s">
        <v>10</v>
      </c>
      <c r="E148" s="5" t="s">
        <v>214</v>
      </c>
      <c r="F148" s="5" t="s">
        <v>12</v>
      </c>
      <c r="G148" s="5" t="s">
        <v>36</v>
      </c>
    </row>
    <row r="149">
      <c r="A149" s="5" t="s">
        <v>432</v>
      </c>
      <c r="B149" s="5">
        <v>6.0019701E7</v>
      </c>
      <c r="C149" s="5" t="s">
        <v>433</v>
      </c>
      <c r="D149" s="5" t="s">
        <v>10</v>
      </c>
      <c r="E149" s="5" t="s">
        <v>214</v>
      </c>
      <c r="F149" s="5" t="s">
        <v>12</v>
      </c>
      <c r="G149" s="5" t="s">
        <v>36</v>
      </c>
    </row>
    <row r="150">
      <c r="A150" s="5" t="s">
        <v>434</v>
      </c>
      <c r="B150" s="5">
        <v>6.0019702E7</v>
      </c>
      <c r="C150" s="5" t="s">
        <v>435</v>
      </c>
      <c r="D150" s="5" t="s">
        <v>10</v>
      </c>
      <c r="E150" s="5" t="s">
        <v>214</v>
      </c>
      <c r="F150" s="5" t="s">
        <v>12</v>
      </c>
      <c r="G150" s="5" t="s">
        <v>36</v>
      </c>
    </row>
    <row r="151">
      <c r="A151" s="7" t="s">
        <v>436</v>
      </c>
      <c r="B151" s="7">
        <v>6.0019703E7</v>
      </c>
      <c r="C151" s="7" t="s">
        <v>437</v>
      </c>
      <c r="D151" s="7" t="s">
        <v>10</v>
      </c>
      <c r="E151" s="7" t="s">
        <v>214</v>
      </c>
      <c r="F151" s="7" t="s">
        <v>12</v>
      </c>
      <c r="G151" s="7" t="s">
        <v>36</v>
      </c>
    </row>
    <row r="152">
      <c r="A152" s="5" t="s">
        <v>438</v>
      </c>
      <c r="B152" s="5" t="s">
        <v>439</v>
      </c>
      <c r="C152" s="5" t="s">
        <v>440</v>
      </c>
      <c r="D152" s="5" t="s">
        <v>10</v>
      </c>
      <c r="E152" s="5" t="s">
        <v>93</v>
      </c>
      <c r="F152" s="5" t="s">
        <v>12</v>
      </c>
      <c r="G152" s="5" t="s">
        <v>13</v>
      </c>
    </row>
    <row r="153">
      <c r="A153" s="5" t="s">
        <v>441</v>
      </c>
      <c r="B153" s="5" t="s">
        <v>442</v>
      </c>
      <c r="C153" s="5" t="s">
        <v>443</v>
      </c>
      <c r="D153" s="5" t="s">
        <v>10</v>
      </c>
      <c r="E153" s="5" t="s">
        <v>444</v>
      </c>
      <c r="F153" s="5" t="s">
        <v>12</v>
      </c>
      <c r="G153" s="5" t="s">
        <v>13</v>
      </c>
    </row>
    <row r="154">
      <c r="A154" s="5" t="s">
        <v>445</v>
      </c>
      <c r="B154" s="5" t="s">
        <v>446</v>
      </c>
      <c r="C154" s="5" t="s">
        <v>447</v>
      </c>
      <c r="D154" s="5" t="s">
        <v>10</v>
      </c>
      <c r="E154" s="5" t="s">
        <v>444</v>
      </c>
      <c r="F154" s="5" t="s">
        <v>12</v>
      </c>
      <c r="G154" s="5" t="s">
        <v>13</v>
      </c>
    </row>
    <row r="155">
      <c r="A155" s="5" t="s">
        <v>448</v>
      </c>
      <c r="B155" s="5" t="s">
        <v>449</v>
      </c>
      <c r="C155" s="5" t="s">
        <v>450</v>
      </c>
      <c r="D155" s="5" t="s">
        <v>10</v>
      </c>
      <c r="E155" s="5" t="s">
        <v>11</v>
      </c>
      <c r="F155" s="5" t="s">
        <v>12</v>
      </c>
      <c r="G155" s="5" t="s">
        <v>13</v>
      </c>
    </row>
    <row r="156">
      <c r="A156" s="5" t="s">
        <v>451</v>
      </c>
      <c r="B156" s="5" t="s">
        <v>452</v>
      </c>
      <c r="C156" s="5" t="s">
        <v>453</v>
      </c>
      <c r="D156" s="5" t="s">
        <v>10</v>
      </c>
      <c r="E156" s="5" t="s">
        <v>444</v>
      </c>
      <c r="F156" s="5" t="s">
        <v>12</v>
      </c>
      <c r="G156" s="5" t="s">
        <v>13</v>
      </c>
    </row>
    <row r="157">
      <c r="A157" s="5" t="s">
        <v>454</v>
      </c>
      <c r="B157" s="5" t="s">
        <v>455</v>
      </c>
      <c r="C157" s="5" t="s">
        <v>456</v>
      </c>
      <c r="D157" s="5" t="s">
        <v>10</v>
      </c>
      <c r="E157" s="5" t="s">
        <v>93</v>
      </c>
      <c r="F157" s="5" t="s">
        <v>12</v>
      </c>
      <c r="G157" s="5" t="s">
        <v>13</v>
      </c>
    </row>
    <row r="158">
      <c r="A158" s="5" t="s">
        <v>457</v>
      </c>
      <c r="B158" s="5" t="s">
        <v>458</v>
      </c>
      <c r="C158" s="5" t="s">
        <v>459</v>
      </c>
      <c r="D158" s="5" t="s">
        <v>10</v>
      </c>
      <c r="E158" s="5" t="s">
        <v>11</v>
      </c>
      <c r="F158" s="5" t="s">
        <v>12</v>
      </c>
      <c r="G158" s="5" t="s">
        <v>13</v>
      </c>
    </row>
    <row r="159">
      <c r="A159" s="5" t="s">
        <v>460</v>
      </c>
      <c r="B159" s="5" t="s">
        <v>461</v>
      </c>
      <c r="C159" s="5" t="s">
        <v>462</v>
      </c>
      <c r="D159" s="5" t="s">
        <v>10</v>
      </c>
      <c r="E159" s="5" t="s">
        <v>444</v>
      </c>
      <c r="F159" s="5" t="s">
        <v>12</v>
      </c>
      <c r="G159" s="5" t="s">
        <v>13</v>
      </c>
    </row>
    <row r="160">
      <c r="A160" s="5" t="s">
        <v>463</v>
      </c>
      <c r="B160" s="5" t="s">
        <v>464</v>
      </c>
      <c r="C160" s="5" t="s">
        <v>465</v>
      </c>
      <c r="D160" s="5" t="s">
        <v>10</v>
      </c>
      <c r="E160" s="5" t="s">
        <v>444</v>
      </c>
      <c r="F160" s="5" t="s">
        <v>12</v>
      </c>
      <c r="G160" s="5" t="s">
        <v>13</v>
      </c>
    </row>
    <row r="161">
      <c r="A161" s="5" t="s">
        <v>466</v>
      </c>
      <c r="B161" s="5" t="s">
        <v>467</v>
      </c>
      <c r="C161" s="5" t="s">
        <v>468</v>
      </c>
      <c r="D161" s="5" t="s">
        <v>10</v>
      </c>
      <c r="E161" s="5" t="s">
        <v>444</v>
      </c>
      <c r="F161" s="5" t="s">
        <v>12</v>
      </c>
      <c r="G161" s="5" t="s">
        <v>13</v>
      </c>
    </row>
    <row r="162">
      <c r="A162" s="5" t="s">
        <v>469</v>
      </c>
      <c r="B162" s="5" t="s">
        <v>470</v>
      </c>
      <c r="C162" s="5" t="s">
        <v>471</v>
      </c>
      <c r="D162" s="5" t="s">
        <v>10</v>
      </c>
      <c r="E162" s="5" t="s">
        <v>444</v>
      </c>
      <c r="F162" s="5" t="s">
        <v>12</v>
      </c>
      <c r="G162" s="5" t="s">
        <v>13</v>
      </c>
    </row>
    <row r="163">
      <c r="A163" s="5" t="s">
        <v>472</v>
      </c>
      <c r="B163" s="5" t="s">
        <v>473</v>
      </c>
      <c r="C163" s="5" t="s">
        <v>474</v>
      </c>
      <c r="D163" s="5" t="s">
        <v>10</v>
      </c>
      <c r="E163" s="5" t="s">
        <v>93</v>
      </c>
      <c r="F163" s="5" t="s">
        <v>12</v>
      </c>
      <c r="G163" s="5" t="s">
        <v>13</v>
      </c>
    </row>
    <row r="164">
      <c r="A164" s="5" t="s">
        <v>475</v>
      </c>
      <c r="B164" s="5" t="s">
        <v>476</v>
      </c>
      <c r="C164" s="5" t="s">
        <v>477</v>
      </c>
      <c r="D164" s="5" t="s">
        <v>10</v>
      </c>
      <c r="E164" s="5" t="s">
        <v>93</v>
      </c>
      <c r="F164" s="5" t="s">
        <v>12</v>
      </c>
      <c r="G164" s="5" t="s">
        <v>13</v>
      </c>
    </row>
    <row r="165">
      <c r="A165" s="5" t="s">
        <v>478</v>
      </c>
      <c r="B165" s="5" t="s">
        <v>479</v>
      </c>
      <c r="C165" s="5" t="s">
        <v>480</v>
      </c>
      <c r="D165" s="5" t="s">
        <v>10</v>
      </c>
      <c r="E165" s="5" t="s">
        <v>444</v>
      </c>
      <c r="F165" s="5" t="s">
        <v>12</v>
      </c>
      <c r="G165" s="5" t="s">
        <v>13</v>
      </c>
    </row>
    <row r="166">
      <c r="A166" s="5" t="s">
        <v>481</v>
      </c>
      <c r="B166" s="5" t="s">
        <v>482</v>
      </c>
      <c r="C166" s="5" t="s">
        <v>483</v>
      </c>
      <c r="D166" s="5" t="s">
        <v>10</v>
      </c>
      <c r="E166" s="5" t="s">
        <v>444</v>
      </c>
      <c r="F166" s="5" t="s">
        <v>12</v>
      </c>
      <c r="G166" s="5" t="s">
        <v>13</v>
      </c>
    </row>
    <row r="167">
      <c r="A167" s="5" t="s">
        <v>484</v>
      </c>
      <c r="B167" s="5" t="s">
        <v>485</v>
      </c>
      <c r="C167" s="5" t="s">
        <v>486</v>
      </c>
      <c r="D167" s="5" t="s">
        <v>10</v>
      </c>
      <c r="E167" s="5" t="s">
        <v>444</v>
      </c>
      <c r="F167" s="5" t="s">
        <v>12</v>
      </c>
      <c r="G167" s="5" t="s">
        <v>13</v>
      </c>
    </row>
    <row r="168">
      <c r="A168" s="5" t="s">
        <v>487</v>
      </c>
      <c r="B168" s="5" t="s">
        <v>488</v>
      </c>
      <c r="C168" s="5" t="s">
        <v>31</v>
      </c>
      <c r="D168" s="5" t="s">
        <v>10</v>
      </c>
      <c r="E168" s="5" t="s">
        <v>11</v>
      </c>
      <c r="F168" s="5" t="s">
        <v>12</v>
      </c>
      <c r="G168" s="5" t="s">
        <v>13</v>
      </c>
    </row>
    <row r="169">
      <c r="A169" s="5" t="s">
        <v>489</v>
      </c>
      <c r="B169" s="5" t="s">
        <v>490</v>
      </c>
      <c r="C169" s="5" t="s">
        <v>491</v>
      </c>
      <c r="D169" s="5" t="s">
        <v>10</v>
      </c>
      <c r="E169" s="5" t="s">
        <v>93</v>
      </c>
      <c r="F169" s="5" t="s">
        <v>12</v>
      </c>
      <c r="G169" s="5" t="s">
        <v>13</v>
      </c>
    </row>
    <row r="170">
      <c r="A170" s="5" t="s">
        <v>492</v>
      </c>
      <c r="B170" s="5" t="s">
        <v>493</v>
      </c>
      <c r="C170" s="5" t="s">
        <v>494</v>
      </c>
      <c r="D170" s="5" t="s">
        <v>10</v>
      </c>
      <c r="E170" s="5" t="s">
        <v>93</v>
      </c>
      <c r="F170" s="5" t="s">
        <v>12</v>
      </c>
      <c r="G170" s="5" t="s">
        <v>13</v>
      </c>
    </row>
    <row r="171">
      <c r="A171" s="5" t="s">
        <v>495</v>
      </c>
      <c r="B171" s="5" t="s">
        <v>496</v>
      </c>
      <c r="C171" s="5" t="s">
        <v>497</v>
      </c>
      <c r="D171" s="5" t="s">
        <v>10</v>
      </c>
      <c r="E171" s="5" t="s">
        <v>93</v>
      </c>
      <c r="F171" s="5" t="s">
        <v>12</v>
      </c>
      <c r="G171" s="5" t="s">
        <v>13</v>
      </c>
    </row>
    <row r="172">
      <c r="A172" s="5" t="s">
        <v>498</v>
      </c>
      <c r="B172" s="5" t="s">
        <v>499</v>
      </c>
      <c r="C172" s="5" t="s">
        <v>500</v>
      </c>
      <c r="D172" s="5" t="s">
        <v>10</v>
      </c>
      <c r="E172" s="5" t="s">
        <v>11</v>
      </c>
      <c r="F172" s="5" t="s">
        <v>12</v>
      </c>
      <c r="G172" s="5" t="s">
        <v>13</v>
      </c>
    </row>
    <row r="173">
      <c r="A173" s="5" t="s">
        <v>501</v>
      </c>
      <c r="B173" s="5" t="s">
        <v>502</v>
      </c>
      <c r="C173" s="5" t="s">
        <v>503</v>
      </c>
      <c r="D173" s="5" t="s">
        <v>10</v>
      </c>
      <c r="E173" s="5" t="s">
        <v>11</v>
      </c>
      <c r="F173" s="5" t="s">
        <v>12</v>
      </c>
      <c r="G173" s="5" t="s">
        <v>13</v>
      </c>
    </row>
    <row r="174">
      <c r="A174" s="5" t="s">
        <v>504</v>
      </c>
      <c r="B174" s="5" t="s">
        <v>505</v>
      </c>
      <c r="C174" s="5" t="s">
        <v>506</v>
      </c>
      <c r="D174" s="5" t="s">
        <v>10</v>
      </c>
      <c r="E174" s="5" t="s">
        <v>444</v>
      </c>
      <c r="F174" s="5" t="s">
        <v>12</v>
      </c>
      <c r="G174" s="5" t="s">
        <v>13</v>
      </c>
    </row>
    <row r="175">
      <c r="A175" s="5" t="s">
        <v>507</v>
      </c>
      <c r="B175" s="5" t="s">
        <v>508</v>
      </c>
      <c r="C175" s="5" t="s">
        <v>509</v>
      </c>
      <c r="D175" s="5" t="s">
        <v>10</v>
      </c>
      <c r="E175" s="5" t="s">
        <v>444</v>
      </c>
      <c r="F175" s="5" t="s">
        <v>12</v>
      </c>
      <c r="G175" s="5" t="s">
        <v>13</v>
      </c>
    </row>
    <row r="176">
      <c r="A176" s="5" t="s">
        <v>510</v>
      </c>
      <c r="B176" s="5" t="s">
        <v>511</v>
      </c>
      <c r="C176" s="5" t="s">
        <v>512</v>
      </c>
      <c r="D176" s="5" t="s">
        <v>10</v>
      </c>
      <c r="E176" s="5" t="s">
        <v>444</v>
      </c>
      <c r="F176" s="5" t="s">
        <v>12</v>
      </c>
      <c r="G176" s="5" t="s">
        <v>13</v>
      </c>
    </row>
    <row r="177">
      <c r="A177" s="5" t="s">
        <v>513</v>
      </c>
      <c r="B177" s="5" t="s">
        <v>514</v>
      </c>
      <c r="C177" s="5" t="s">
        <v>515</v>
      </c>
      <c r="D177" s="5" t="s">
        <v>10</v>
      </c>
      <c r="E177" s="5" t="s">
        <v>444</v>
      </c>
      <c r="F177" s="5" t="s">
        <v>12</v>
      </c>
      <c r="G177" s="5" t="s">
        <v>13</v>
      </c>
    </row>
    <row r="178">
      <c r="A178" s="5" t="s">
        <v>516</v>
      </c>
      <c r="B178" s="5" t="s">
        <v>517</v>
      </c>
      <c r="C178" s="5" t="s">
        <v>518</v>
      </c>
      <c r="D178" s="5" t="s">
        <v>10</v>
      </c>
      <c r="E178" s="5" t="s">
        <v>11</v>
      </c>
      <c r="F178" s="5" t="s">
        <v>12</v>
      </c>
      <c r="G178" s="5" t="s">
        <v>13</v>
      </c>
    </row>
    <row r="179">
      <c r="A179" s="5" t="s">
        <v>519</v>
      </c>
      <c r="B179" s="5" t="s">
        <v>520</v>
      </c>
      <c r="C179" s="5" t="s">
        <v>521</v>
      </c>
      <c r="D179" s="5" t="s">
        <v>10</v>
      </c>
      <c r="E179" s="5" t="s">
        <v>444</v>
      </c>
      <c r="F179" s="5" t="s">
        <v>12</v>
      </c>
      <c r="G179" s="5" t="s">
        <v>13</v>
      </c>
    </row>
    <row r="180">
      <c r="A180" s="5" t="s">
        <v>522</v>
      </c>
      <c r="B180" s="5" t="s">
        <v>523</v>
      </c>
      <c r="C180" s="5" t="s">
        <v>524</v>
      </c>
      <c r="D180" s="5" t="s">
        <v>10</v>
      </c>
      <c r="E180" s="5" t="s">
        <v>444</v>
      </c>
      <c r="F180" s="5" t="s">
        <v>12</v>
      </c>
      <c r="G180" s="5" t="s">
        <v>13</v>
      </c>
    </row>
    <row r="181">
      <c r="A181" s="5" t="s">
        <v>525</v>
      </c>
      <c r="B181" s="5" t="s">
        <v>526</v>
      </c>
      <c r="C181" s="5" t="s">
        <v>527</v>
      </c>
      <c r="D181" s="5" t="s">
        <v>10</v>
      </c>
      <c r="E181" s="5" t="s">
        <v>444</v>
      </c>
      <c r="F181" s="5" t="s">
        <v>12</v>
      </c>
      <c r="G181" s="5" t="s">
        <v>13</v>
      </c>
    </row>
    <row r="182">
      <c r="A182" s="5" t="s">
        <v>528</v>
      </c>
      <c r="B182" s="5" t="s">
        <v>529</v>
      </c>
      <c r="C182" s="5" t="s">
        <v>530</v>
      </c>
      <c r="D182" s="5" t="s">
        <v>10</v>
      </c>
      <c r="E182" s="5" t="s">
        <v>444</v>
      </c>
      <c r="F182" s="5" t="s">
        <v>12</v>
      </c>
      <c r="G182" s="5" t="s">
        <v>13</v>
      </c>
    </row>
    <row r="183">
      <c r="A183" s="5" t="s">
        <v>531</v>
      </c>
      <c r="B183" s="5" t="s">
        <v>532</v>
      </c>
      <c r="C183" s="5" t="s">
        <v>533</v>
      </c>
      <c r="D183" s="5" t="s">
        <v>10</v>
      </c>
      <c r="E183" s="5" t="s">
        <v>444</v>
      </c>
      <c r="F183" s="5" t="s">
        <v>12</v>
      </c>
      <c r="G183" s="5" t="s">
        <v>13</v>
      </c>
    </row>
    <row r="184">
      <c r="A184" s="5" t="s">
        <v>534</v>
      </c>
      <c r="B184" s="5" t="s">
        <v>535</v>
      </c>
      <c r="C184" s="5" t="s">
        <v>536</v>
      </c>
      <c r="D184" s="5" t="s">
        <v>10</v>
      </c>
      <c r="E184" s="5" t="s">
        <v>11</v>
      </c>
      <c r="F184" s="5" t="s">
        <v>12</v>
      </c>
      <c r="G184" s="5" t="s">
        <v>13</v>
      </c>
    </row>
    <row r="185">
      <c r="A185" s="5" t="s">
        <v>537</v>
      </c>
      <c r="B185" s="5" t="s">
        <v>538</v>
      </c>
      <c r="C185" s="5" t="s">
        <v>539</v>
      </c>
      <c r="D185" s="5" t="s">
        <v>10</v>
      </c>
      <c r="E185" s="5" t="s">
        <v>444</v>
      </c>
      <c r="F185" s="5" t="s">
        <v>12</v>
      </c>
      <c r="G185" s="5" t="s">
        <v>13</v>
      </c>
    </row>
    <row r="186">
      <c r="A186" s="5" t="s">
        <v>540</v>
      </c>
      <c r="B186" s="5" t="s">
        <v>541</v>
      </c>
      <c r="C186" s="5" t="s">
        <v>542</v>
      </c>
      <c r="D186" s="5" t="s">
        <v>10</v>
      </c>
      <c r="E186" s="5" t="s">
        <v>444</v>
      </c>
      <c r="F186" s="5" t="s">
        <v>12</v>
      </c>
      <c r="G186" s="5" t="s">
        <v>13</v>
      </c>
    </row>
    <row r="187">
      <c r="A187" s="5" t="s">
        <v>543</v>
      </c>
      <c r="B187" s="5" t="s">
        <v>544</v>
      </c>
      <c r="C187" s="5" t="s">
        <v>545</v>
      </c>
      <c r="D187" s="5" t="s">
        <v>10</v>
      </c>
      <c r="E187" s="5" t="s">
        <v>444</v>
      </c>
      <c r="F187" s="5" t="s">
        <v>12</v>
      </c>
      <c r="G187" s="5" t="s">
        <v>13</v>
      </c>
    </row>
    <row r="188">
      <c r="A188" s="5" t="s">
        <v>546</v>
      </c>
      <c r="B188" s="5" t="s">
        <v>547</v>
      </c>
      <c r="C188" s="5" t="s">
        <v>524</v>
      </c>
      <c r="D188" s="5" t="s">
        <v>10</v>
      </c>
      <c r="E188" s="5" t="s">
        <v>11</v>
      </c>
      <c r="F188" s="5" t="s">
        <v>12</v>
      </c>
      <c r="G188" s="5" t="s">
        <v>13</v>
      </c>
    </row>
    <row r="189">
      <c r="A189" s="5" t="s">
        <v>548</v>
      </c>
      <c r="B189" s="5" t="s">
        <v>549</v>
      </c>
      <c r="C189" s="5" t="s">
        <v>550</v>
      </c>
      <c r="D189" s="5" t="s">
        <v>10</v>
      </c>
      <c r="E189" s="5" t="s">
        <v>444</v>
      </c>
      <c r="F189" s="5" t="s">
        <v>12</v>
      </c>
      <c r="G189" s="5" t="s">
        <v>13</v>
      </c>
    </row>
    <row r="190">
      <c r="A190" s="5" t="s">
        <v>551</v>
      </c>
      <c r="B190" s="5" t="s">
        <v>552</v>
      </c>
      <c r="C190" s="5" t="s">
        <v>553</v>
      </c>
      <c r="D190" s="5" t="s">
        <v>10</v>
      </c>
      <c r="E190" s="5" t="s">
        <v>35</v>
      </c>
      <c r="F190" s="5" t="s">
        <v>12</v>
      </c>
      <c r="G190" s="5" t="s">
        <v>36</v>
      </c>
    </row>
    <row r="191">
      <c r="A191" s="5" t="s">
        <v>554</v>
      </c>
      <c r="B191" s="5" t="s">
        <v>555</v>
      </c>
      <c r="C191" s="5" t="s">
        <v>556</v>
      </c>
      <c r="D191" s="5" t="s">
        <v>10</v>
      </c>
      <c r="E191" s="5" t="s">
        <v>93</v>
      </c>
      <c r="F191" s="5" t="s">
        <v>12</v>
      </c>
      <c r="G191" s="5" t="s">
        <v>13</v>
      </c>
    </row>
    <row r="192">
      <c r="A192" s="5" t="s">
        <v>557</v>
      </c>
      <c r="B192" s="5" t="s">
        <v>558</v>
      </c>
      <c r="C192" s="5" t="s">
        <v>559</v>
      </c>
      <c r="D192" s="5" t="s">
        <v>10</v>
      </c>
      <c r="E192" s="5" t="s">
        <v>93</v>
      </c>
      <c r="F192" s="5" t="s">
        <v>12</v>
      </c>
      <c r="G192" s="5" t="s">
        <v>13</v>
      </c>
    </row>
    <row r="193">
      <c r="A193" s="5" t="s">
        <v>560</v>
      </c>
      <c r="B193" s="5" t="s">
        <v>561</v>
      </c>
      <c r="C193" s="5" t="s">
        <v>562</v>
      </c>
      <c r="D193" s="5" t="s">
        <v>10</v>
      </c>
      <c r="E193" s="5" t="s">
        <v>93</v>
      </c>
      <c r="F193" s="5" t="s">
        <v>12</v>
      </c>
      <c r="G193" s="5" t="s">
        <v>13</v>
      </c>
    </row>
    <row r="194">
      <c r="A194" s="5" t="s">
        <v>563</v>
      </c>
      <c r="B194" s="5" t="s">
        <v>564</v>
      </c>
      <c r="C194" s="5" t="s">
        <v>565</v>
      </c>
      <c r="D194" s="5" t="s">
        <v>10</v>
      </c>
      <c r="E194" s="5" t="s">
        <v>444</v>
      </c>
      <c r="F194" s="5" t="s">
        <v>12</v>
      </c>
      <c r="G194" s="5" t="s">
        <v>13</v>
      </c>
    </row>
    <row r="195">
      <c r="A195" s="7" t="s">
        <v>566</v>
      </c>
      <c r="B195" s="7" t="s">
        <v>567</v>
      </c>
      <c r="C195" s="7" t="s">
        <v>568</v>
      </c>
      <c r="D195" s="7" t="s">
        <v>10</v>
      </c>
      <c r="E195" s="7" t="s">
        <v>93</v>
      </c>
      <c r="F195" s="7" t="s">
        <v>12</v>
      </c>
      <c r="G195" s="7" t="s">
        <v>13</v>
      </c>
    </row>
    <row r="196">
      <c r="A196" s="5" t="s">
        <v>569</v>
      </c>
      <c r="B196" s="5" t="s">
        <v>570</v>
      </c>
      <c r="C196" s="5" t="s">
        <v>571</v>
      </c>
      <c r="D196" s="5" t="s">
        <v>10</v>
      </c>
      <c r="E196" s="5" t="s">
        <v>444</v>
      </c>
      <c r="F196" s="5" t="s">
        <v>12</v>
      </c>
      <c r="G196" s="5" t="s">
        <v>13</v>
      </c>
    </row>
    <row r="197">
      <c r="A197" s="5" t="s">
        <v>572</v>
      </c>
      <c r="B197" s="5" t="s">
        <v>573</v>
      </c>
      <c r="C197" s="5" t="s">
        <v>574</v>
      </c>
      <c r="D197" s="5" t="s">
        <v>10</v>
      </c>
      <c r="E197" s="5" t="s">
        <v>444</v>
      </c>
      <c r="F197" s="5" t="s">
        <v>12</v>
      </c>
      <c r="G197" s="5" t="s">
        <v>13</v>
      </c>
    </row>
    <row r="198">
      <c r="A198" s="5" t="s">
        <v>575</v>
      </c>
      <c r="B198" s="5" t="s">
        <v>576</v>
      </c>
      <c r="C198" s="5" t="s">
        <v>577</v>
      </c>
      <c r="D198" s="5" t="s">
        <v>10</v>
      </c>
      <c r="E198" s="5" t="s">
        <v>93</v>
      </c>
      <c r="F198" s="5" t="s">
        <v>12</v>
      </c>
      <c r="G198" s="5" t="s">
        <v>13</v>
      </c>
    </row>
    <row r="199">
      <c r="A199" s="5" t="s">
        <v>578</v>
      </c>
      <c r="B199" s="5" t="s">
        <v>579</v>
      </c>
      <c r="C199" s="5" t="s">
        <v>580</v>
      </c>
      <c r="D199" s="5" t="s">
        <v>10</v>
      </c>
      <c r="E199" s="5" t="s">
        <v>93</v>
      </c>
      <c r="F199" s="5" t="s">
        <v>12</v>
      </c>
      <c r="G199" s="5" t="s">
        <v>13</v>
      </c>
    </row>
    <row r="200">
      <c r="A200" s="5" t="s">
        <v>581</v>
      </c>
      <c r="B200" s="5" t="s">
        <v>582</v>
      </c>
      <c r="C200" s="5" t="s">
        <v>583</v>
      </c>
      <c r="D200" s="5" t="s">
        <v>10</v>
      </c>
      <c r="E200" s="5" t="s">
        <v>93</v>
      </c>
      <c r="F200" s="5" t="s">
        <v>12</v>
      </c>
      <c r="G200" s="5" t="s">
        <v>13</v>
      </c>
    </row>
    <row r="201">
      <c r="A201" s="5" t="s">
        <v>584</v>
      </c>
      <c r="B201" s="5" t="s">
        <v>585</v>
      </c>
      <c r="C201" s="5" t="s">
        <v>586</v>
      </c>
      <c r="D201" s="5" t="s">
        <v>10</v>
      </c>
      <c r="E201" s="5" t="s">
        <v>11</v>
      </c>
      <c r="F201" s="5" t="s">
        <v>12</v>
      </c>
      <c r="G201" s="5" t="s">
        <v>13</v>
      </c>
    </row>
    <row r="202">
      <c r="A202" s="5" t="s">
        <v>587</v>
      </c>
      <c r="B202" s="5" t="s">
        <v>588</v>
      </c>
      <c r="C202" s="5" t="s">
        <v>589</v>
      </c>
      <c r="D202" s="5" t="s">
        <v>10</v>
      </c>
      <c r="E202" s="5" t="s">
        <v>11</v>
      </c>
      <c r="F202" s="5" t="s">
        <v>12</v>
      </c>
      <c r="G202" s="5" t="s">
        <v>13</v>
      </c>
    </row>
    <row r="203">
      <c r="A203" s="5" t="s">
        <v>590</v>
      </c>
      <c r="B203" s="5" t="s">
        <v>591</v>
      </c>
      <c r="C203" s="5" t="s">
        <v>592</v>
      </c>
      <c r="D203" s="5" t="s">
        <v>10</v>
      </c>
      <c r="E203" s="5" t="s">
        <v>11</v>
      </c>
      <c r="F203" s="5" t="s">
        <v>12</v>
      </c>
      <c r="G203" s="5" t="s">
        <v>13</v>
      </c>
    </row>
    <row r="204">
      <c r="A204" s="5" t="s">
        <v>593</v>
      </c>
      <c r="B204" s="5" t="s">
        <v>594</v>
      </c>
      <c r="C204" s="5" t="s">
        <v>595</v>
      </c>
      <c r="D204" s="5" t="s">
        <v>10</v>
      </c>
      <c r="E204" s="5" t="s">
        <v>11</v>
      </c>
      <c r="F204" s="5" t="s">
        <v>12</v>
      </c>
      <c r="G204" s="5" t="s">
        <v>13</v>
      </c>
    </row>
    <row r="205">
      <c r="A205" s="5" t="s">
        <v>596</v>
      </c>
      <c r="B205" s="5" t="s">
        <v>597</v>
      </c>
      <c r="C205" s="5" t="s">
        <v>598</v>
      </c>
      <c r="D205" s="5" t="s">
        <v>10</v>
      </c>
      <c r="E205" s="5" t="s">
        <v>11</v>
      </c>
      <c r="F205" s="5" t="s">
        <v>12</v>
      </c>
      <c r="G205" s="5" t="s">
        <v>13</v>
      </c>
    </row>
    <row r="206">
      <c r="A206" s="5" t="s">
        <v>599</v>
      </c>
      <c r="B206" s="5" t="s">
        <v>600</v>
      </c>
      <c r="C206" s="5" t="s">
        <v>601</v>
      </c>
      <c r="D206" s="5" t="s">
        <v>10</v>
      </c>
      <c r="E206" s="5" t="s">
        <v>11</v>
      </c>
      <c r="F206" s="5" t="s">
        <v>12</v>
      </c>
      <c r="G206" s="5" t="s">
        <v>13</v>
      </c>
    </row>
    <row r="207">
      <c r="A207" s="5" t="s">
        <v>602</v>
      </c>
      <c r="B207" s="5" t="s">
        <v>603</v>
      </c>
      <c r="C207" s="5" t="s">
        <v>604</v>
      </c>
      <c r="D207" s="5" t="s">
        <v>10</v>
      </c>
      <c r="E207" s="5" t="s">
        <v>11</v>
      </c>
      <c r="F207" s="5" t="s">
        <v>12</v>
      </c>
      <c r="G207" s="5" t="s">
        <v>13</v>
      </c>
    </row>
    <row r="208">
      <c r="A208" s="5" t="s">
        <v>605</v>
      </c>
      <c r="B208" s="5" t="s">
        <v>606</v>
      </c>
      <c r="C208" s="5" t="s">
        <v>607</v>
      </c>
      <c r="D208" s="5" t="s">
        <v>10</v>
      </c>
      <c r="E208" s="5" t="s">
        <v>11</v>
      </c>
      <c r="F208" s="5" t="s">
        <v>12</v>
      </c>
      <c r="G208" s="5" t="s">
        <v>13</v>
      </c>
    </row>
    <row r="209">
      <c r="A209" s="5" t="s">
        <v>608</v>
      </c>
      <c r="B209" s="5" t="s">
        <v>609</v>
      </c>
      <c r="C209" s="5" t="s">
        <v>610</v>
      </c>
      <c r="D209" s="5" t="s">
        <v>10</v>
      </c>
      <c r="E209" s="5" t="s">
        <v>11</v>
      </c>
      <c r="F209" s="5" t="s">
        <v>12</v>
      </c>
      <c r="G209" s="5" t="s">
        <v>13</v>
      </c>
    </row>
    <row r="210">
      <c r="A210" s="5" t="s">
        <v>611</v>
      </c>
      <c r="B210" s="5" t="s">
        <v>612</v>
      </c>
      <c r="C210" s="5" t="s">
        <v>613</v>
      </c>
      <c r="D210" s="5" t="s">
        <v>10</v>
      </c>
      <c r="E210" s="5" t="s">
        <v>11</v>
      </c>
      <c r="F210" s="5" t="s">
        <v>12</v>
      </c>
      <c r="G210" s="5" t="s">
        <v>13</v>
      </c>
    </row>
    <row r="211">
      <c r="A211" s="5" t="s">
        <v>614</v>
      </c>
      <c r="B211" s="5" t="s">
        <v>615</v>
      </c>
      <c r="C211" s="5" t="s">
        <v>616</v>
      </c>
      <c r="D211" s="5" t="s">
        <v>10</v>
      </c>
      <c r="E211" s="5" t="s">
        <v>11</v>
      </c>
      <c r="F211" s="5" t="s">
        <v>12</v>
      </c>
      <c r="G211" s="5" t="s">
        <v>13</v>
      </c>
    </row>
    <row r="212">
      <c r="A212" s="5" t="s">
        <v>617</v>
      </c>
      <c r="B212" s="5" t="s">
        <v>618</v>
      </c>
      <c r="C212" s="5" t="s">
        <v>619</v>
      </c>
      <c r="D212" s="5" t="s">
        <v>10</v>
      </c>
      <c r="E212" s="5" t="s">
        <v>11</v>
      </c>
      <c r="F212" s="5" t="s">
        <v>12</v>
      </c>
      <c r="G212" s="5" t="s">
        <v>13</v>
      </c>
    </row>
    <row r="213">
      <c r="A213" s="5" t="s">
        <v>620</v>
      </c>
      <c r="B213" s="5" t="s">
        <v>621</v>
      </c>
      <c r="C213" s="5" t="s">
        <v>622</v>
      </c>
      <c r="D213" s="5" t="s">
        <v>10</v>
      </c>
      <c r="E213" s="5" t="s">
        <v>11</v>
      </c>
      <c r="F213" s="5" t="s">
        <v>12</v>
      </c>
      <c r="G213" s="5" t="s">
        <v>13</v>
      </c>
    </row>
    <row r="214">
      <c r="A214" s="5" t="s">
        <v>623</v>
      </c>
      <c r="B214" s="5" t="s">
        <v>624</v>
      </c>
      <c r="C214" s="5" t="s">
        <v>625</v>
      </c>
      <c r="D214" s="5" t="s">
        <v>10</v>
      </c>
      <c r="E214" s="5" t="s">
        <v>11</v>
      </c>
      <c r="F214" s="5" t="s">
        <v>12</v>
      </c>
      <c r="G214" s="5" t="s">
        <v>13</v>
      </c>
    </row>
    <row r="215">
      <c r="A215" s="5" t="s">
        <v>626</v>
      </c>
      <c r="B215" s="5" t="s">
        <v>627</v>
      </c>
      <c r="C215" s="5" t="s">
        <v>628</v>
      </c>
      <c r="D215" s="5" t="s">
        <v>10</v>
      </c>
      <c r="E215" s="5" t="s">
        <v>11</v>
      </c>
      <c r="F215" s="5" t="s">
        <v>12</v>
      </c>
      <c r="G215" s="5" t="s">
        <v>13</v>
      </c>
    </row>
    <row r="216">
      <c r="A216" s="5" t="s">
        <v>629</v>
      </c>
      <c r="B216" s="5" t="s">
        <v>630</v>
      </c>
      <c r="C216" s="5" t="s">
        <v>631</v>
      </c>
      <c r="D216" s="5" t="s">
        <v>10</v>
      </c>
      <c r="E216" s="5" t="s">
        <v>11</v>
      </c>
      <c r="F216" s="5" t="s">
        <v>12</v>
      </c>
      <c r="G216" s="5" t="s">
        <v>13</v>
      </c>
    </row>
    <row r="217">
      <c r="A217" s="5" t="s">
        <v>632</v>
      </c>
      <c r="B217" s="5" t="s">
        <v>633</v>
      </c>
      <c r="C217" s="5" t="s">
        <v>634</v>
      </c>
      <c r="D217" s="5" t="s">
        <v>10</v>
      </c>
      <c r="E217" s="5" t="s">
        <v>11</v>
      </c>
      <c r="F217" s="5" t="s">
        <v>12</v>
      </c>
      <c r="G217" s="5" t="s">
        <v>13</v>
      </c>
    </row>
    <row r="218">
      <c r="A218" s="5" t="s">
        <v>635</v>
      </c>
      <c r="B218" s="5" t="s">
        <v>636</v>
      </c>
      <c r="C218" s="5" t="s">
        <v>637</v>
      </c>
      <c r="D218" s="5" t="s">
        <v>10</v>
      </c>
      <c r="E218" s="5" t="s">
        <v>11</v>
      </c>
      <c r="F218" s="5" t="s">
        <v>12</v>
      </c>
      <c r="G218" s="5" t="s">
        <v>13</v>
      </c>
    </row>
    <row r="219">
      <c r="A219" s="5" t="s">
        <v>638</v>
      </c>
      <c r="B219" s="5" t="s">
        <v>639</v>
      </c>
      <c r="C219" s="5" t="s">
        <v>640</v>
      </c>
      <c r="D219" s="5" t="s">
        <v>10</v>
      </c>
      <c r="E219" s="5" t="s">
        <v>11</v>
      </c>
      <c r="F219" s="5" t="s">
        <v>12</v>
      </c>
      <c r="G219" s="5" t="s">
        <v>13</v>
      </c>
    </row>
    <row r="220">
      <c r="A220" s="5" t="s">
        <v>641</v>
      </c>
      <c r="B220" s="5">
        <v>6.0019772E7</v>
      </c>
      <c r="C220" s="5" t="s">
        <v>642</v>
      </c>
      <c r="D220" s="5" t="s">
        <v>10</v>
      </c>
      <c r="E220" s="5" t="s">
        <v>214</v>
      </c>
      <c r="F220" s="5" t="s">
        <v>12</v>
      </c>
      <c r="G220" s="5" t="s">
        <v>36</v>
      </c>
    </row>
    <row r="221">
      <c r="A221" s="7" t="s">
        <v>643</v>
      </c>
      <c r="B221" s="7">
        <v>6.001978E7</v>
      </c>
      <c r="C221" s="7" t="s">
        <v>644</v>
      </c>
      <c r="D221" s="7" t="s">
        <v>10</v>
      </c>
      <c r="E221" s="7" t="s">
        <v>214</v>
      </c>
      <c r="F221" s="7" t="s">
        <v>12</v>
      </c>
      <c r="G221" s="7" t="s">
        <v>36</v>
      </c>
    </row>
    <row r="222">
      <c r="A222" s="5" t="s">
        <v>645</v>
      </c>
      <c r="B222" s="5">
        <v>6.0019778E7</v>
      </c>
      <c r="C222" s="5" t="s">
        <v>646</v>
      </c>
      <c r="D222" s="5" t="s">
        <v>10</v>
      </c>
      <c r="E222" s="5" t="s">
        <v>214</v>
      </c>
      <c r="F222" s="5" t="s">
        <v>12</v>
      </c>
      <c r="G222" s="5" t="s">
        <v>36</v>
      </c>
    </row>
    <row r="223">
      <c r="A223" s="5" t="s">
        <v>647</v>
      </c>
      <c r="B223" s="5" t="s">
        <v>648</v>
      </c>
      <c r="C223" s="5" t="s">
        <v>649</v>
      </c>
      <c r="D223" s="5" t="s">
        <v>10</v>
      </c>
      <c r="E223" s="5" t="s">
        <v>650</v>
      </c>
      <c r="F223" s="5" t="s">
        <v>12</v>
      </c>
      <c r="G223" s="5" t="s">
        <v>36</v>
      </c>
    </row>
    <row r="224">
      <c r="A224" s="5" t="s">
        <v>651</v>
      </c>
      <c r="B224" s="5" t="s">
        <v>652</v>
      </c>
      <c r="C224" s="5" t="s">
        <v>653</v>
      </c>
      <c r="D224" s="5" t="s">
        <v>10</v>
      </c>
      <c r="E224" s="5" t="s">
        <v>650</v>
      </c>
      <c r="F224" s="5" t="s">
        <v>12</v>
      </c>
      <c r="G224" s="5" t="s">
        <v>36</v>
      </c>
    </row>
    <row r="225">
      <c r="A225" s="7" t="s">
        <v>654</v>
      </c>
      <c r="B225" s="7" t="s">
        <v>655</v>
      </c>
      <c r="C225" s="7" t="s">
        <v>656</v>
      </c>
      <c r="D225" s="7" t="s">
        <v>10</v>
      </c>
      <c r="E225" s="7" t="s">
        <v>93</v>
      </c>
      <c r="F225" s="7" t="s">
        <v>12</v>
      </c>
      <c r="G225" s="7" t="s">
        <v>13</v>
      </c>
    </row>
    <row r="226">
      <c r="A226" s="6" t="s">
        <v>657</v>
      </c>
      <c r="B226" s="6">
        <v>6.0019813E7</v>
      </c>
      <c r="C226" s="6" t="s">
        <v>658</v>
      </c>
      <c r="D226" s="6" t="s">
        <v>10</v>
      </c>
      <c r="E226" s="6" t="s">
        <v>214</v>
      </c>
      <c r="F226" s="6" t="s">
        <v>12</v>
      </c>
      <c r="G226" s="6" t="s">
        <v>36</v>
      </c>
    </row>
    <row r="227">
      <c r="A227" s="6" t="s">
        <v>659</v>
      </c>
      <c r="B227" s="6">
        <v>6.0019812E7</v>
      </c>
      <c r="C227" s="6" t="s">
        <v>660</v>
      </c>
      <c r="D227" s="6" t="s">
        <v>10</v>
      </c>
      <c r="E227" s="6" t="s">
        <v>214</v>
      </c>
      <c r="F227" s="6" t="s">
        <v>12</v>
      </c>
      <c r="G227" s="6" t="s">
        <v>36</v>
      </c>
    </row>
    <row r="228">
      <c r="A228" s="6" t="s">
        <v>661</v>
      </c>
      <c r="B228" s="6">
        <v>6.0019814E7</v>
      </c>
      <c r="C228" s="6" t="s">
        <v>662</v>
      </c>
      <c r="D228" s="6" t="s">
        <v>10</v>
      </c>
      <c r="E228" s="6" t="s">
        <v>214</v>
      </c>
      <c r="F228" s="6" t="s">
        <v>12</v>
      </c>
      <c r="G228" s="6" t="s">
        <v>36</v>
      </c>
    </row>
    <row r="229">
      <c r="A229" s="5" t="s">
        <v>663</v>
      </c>
      <c r="B229" s="5" t="s">
        <v>664</v>
      </c>
      <c r="C229" s="5" t="s">
        <v>665</v>
      </c>
      <c r="D229" s="5" t="s">
        <v>10</v>
      </c>
      <c r="E229" s="5" t="s">
        <v>35</v>
      </c>
      <c r="F229" s="5" t="s">
        <v>12</v>
      </c>
      <c r="G229" s="5" t="s">
        <v>36</v>
      </c>
    </row>
    <row r="230">
      <c r="A230" s="6" t="s">
        <v>666</v>
      </c>
      <c r="B230" s="6">
        <v>6.0019811E7</v>
      </c>
      <c r="C230" s="6" t="s">
        <v>667</v>
      </c>
      <c r="D230" s="6" t="s">
        <v>10</v>
      </c>
      <c r="E230" s="6" t="s">
        <v>214</v>
      </c>
      <c r="F230" s="6" t="s">
        <v>12</v>
      </c>
      <c r="G230" s="6" t="s">
        <v>36</v>
      </c>
    </row>
    <row r="231">
      <c r="A231" s="5" t="s">
        <v>668</v>
      </c>
      <c r="B231" s="5" t="s">
        <v>669</v>
      </c>
      <c r="C231" s="5" t="s">
        <v>670</v>
      </c>
      <c r="D231" s="5" t="s">
        <v>10</v>
      </c>
      <c r="E231" s="5" t="s">
        <v>35</v>
      </c>
      <c r="F231" s="5" t="s">
        <v>12</v>
      </c>
      <c r="G231" s="5" t="s">
        <v>36</v>
      </c>
    </row>
    <row r="232">
      <c r="A232" s="5" t="s">
        <v>671</v>
      </c>
      <c r="B232" s="5" t="s">
        <v>672</v>
      </c>
      <c r="C232" s="5" t="s">
        <v>673</v>
      </c>
      <c r="D232" s="5" t="s">
        <v>10</v>
      </c>
      <c r="E232" s="5" t="s">
        <v>131</v>
      </c>
      <c r="F232" s="5" t="s">
        <v>12</v>
      </c>
      <c r="G232" s="5" t="s">
        <v>36</v>
      </c>
    </row>
    <row r="233">
      <c r="A233" s="5" t="s">
        <v>674</v>
      </c>
      <c r="B233" s="5" t="s">
        <v>675</v>
      </c>
      <c r="C233" s="5" t="s">
        <v>676</v>
      </c>
      <c r="D233" s="5" t="s">
        <v>10</v>
      </c>
      <c r="E233" s="5" t="s">
        <v>35</v>
      </c>
      <c r="F233" s="5" t="s">
        <v>12</v>
      </c>
      <c r="G233" s="5" t="s">
        <v>36</v>
      </c>
    </row>
    <row r="234">
      <c r="A234" s="5" t="s">
        <v>677</v>
      </c>
      <c r="B234" s="5" t="s">
        <v>678</v>
      </c>
      <c r="C234" s="5" t="s">
        <v>679</v>
      </c>
      <c r="D234" s="5" t="s">
        <v>10</v>
      </c>
      <c r="E234" s="5" t="s">
        <v>35</v>
      </c>
      <c r="F234" s="5" t="s">
        <v>12</v>
      </c>
      <c r="G234" s="5" t="s">
        <v>36</v>
      </c>
    </row>
    <row r="235">
      <c r="A235" s="5" t="s">
        <v>680</v>
      </c>
      <c r="B235" s="5" t="s">
        <v>681</v>
      </c>
      <c r="C235" s="5" t="s">
        <v>682</v>
      </c>
      <c r="D235" s="5" t="s">
        <v>10</v>
      </c>
      <c r="E235" s="5" t="s">
        <v>35</v>
      </c>
      <c r="F235" s="5" t="s">
        <v>12</v>
      </c>
      <c r="G235" s="5" t="s">
        <v>36</v>
      </c>
    </row>
    <row r="236">
      <c r="A236" s="5" t="s">
        <v>683</v>
      </c>
      <c r="B236" s="5" t="s">
        <v>684</v>
      </c>
      <c r="C236" s="5" t="s">
        <v>685</v>
      </c>
      <c r="D236" s="5" t="s">
        <v>10</v>
      </c>
      <c r="E236" s="5" t="s">
        <v>35</v>
      </c>
      <c r="F236" s="5" t="s">
        <v>12</v>
      </c>
      <c r="G236" s="5" t="s">
        <v>36</v>
      </c>
    </row>
    <row r="237">
      <c r="A237" s="6" t="s">
        <v>686</v>
      </c>
      <c r="B237" s="6" t="s">
        <v>687</v>
      </c>
      <c r="C237" s="6" t="s">
        <v>688</v>
      </c>
      <c r="D237" s="6" t="s">
        <v>10</v>
      </c>
      <c r="E237" s="6" t="s">
        <v>40</v>
      </c>
      <c r="F237" s="6" t="s">
        <v>12</v>
      </c>
      <c r="G237" s="6" t="s">
        <v>36</v>
      </c>
    </row>
    <row r="238">
      <c r="A238" s="6" t="s">
        <v>689</v>
      </c>
      <c r="B238" s="6" t="s">
        <v>690</v>
      </c>
      <c r="C238" s="8"/>
      <c r="D238" s="6" t="s">
        <v>10</v>
      </c>
      <c r="E238" s="6" t="e">
        <v>#N/A</v>
      </c>
      <c r="F238" s="6" t="s">
        <v>12</v>
      </c>
      <c r="G238" s="6" t="e">
        <v>#N/A</v>
      </c>
    </row>
    <row r="239">
      <c r="A239" s="5" t="s">
        <v>691</v>
      </c>
      <c r="B239" s="5" t="s">
        <v>692</v>
      </c>
      <c r="C239" s="5" t="s">
        <v>693</v>
      </c>
      <c r="D239" s="5" t="s">
        <v>10</v>
      </c>
      <c r="E239" s="5" t="s">
        <v>35</v>
      </c>
      <c r="F239" s="5" t="s">
        <v>12</v>
      </c>
      <c r="G239" s="5" t="s">
        <v>36</v>
      </c>
    </row>
    <row r="240">
      <c r="A240" s="5" t="s">
        <v>694</v>
      </c>
      <c r="B240" s="5">
        <v>6.0019796E7</v>
      </c>
      <c r="C240" s="5" t="s">
        <v>695</v>
      </c>
      <c r="D240" s="5" t="s">
        <v>10</v>
      </c>
      <c r="E240" s="5" t="s">
        <v>214</v>
      </c>
      <c r="F240" s="5" t="s">
        <v>12</v>
      </c>
      <c r="G240" s="5" t="s">
        <v>36</v>
      </c>
    </row>
    <row r="241">
      <c r="A241" s="5" t="s">
        <v>696</v>
      </c>
      <c r="B241" s="5">
        <v>6.0019795E7</v>
      </c>
      <c r="C241" s="5" t="s">
        <v>697</v>
      </c>
      <c r="D241" s="5" t="s">
        <v>10</v>
      </c>
      <c r="E241" s="5" t="s">
        <v>214</v>
      </c>
      <c r="F241" s="5" t="s">
        <v>12</v>
      </c>
      <c r="G241" s="5" t="s">
        <v>36</v>
      </c>
    </row>
    <row r="242">
      <c r="A242" s="5" t="s">
        <v>698</v>
      </c>
      <c r="B242" s="5">
        <v>6.0019794E7</v>
      </c>
      <c r="C242" s="5" t="s">
        <v>699</v>
      </c>
      <c r="D242" s="5" t="s">
        <v>10</v>
      </c>
      <c r="E242" s="5" t="s">
        <v>214</v>
      </c>
      <c r="F242" s="5" t="s">
        <v>12</v>
      </c>
      <c r="G242" s="5" t="s">
        <v>36</v>
      </c>
    </row>
    <row r="243">
      <c r="A243" s="5" t="s">
        <v>700</v>
      </c>
      <c r="B243" s="5">
        <v>6.0019793E7</v>
      </c>
      <c r="C243" s="5" t="s">
        <v>701</v>
      </c>
      <c r="D243" s="5" t="s">
        <v>10</v>
      </c>
      <c r="E243" s="5" t="s">
        <v>214</v>
      </c>
      <c r="F243" s="5" t="s">
        <v>12</v>
      </c>
      <c r="G243" s="5" t="s">
        <v>36</v>
      </c>
    </row>
    <row r="244">
      <c r="A244" s="5" t="s">
        <v>702</v>
      </c>
      <c r="B244" s="5">
        <v>6.0019776E7</v>
      </c>
      <c r="C244" s="5" t="s">
        <v>703</v>
      </c>
      <c r="D244" s="5" t="s">
        <v>10</v>
      </c>
      <c r="E244" s="5" t="s">
        <v>214</v>
      </c>
      <c r="F244" s="5" t="s">
        <v>12</v>
      </c>
      <c r="G244" s="5" t="s">
        <v>36</v>
      </c>
    </row>
    <row r="245">
      <c r="A245" s="5" t="s">
        <v>704</v>
      </c>
      <c r="B245" s="5">
        <v>6.0019783E7</v>
      </c>
      <c r="C245" s="5" t="s">
        <v>705</v>
      </c>
      <c r="D245" s="5" t="s">
        <v>10</v>
      </c>
      <c r="E245" s="5" t="s">
        <v>214</v>
      </c>
      <c r="F245" s="5" t="s">
        <v>12</v>
      </c>
      <c r="G245" s="5" t="s">
        <v>36</v>
      </c>
    </row>
    <row r="246">
      <c r="A246" s="5" t="s">
        <v>706</v>
      </c>
      <c r="B246" s="5">
        <v>6.001979E7</v>
      </c>
      <c r="C246" s="5" t="s">
        <v>707</v>
      </c>
      <c r="D246" s="5" t="s">
        <v>10</v>
      </c>
      <c r="E246" s="5" t="s">
        <v>214</v>
      </c>
      <c r="F246" s="5" t="s">
        <v>12</v>
      </c>
      <c r="G246" s="5" t="s">
        <v>36</v>
      </c>
    </row>
    <row r="247">
      <c r="A247" s="5" t="s">
        <v>708</v>
      </c>
      <c r="B247" s="5">
        <v>6.0019782E7</v>
      </c>
      <c r="C247" s="5" t="s">
        <v>709</v>
      </c>
      <c r="D247" s="5" t="s">
        <v>10</v>
      </c>
      <c r="E247" s="5" t="s">
        <v>214</v>
      </c>
      <c r="F247" s="5" t="s">
        <v>12</v>
      </c>
      <c r="G247" s="5" t="s">
        <v>36</v>
      </c>
    </row>
    <row r="248">
      <c r="A248" s="7" t="s">
        <v>710</v>
      </c>
      <c r="B248" s="7">
        <v>6.0019788E7</v>
      </c>
      <c r="C248" s="7" t="s">
        <v>711</v>
      </c>
      <c r="D248" s="7" t="s">
        <v>10</v>
      </c>
      <c r="E248" s="7" t="s">
        <v>214</v>
      </c>
      <c r="F248" s="7" t="s">
        <v>12</v>
      </c>
      <c r="G248" s="7" t="s">
        <v>36</v>
      </c>
    </row>
    <row r="249">
      <c r="A249" s="7" t="s">
        <v>712</v>
      </c>
      <c r="B249" s="7">
        <v>6.0019774E7</v>
      </c>
      <c r="C249" s="7" t="s">
        <v>713</v>
      </c>
      <c r="D249" s="7" t="s">
        <v>10</v>
      </c>
      <c r="E249" s="7" t="s">
        <v>214</v>
      </c>
      <c r="F249" s="7" t="s">
        <v>12</v>
      </c>
      <c r="G249" s="7" t="s">
        <v>36</v>
      </c>
    </row>
    <row r="250">
      <c r="A250" s="7" t="s">
        <v>714</v>
      </c>
      <c r="B250" s="7">
        <v>6.0019781E7</v>
      </c>
      <c r="C250" s="7" t="s">
        <v>715</v>
      </c>
      <c r="D250" s="7" t="s">
        <v>10</v>
      </c>
      <c r="E250" s="7" t="s">
        <v>214</v>
      </c>
      <c r="F250" s="7" t="s">
        <v>12</v>
      </c>
      <c r="G250" s="7" t="s">
        <v>36</v>
      </c>
    </row>
    <row r="251">
      <c r="A251" s="5" t="s">
        <v>716</v>
      </c>
      <c r="B251" s="5">
        <v>6.0019775E7</v>
      </c>
      <c r="C251" s="5" t="s">
        <v>717</v>
      </c>
      <c r="D251" s="5" t="s">
        <v>10</v>
      </c>
      <c r="E251" s="5" t="s">
        <v>214</v>
      </c>
      <c r="F251" s="5" t="s">
        <v>12</v>
      </c>
      <c r="G251" s="5" t="s">
        <v>36</v>
      </c>
    </row>
    <row r="252">
      <c r="A252" s="5" t="s">
        <v>718</v>
      </c>
      <c r="B252" s="5">
        <v>6.0019791E7</v>
      </c>
      <c r="C252" s="5" t="s">
        <v>719</v>
      </c>
      <c r="D252" s="5" t="s">
        <v>10</v>
      </c>
      <c r="E252" s="5" t="s">
        <v>214</v>
      </c>
      <c r="F252" s="5" t="s">
        <v>12</v>
      </c>
      <c r="G252" s="5" t="s">
        <v>36</v>
      </c>
    </row>
    <row r="253">
      <c r="A253" s="6" t="s">
        <v>720</v>
      </c>
      <c r="B253" s="6">
        <v>6.0019789E7</v>
      </c>
      <c r="C253" s="6" t="s">
        <v>721</v>
      </c>
      <c r="D253" s="6" t="s">
        <v>10</v>
      </c>
      <c r="E253" s="6" t="s">
        <v>214</v>
      </c>
      <c r="F253" s="6" t="s">
        <v>12</v>
      </c>
      <c r="G253" s="6" t="s">
        <v>36</v>
      </c>
    </row>
    <row r="254">
      <c r="A254" s="5" t="s">
        <v>722</v>
      </c>
      <c r="B254" s="5" t="s">
        <v>723</v>
      </c>
      <c r="C254" s="5" t="s">
        <v>724</v>
      </c>
      <c r="D254" s="5" t="s">
        <v>10</v>
      </c>
      <c r="E254" s="5" t="s">
        <v>93</v>
      </c>
      <c r="F254" s="5" t="s">
        <v>12</v>
      </c>
      <c r="G254" s="5" t="s">
        <v>13</v>
      </c>
    </row>
    <row r="255">
      <c r="A255" s="5" t="s">
        <v>725</v>
      </c>
      <c r="B255" s="5">
        <v>6.0019792E7</v>
      </c>
      <c r="C255" s="5" t="s">
        <v>726</v>
      </c>
      <c r="D255" s="5" t="s">
        <v>10</v>
      </c>
      <c r="E255" s="5" t="s">
        <v>214</v>
      </c>
      <c r="F255" s="5" t="s">
        <v>12</v>
      </c>
      <c r="G255" s="5" t="s">
        <v>36</v>
      </c>
    </row>
    <row r="256">
      <c r="A256" s="7" t="s">
        <v>727</v>
      </c>
      <c r="B256" s="7">
        <v>6.0019779E7</v>
      </c>
      <c r="C256" s="7" t="s">
        <v>728</v>
      </c>
      <c r="D256" s="7" t="s">
        <v>10</v>
      </c>
      <c r="E256" s="7" t="s">
        <v>214</v>
      </c>
      <c r="F256" s="7" t="s">
        <v>12</v>
      </c>
      <c r="G256" s="7" t="s">
        <v>36</v>
      </c>
    </row>
    <row r="257">
      <c r="A257" s="5" t="s">
        <v>729</v>
      </c>
      <c r="B257" s="5">
        <v>6.0019785E7</v>
      </c>
      <c r="C257" s="5" t="s">
        <v>730</v>
      </c>
      <c r="D257" s="5" t="s">
        <v>10</v>
      </c>
      <c r="E257" s="5" t="s">
        <v>214</v>
      </c>
      <c r="F257" s="5" t="s">
        <v>12</v>
      </c>
      <c r="G257" s="5" t="s">
        <v>36</v>
      </c>
    </row>
    <row r="258">
      <c r="A258" s="5" t="s">
        <v>731</v>
      </c>
      <c r="B258" s="5">
        <v>6.0019773E7</v>
      </c>
      <c r="C258" s="5" t="s">
        <v>732</v>
      </c>
      <c r="D258" s="5" t="s">
        <v>10</v>
      </c>
      <c r="E258" s="5" t="s">
        <v>214</v>
      </c>
      <c r="F258" s="5" t="s">
        <v>12</v>
      </c>
      <c r="G258" s="5" t="s">
        <v>36</v>
      </c>
    </row>
    <row r="259">
      <c r="A259" s="5" t="s">
        <v>733</v>
      </c>
      <c r="B259" s="5" t="s">
        <v>734</v>
      </c>
      <c r="C259" s="5" t="s">
        <v>735</v>
      </c>
      <c r="D259" s="5" t="s">
        <v>10</v>
      </c>
      <c r="E259" s="5" t="s">
        <v>93</v>
      </c>
      <c r="F259" s="5" t="s">
        <v>12</v>
      </c>
      <c r="G259" s="5" t="s">
        <v>13</v>
      </c>
    </row>
    <row r="260">
      <c r="A260" s="5" t="s">
        <v>736</v>
      </c>
      <c r="B260" s="5">
        <v>6.0019786E7</v>
      </c>
      <c r="C260" s="5" t="s">
        <v>737</v>
      </c>
      <c r="D260" s="5" t="s">
        <v>10</v>
      </c>
      <c r="E260" s="5" t="s">
        <v>214</v>
      </c>
      <c r="F260" s="5" t="s">
        <v>12</v>
      </c>
      <c r="G260" s="5" t="s">
        <v>36</v>
      </c>
    </row>
    <row r="261">
      <c r="A261" s="5" t="s">
        <v>738</v>
      </c>
      <c r="B261" s="5">
        <v>6.0019784E7</v>
      </c>
      <c r="C261" s="5" t="s">
        <v>739</v>
      </c>
      <c r="D261" s="5" t="s">
        <v>10</v>
      </c>
      <c r="E261" s="5" t="s">
        <v>214</v>
      </c>
      <c r="F261" s="5" t="s">
        <v>12</v>
      </c>
      <c r="G261" s="5" t="s">
        <v>36</v>
      </c>
    </row>
    <row r="262">
      <c r="A262" s="5" t="s">
        <v>740</v>
      </c>
      <c r="B262" s="5" t="s">
        <v>741</v>
      </c>
      <c r="C262" s="5" t="s">
        <v>742</v>
      </c>
      <c r="D262" s="5" t="s">
        <v>10</v>
      </c>
      <c r="E262" s="5" t="s">
        <v>444</v>
      </c>
      <c r="F262" s="5" t="s">
        <v>12</v>
      </c>
      <c r="G262" s="5" t="s">
        <v>13</v>
      </c>
    </row>
    <row r="263">
      <c r="A263" s="5" t="s">
        <v>743</v>
      </c>
      <c r="B263" s="5">
        <v>6.0019787E7</v>
      </c>
      <c r="C263" s="5" t="s">
        <v>744</v>
      </c>
      <c r="D263" s="5" t="s">
        <v>10</v>
      </c>
      <c r="E263" s="5" t="s">
        <v>214</v>
      </c>
      <c r="F263" s="5" t="s">
        <v>12</v>
      </c>
      <c r="G263" s="5" t="s">
        <v>36</v>
      </c>
    </row>
    <row r="264">
      <c r="A264" s="5" t="s">
        <v>745</v>
      </c>
      <c r="B264" s="5">
        <v>6.0019777E7</v>
      </c>
      <c r="C264" s="5" t="s">
        <v>746</v>
      </c>
      <c r="D264" s="5" t="s">
        <v>10</v>
      </c>
      <c r="E264" s="5" t="s">
        <v>214</v>
      </c>
      <c r="F264" s="5" t="s">
        <v>12</v>
      </c>
      <c r="G264" s="5" t="s">
        <v>36</v>
      </c>
    </row>
    <row r="265">
      <c r="A265" s="5" t="s">
        <v>747</v>
      </c>
      <c r="B265" s="5" t="s">
        <v>748</v>
      </c>
      <c r="C265" s="5" t="s">
        <v>749</v>
      </c>
      <c r="D265" s="5" t="s">
        <v>10</v>
      </c>
      <c r="E265" s="5" t="s">
        <v>35</v>
      </c>
      <c r="F265" s="5" t="s">
        <v>12</v>
      </c>
      <c r="G265" s="5" t="s">
        <v>36</v>
      </c>
    </row>
    <row r="266">
      <c r="A266" s="5" t="s">
        <v>750</v>
      </c>
      <c r="B266" s="5" t="s">
        <v>751</v>
      </c>
      <c r="C266" s="5" t="s">
        <v>752</v>
      </c>
      <c r="D266" s="5" t="s">
        <v>10</v>
      </c>
      <c r="E266" s="5" t="s">
        <v>89</v>
      </c>
      <c r="F266" s="5" t="s">
        <v>12</v>
      </c>
      <c r="G266" s="5" t="s">
        <v>36</v>
      </c>
    </row>
    <row r="267">
      <c r="A267" s="7" t="s">
        <v>753</v>
      </c>
      <c r="B267" s="7" t="s">
        <v>754</v>
      </c>
      <c r="C267" s="7" t="s">
        <v>755</v>
      </c>
      <c r="D267" s="7" t="s">
        <v>10</v>
      </c>
      <c r="E267" s="7" t="s">
        <v>756</v>
      </c>
      <c r="F267" s="7" t="s">
        <v>12</v>
      </c>
      <c r="G267" s="7" t="s">
        <v>36</v>
      </c>
    </row>
    <row r="268">
      <c r="A268" s="7" t="s">
        <v>757</v>
      </c>
      <c r="B268" s="7" t="s">
        <v>758</v>
      </c>
      <c r="C268" s="7" t="s">
        <v>759</v>
      </c>
      <c r="D268" s="7" t="s">
        <v>10</v>
      </c>
      <c r="E268" s="7" t="s">
        <v>47</v>
      </c>
      <c r="F268" s="7" t="s">
        <v>12</v>
      </c>
      <c r="G268" s="7" t="s">
        <v>13</v>
      </c>
    </row>
    <row r="269">
      <c r="A269" s="5" t="s">
        <v>760</v>
      </c>
      <c r="B269" s="5" t="s">
        <v>761</v>
      </c>
      <c r="C269" s="5" t="s">
        <v>762</v>
      </c>
      <c r="D269" s="5" t="s">
        <v>10</v>
      </c>
      <c r="E269" s="5" t="s">
        <v>35</v>
      </c>
      <c r="F269" s="5" t="s">
        <v>12</v>
      </c>
      <c r="G269" s="5" t="s">
        <v>36</v>
      </c>
    </row>
    <row r="270">
      <c r="A270" s="5" t="s">
        <v>763</v>
      </c>
      <c r="B270" s="5" t="s">
        <v>764</v>
      </c>
      <c r="C270" s="5" t="s">
        <v>765</v>
      </c>
      <c r="D270" s="5" t="s">
        <v>10</v>
      </c>
      <c r="E270" s="5" t="s">
        <v>35</v>
      </c>
      <c r="F270" s="5" t="s">
        <v>12</v>
      </c>
      <c r="G270" s="5" t="s">
        <v>36</v>
      </c>
    </row>
    <row r="271">
      <c r="A271" s="7" t="s">
        <v>766</v>
      </c>
      <c r="B271" s="7" t="s">
        <v>767</v>
      </c>
      <c r="C271" s="7" t="s">
        <v>768</v>
      </c>
      <c r="D271" s="7" t="s">
        <v>10</v>
      </c>
      <c r="E271" s="7" t="s">
        <v>89</v>
      </c>
      <c r="F271" s="7" t="s">
        <v>12</v>
      </c>
      <c r="G271" s="7" t="s">
        <v>36</v>
      </c>
    </row>
    <row r="272">
      <c r="A272" s="6" t="s">
        <v>769</v>
      </c>
      <c r="B272" s="6" t="s">
        <v>770</v>
      </c>
      <c r="C272" s="6" t="s">
        <v>771</v>
      </c>
      <c r="D272" s="6" t="s">
        <v>10</v>
      </c>
      <c r="E272" s="6" t="s">
        <v>35</v>
      </c>
      <c r="F272" s="6" t="s">
        <v>12</v>
      </c>
      <c r="G272" s="6" t="s">
        <v>36</v>
      </c>
    </row>
    <row r="273">
      <c r="A273" s="5" t="s">
        <v>772</v>
      </c>
      <c r="B273" s="5" t="s">
        <v>773</v>
      </c>
      <c r="C273" s="5" t="s">
        <v>774</v>
      </c>
      <c r="D273" s="5" t="s">
        <v>10</v>
      </c>
      <c r="E273" s="5" t="s">
        <v>775</v>
      </c>
      <c r="F273" s="5" t="s">
        <v>12</v>
      </c>
      <c r="G273" s="5" t="s">
        <v>79</v>
      </c>
    </row>
    <row r="274">
      <c r="A274" s="10" t="s">
        <v>776</v>
      </c>
      <c r="B274" s="10" t="s">
        <v>777</v>
      </c>
      <c r="C274" s="10" t="s">
        <v>778</v>
      </c>
      <c r="D274" s="10" t="s">
        <v>10</v>
      </c>
      <c r="E274" s="10" t="s">
        <v>775</v>
      </c>
      <c r="F274" s="10" t="s">
        <v>12</v>
      </c>
      <c r="G274" s="10" t="s">
        <v>79</v>
      </c>
    </row>
    <row r="275">
      <c r="A275" s="10" t="s">
        <v>779</v>
      </c>
      <c r="B275" s="10" t="s">
        <v>780</v>
      </c>
      <c r="C275" s="10" t="s">
        <v>781</v>
      </c>
      <c r="D275" s="10" t="s">
        <v>10</v>
      </c>
      <c r="E275" s="10" t="s">
        <v>11</v>
      </c>
      <c r="F275" s="10" t="s">
        <v>12</v>
      </c>
      <c r="G275" s="10" t="s">
        <v>13</v>
      </c>
    </row>
    <row r="276">
      <c r="A276" s="5" t="s">
        <v>782</v>
      </c>
      <c r="B276" s="5" t="s">
        <v>783</v>
      </c>
      <c r="C276" s="5" t="s">
        <v>784</v>
      </c>
      <c r="D276" s="5" t="s">
        <v>10</v>
      </c>
      <c r="E276" s="5" t="s">
        <v>775</v>
      </c>
      <c r="F276" s="5" t="s">
        <v>12</v>
      </c>
      <c r="G276" s="5" t="s">
        <v>79</v>
      </c>
    </row>
    <row r="277">
      <c r="A277" s="7" t="s">
        <v>785</v>
      </c>
      <c r="B277" s="7" t="s">
        <v>786</v>
      </c>
      <c r="C277" s="7" t="s">
        <v>787</v>
      </c>
      <c r="D277" s="7" t="s">
        <v>10</v>
      </c>
      <c r="E277" s="7" t="s">
        <v>11</v>
      </c>
      <c r="F277" s="7" t="s">
        <v>12</v>
      </c>
      <c r="G277" s="7" t="s">
        <v>13</v>
      </c>
    </row>
    <row r="278">
      <c r="A278" s="10" t="s">
        <v>788</v>
      </c>
      <c r="B278" s="10" t="s">
        <v>789</v>
      </c>
      <c r="C278" s="10" t="s">
        <v>790</v>
      </c>
      <c r="D278" s="10" t="s">
        <v>10</v>
      </c>
      <c r="E278" s="10" t="s">
        <v>775</v>
      </c>
      <c r="F278" s="10" t="s">
        <v>12</v>
      </c>
      <c r="G278" s="10" t="s">
        <v>79</v>
      </c>
    </row>
    <row r="279">
      <c r="A279" s="5" t="s">
        <v>791</v>
      </c>
      <c r="B279" s="5" t="s">
        <v>792</v>
      </c>
      <c r="C279" s="5" t="s">
        <v>793</v>
      </c>
      <c r="D279" s="5" t="s">
        <v>10</v>
      </c>
      <c r="E279" s="5" t="s">
        <v>11</v>
      </c>
      <c r="F279" s="5" t="s">
        <v>12</v>
      </c>
      <c r="G279" s="5" t="s">
        <v>13</v>
      </c>
    </row>
    <row r="280">
      <c r="A280" s="5" t="s">
        <v>794</v>
      </c>
      <c r="B280" s="5" t="s">
        <v>795</v>
      </c>
      <c r="C280" s="5" t="s">
        <v>796</v>
      </c>
      <c r="D280" s="5" t="s">
        <v>10</v>
      </c>
      <c r="E280" s="5" t="s">
        <v>11</v>
      </c>
      <c r="F280" s="5" t="s">
        <v>12</v>
      </c>
      <c r="G280" s="5" t="s">
        <v>13</v>
      </c>
    </row>
    <row r="281">
      <c r="A281" s="5" t="s">
        <v>797</v>
      </c>
      <c r="B281" s="5" t="s">
        <v>798</v>
      </c>
      <c r="C281" s="5" t="s">
        <v>799</v>
      </c>
      <c r="D281" s="5" t="s">
        <v>10</v>
      </c>
      <c r="E281" s="5" t="s">
        <v>35</v>
      </c>
      <c r="F281" s="5" t="s">
        <v>12</v>
      </c>
      <c r="G281" s="5" t="s">
        <v>36</v>
      </c>
    </row>
    <row r="282">
      <c r="A282" s="5" t="s">
        <v>800</v>
      </c>
      <c r="B282" s="5" t="s">
        <v>801</v>
      </c>
      <c r="C282" s="5" t="s">
        <v>802</v>
      </c>
      <c r="D282" s="5" t="s">
        <v>10</v>
      </c>
      <c r="E282" s="5" t="s">
        <v>775</v>
      </c>
      <c r="F282" s="5" t="s">
        <v>12</v>
      </c>
      <c r="G282" s="5" t="s">
        <v>79</v>
      </c>
    </row>
    <row r="283">
      <c r="A283" s="7" t="s">
        <v>803</v>
      </c>
      <c r="B283" s="7" t="s">
        <v>804</v>
      </c>
      <c r="C283" s="7" t="s">
        <v>805</v>
      </c>
      <c r="D283" s="7" t="s">
        <v>10</v>
      </c>
      <c r="E283" s="7" t="s">
        <v>11</v>
      </c>
      <c r="F283" s="7" t="s">
        <v>12</v>
      </c>
      <c r="G283" s="7" t="s">
        <v>13</v>
      </c>
    </row>
    <row r="284">
      <c r="A284" s="6" t="s">
        <v>806</v>
      </c>
      <c r="B284" s="6" t="s">
        <v>807</v>
      </c>
      <c r="C284" s="6" t="s">
        <v>808</v>
      </c>
      <c r="D284" s="6" t="s">
        <v>10</v>
      </c>
      <c r="E284" s="6" t="s">
        <v>775</v>
      </c>
      <c r="F284" s="6" t="s">
        <v>12</v>
      </c>
      <c r="G284" s="6" t="s">
        <v>79</v>
      </c>
    </row>
    <row r="285">
      <c r="A285" s="5" t="s">
        <v>809</v>
      </c>
      <c r="B285" s="5" t="s">
        <v>810</v>
      </c>
      <c r="C285" s="5" t="s">
        <v>811</v>
      </c>
      <c r="D285" s="5" t="s">
        <v>10</v>
      </c>
      <c r="E285" s="5" t="s">
        <v>11</v>
      </c>
      <c r="F285" s="5" t="s">
        <v>12</v>
      </c>
      <c r="G285" s="5" t="s">
        <v>13</v>
      </c>
    </row>
    <row r="286">
      <c r="A286" s="5" t="s">
        <v>812</v>
      </c>
      <c r="B286" s="5" t="s">
        <v>813</v>
      </c>
      <c r="C286" s="5" t="s">
        <v>814</v>
      </c>
      <c r="D286" s="5" t="s">
        <v>10</v>
      </c>
      <c r="E286" s="5" t="s">
        <v>775</v>
      </c>
      <c r="F286" s="5" t="s">
        <v>12</v>
      </c>
      <c r="G286" s="5" t="s">
        <v>79</v>
      </c>
    </row>
    <row r="287">
      <c r="A287" s="10" t="s">
        <v>815</v>
      </c>
      <c r="B287" s="10" t="s">
        <v>816</v>
      </c>
      <c r="C287" s="10" t="s">
        <v>817</v>
      </c>
      <c r="D287" s="10" t="s">
        <v>10</v>
      </c>
      <c r="E287" s="10" t="s">
        <v>35</v>
      </c>
      <c r="F287" s="10" t="s">
        <v>12</v>
      </c>
      <c r="G287" s="10" t="s">
        <v>36</v>
      </c>
    </row>
    <row r="288">
      <c r="A288" s="10" t="s">
        <v>818</v>
      </c>
      <c r="B288" s="10" t="s">
        <v>819</v>
      </c>
      <c r="C288" s="10" t="s">
        <v>820</v>
      </c>
      <c r="D288" s="10" t="s">
        <v>10</v>
      </c>
      <c r="E288" s="10" t="s">
        <v>756</v>
      </c>
      <c r="F288" s="10" t="s">
        <v>12</v>
      </c>
      <c r="G288" s="10" t="s">
        <v>36</v>
      </c>
    </row>
    <row r="289">
      <c r="A289" s="10" t="s">
        <v>821</v>
      </c>
      <c r="B289" s="10" t="s">
        <v>822</v>
      </c>
      <c r="C289" s="10" t="s">
        <v>823</v>
      </c>
      <c r="D289" s="10" t="s">
        <v>10</v>
      </c>
      <c r="E289" s="10" t="s">
        <v>35</v>
      </c>
      <c r="F289" s="10" t="s">
        <v>12</v>
      </c>
      <c r="G289" s="10" t="s">
        <v>36</v>
      </c>
    </row>
    <row r="290">
      <c r="A290" s="10" t="s">
        <v>824</v>
      </c>
      <c r="B290" s="10" t="s">
        <v>825</v>
      </c>
      <c r="C290" s="10" t="s">
        <v>826</v>
      </c>
      <c r="D290" s="10" t="s">
        <v>10</v>
      </c>
      <c r="E290" s="10" t="s">
        <v>35</v>
      </c>
      <c r="F290" s="10" t="s">
        <v>12</v>
      </c>
      <c r="G290" s="10" t="s">
        <v>36</v>
      </c>
    </row>
    <row r="291">
      <c r="A291" s="5" t="s">
        <v>827</v>
      </c>
      <c r="B291" s="5" t="s">
        <v>828</v>
      </c>
      <c r="C291" s="5" t="s">
        <v>829</v>
      </c>
      <c r="D291" s="5" t="s">
        <v>10</v>
      </c>
      <c r="E291" s="5" t="s">
        <v>756</v>
      </c>
      <c r="F291" s="5" t="s">
        <v>12</v>
      </c>
      <c r="G291" s="5" t="s">
        <v>36</v>
      </c>
    </row>
    <row r="292">
      <c r="A292" s="10" t="s">
        <v>830</v>
      </c>
      <c r="B292" s="10" t="s">
        <v>831</v>
      </c>
      <c r="C292" s="10" t="s">
        <v>832</v>
      </c>
      <c r="D292" s="10" t="s">
        <v>10</v>
      </c>
      <c r="E292" s="10" t="s">
        <v>444</v>
      </c>
      <c r="F292" s="10" t="s">
        <v>12</v>
      </c>
      <c r="G292" s="10" t="s">
        <v>13</v>
      </c>
    </row>
    <row r="293">
      <c r="A293" s="5" t="s">
        <v>833</v>
      </c>
      <c r="B293" s="5" t="s">
        <v>834</v>
      </c>
      <c r="C293" s="5" t="s">
        <v>835</v>
      </c>
      <c r="D293" s="5" t="s">
        <v>10</v>
      </c>
      <c r="E293" s="5" t="s">
        <v>756</v>
      </c>
      <c r="F293" s="5" t="s">
        <v>12</v>
      </c>
      <c r="G293" s="5" t="s">
        <v>36</v>
      </c>
    </row>
    <row r="294">
      <c r="A294" s="5" t="s">
        <v>836</v>
      </c>
      <c r="B294" s="5" t="s">
        <v>837</v>
      </c>
      <c r="C294" s="5" t="s">
        <v>838</v>
      </c>
      <c r="D294" s="5" t="s">
        <v>10</v>
      </c>
      <c r="E294" s="5" t="s">
        <v>775</v>
      </c>
      <c r="F294" s="5" t="s">
        <v>12</v>
      </c>
      <c r="G294" s="5" t="s">
        <v>79</v>
      </c>
    </row>
    <row r="295">
      <c r="A295" s="10" t="s">
        <v>839</v>
      </c>
      <c r="B295" s="10" t="s">
        <v>840</v>
      </c>
      <c r="C295" s="10" t="s">
        <v>841</v>
      </c>
      <c r="D295" s="10" t="s">
        <v>10</v>
      </c>
      <c r="E295" s="10" t="s">
        <v>444</v>
      </c>
      <c r="F295" s="10" t="s">
        <v>12</v>
      </c>
      <c r="G295" s="10" t="s">
        <v>13</v>
      </c>
    </row>
    <row r="296">
      <c r="A296" s="5" t="s">
        <v>842</v>
      </c>
      <c r="B296" s="5" t="s">
        <v>843</v>
      </c>
      <c r="C296" s="5" t="s">
        <v>844</v>
      </c>
      <c r="D296" s="5" t="s">
        <v>10</v>
      </c>
      <c r="E296" s="5" t="s">
        <v>131</v>
      </c>
      <c r="F296" s="5" t="s">
        <v>12</v>
      </c>
      <c r="G296" s="5" t="s">
        <v>36</v>
      </c>
    </row>
    <row r="297">
      <c r="A297" s="5" t="s">
        <v>845</v>
      </c>
      <c r="B297" s="5" t="s">
        <v>846</v>
      </c>
      <c r="C297" s="5" t="s">
        <v>847</v>
      </c>
      <c r="D297" s="5" t="s">
        <v>10</v>
      </c>
      <c r="E297" s="5" t="e">
        <v>#N/A</v>
      </c>
      <c r="F297" s="5" t="s">
        <v>12</v>
      </c>
      <c r="G297" s="5" t="e">
        <v>#N/A</v>
      </c>
    </row>
    <row r="298">
      <c r="A298" s="5" t="s">
        <v>848</v>
      </c>
      <c r="B298" s="5" t="s">
        <v>849</v>
      </c>
      <c r="C298" s="5" t="s">
        <v>850</v>
      </c>
      <c r="D298" s="5" t="s">
        <v>10</v>
      </c>
      <c r="E298" s="5" t="e">
        <v>#N/A</v>
      </c>
      <c r="F298" s="5" t="s">
        <v>12</v>
      </c>
      <c r="G298" s="5" t="e">
        <v>#N/A</v>
      </c>
    </row>
    <row r="299">
      <c r="A299" s="10" t="s">
        <v>851</v>
      </c>
      <c r="B299" s="10" t="s">
        <v>852</v>
      </c>
      <c r="C299" s="10" t="s">
        <v>853</v>
      </c>
      <c r="D299" s="10" t="s">
        <v>10</v>
      </c>
      <c r="E299" s="10" t="s">
        <v>756</v>
      </c>
      <c r="F299" s="10" t="s">
        <v>12</v>
      </c>
      <c r="G299" s="10" t="s">
        <v>36</v>
      </c>
    </row>
    <row r="300">
      <c r="A300" s="5" t="s">
        <v>854</v>
      </c>
      <c r="B300" s="5" t="s">
        <v>855</v>
      </c>
      <c r="C300" s="5" t="s">
        <v>856</v>
      </c>
      <c r="D300" s="5" t="s">
        <v>10</v>
      </c>
      <c r="E300" s="5" t="s">
        <v>144</v>
      </c>
      <c r="F300" s="5" t="s">
        <v>12</v>
      </c>
      <c r="G300" s="5" t="s">
        <v>36</v>
      </c>
    </row>
    <row r="301">
      <c r="A301" s="10" t="s">
        <v>857</v>
      </c>
      <c r="B301" s="10" t="s">
        <v>858</v>
      </c>
      <c r="C301" s="10" t="s">
        <v>859</v>
      </c>
      <c r="D301" s="10" t="s">
        <v>10</v>
      </c>
      <c r="E301" s="10" t="e">
        <v>#N/A</v>
      </c>
      <c r="F301" s="10" t="s">
        <v>12</v>
      </c>
      <c r="G301" s="10" t="e">
        <v>#N/A</v>
      </c>
    </row>
    <row r="302">
      <c r="A302" s="10" t="s">
        <v>860</v>
      </c>
      <c r="B302" s="10" t="s">
        <v>861</v>
      </c>
      <c r="C302" s="10" t="s">
        <v>862</v>
      </c>
      <c r="D302" s="10" t="s">
        <v>10</v>
      </c>
      <c r="E302" s="10" t="e">
        <v>#N/A</v>
      </c>
      <c r="F302" s="10" t="s">
        <v>12</v>
      </c>
      <c r="G302" s="10" t="e">
        <v>#N/A</v>
      </c>
    </row>
    <row r="303">
      <c r="A303" s="5" t="s">
        <v>863</v>
      </c>
      <c r="B303" s="5" t="s">
        <v>864</v>
      </c>
      <c r="C303" s="5" t="s">
        <v>865</v>
      </c>
      <c r="D303" s="5" t="s">
        <v>10</v>
      </c>
      <c r="E303" s="5" t="s">
        <v>131</v>
      </c>
      <c r="F303" s="5" t="s">
        <v>12</v>
      </c>
      <c r="G303" s="5" t="s">
        <v>36</v>
      </c>
    </row>
    <row r="304">
      <c r="A304" s="5" t="s">
        <v>866</v>
      </c>
      <c r="B304" s="5" t="s">
        <v>867</v>
      </c>
      <c r="C304" s="5" t="s">
        <v>868</v>
      </c>
      <c r="D304" s="5" t="s">
        <v>10</v>
      </c>
      <c r="E304" s="5" t="s">
        <v>35</v>
      </c>
      <c r="F304" s="5" t="s">
        <v>12</v>
      </c>
      <c r="G304" s="5" t="s">
        <v>36</v>
      </c>
    </row>
    <row r="305">
      <c r="A305" s="6" t="s">
        <v>869</v>
      </c>
      <c r="B305" s="6" t="s">
        <v>870</v>
      </c>
      <c r="C305" s="6" t="s">
        <v>871</v>
      </c>
      <c r="D305" s="6" t="s">
        <v>10</v>
      </c>
      <c r="E305" s="6" t="s">
        <v>93</v>
      </c>
      <c r="F305" s="6" t="s">
        <v>12</v>
      </c>
      <c r="G305" s="6" t="s">
        <v>13</v>
      </c>
    </row>
    <row r="306">
      <c r="A306" s="6" t="s">
        <v>872</v>
      </c>
      <c r="B306" s="6" t="s">
        <v>873</v>
      </c>
      <c r="C306" s="6" t="s">
        <v>874</v>
      </c>
      <c r="D306" s="6" t="s">
        <v>10</v>
      </c>
      <c r="E306" s="6" t="s">
        <v>93</v>
      </c>
      <c r="F306" s="6" t="s">
        <v>12</v>
      </c>
      <c r="G306" s="6" t="s">
        <v>13</v>
      </c>
    </row>
    <row r="307">
      <c r="A307" s="6" t="s">
        <v>875</v>
      </c>
      <c r="B307" s="6" t="s">
        <v>876</v>
      </c>
      <c r="C307" s="6" t="s">
        <v>877</v>
      </c>
      <c r="D307" s="6" t="s">
        <v>10</v>
      </c>
      <c r="E307" s="6" t="s">
        <v>11</v>
      </c>
      <c r="F307" s="6" t="s">
        <v>12</v>
      </c>
      <c r="G307" s="6" t="s">
        <v>13</v>
      </c>
    </row>
    <row r="308">
      <c r="A308" s="6" t="s">
        <v>878</v>
      </c>
      <c r="B308" s="6">
        <v>6.0019739E7</v>
      </c>
      <c r="C308" s="6" t="s">
        <v>879</v>
      </c>
      <c r="D308" s="6" t="s">
        <v>10</v>
      </c>
      <c r="E308" s="6" t="s">
        <v>214</v>
      </c>
      <c r="F308" s="6" t="s">
        <v>12</v>
      </c>
      <c r="G308" s="6" t="s">
        <v>36</v>
      </c>
    </row>
    <row r="309">
      <c r="A309" s="6" t="s">
        <v>880</v>
      </c>
      <c r="B309" s="6" t="s">
        <v>881</v>
      </c>
      <c r="C309" s="6" t="s">
        <v>882</v>
      </c>
      <c r="D309" s="6" t="s">
        <v>10</v>
      </c>
      <c r="E309" s="6" t="s">
        <v>775</v>
      </c>
      <c r="F309" s="6" t="s">
        <v>12</v>
      </c>
      <c r="G309" s="6" t="s">
        <v>79</v>
      </c>
    </row>
    <row r="310">
      <c r="A310" s="6" t="s">
        <v>883</v>
      </c>
      <c r="B310" s="6" t="s">
        <v>884</v>
      </c>
      <c r="C310" s="6" t="s">
        <v>885</v>
      </c>
      <c r="D310" s="6" t="s">
        <v>10</v>
      </c>
      <c r="E310" s="6" t="s">
        <v>93</v>
      </c>
      <c r="F310" s="6" t="s">
        <v>12</v>
      </c>
      <c r="G310" s="6" t="s">
        <v>13</v>
      </c>
    </row>
    <row r="311">
      <c r="A311" s="6" t="s">
        <v>886</v>
      </c>
      <c r="B311" s="6" t="s">
        <v>887</v>
      </c>
      <c r="C311" s="6" t="s">
        <v>888</v>
      </c>
      <c r="D311" s="6" t="s">
        <v>10</v>
      </c>
      <c r="E311" s="6" t="s">
        <v>93</v>
      </c>
      <c r="F311" s="6" t="s">
        <v>12</v>
      </c>
      <c r="G311" s="6" t="s">
        <v>13</v>
      </c>
    </row>
    <row r="312">
      <c r="A312" s="6" t="s">
        <v>889</v>
      </c>
      <c r="B312" s="6" t="s">
        <v>890</v>
      </c>
      <c r="C312" s="6" t="s">
        <v>891</v>
      </c>
      <c r="D312" s="6" t="s">
        <v>10</v>
      </c>
      <c r="E312" s="6" t="s">
        <v>775</v>
      </c>
      <c r="F312" s="6" t="s">
        <v>12</v>
      </c>
      <c r="G312" s="6" t="s">
        <v>79</v>
      </c>
    </row>
    <row r="313">
      <c r="A313" s="6" t="s">
        <v>892</v>
      </c>
      <c r="B313" s="6" t="s">
        <v>893</v>
      </c>
      <c r="C313" s="6" t="s">
        <v>894</v>
      </c>
      <c r="D313" s="6" t="s">
        <v>10</v>
      </c>
      <c r="E313" s="6" t="s">
        <v>93</v>
      </c>
      <c r="F313" s="6" t="s">
        <v>12</v>
      </c>
      <c r="G313" s="6" t="s">
        <v>13</v>
      </c>
    </row>
    <row r="314">
      <c r="A314" s="6" t="s">
        <v>895</v>
      </c>
      <c r="B314" s="6">
        <v>6.001974E7</v>
      </c>
      <c r="C314" s="6" t="s">
        <v>896</v>
      </c>
      <c r="D314" s="6" t="s">
        <v>10</v>
      </c>
      <c r="E314" s="6" t="s">
        <v>214</v>
      </c>
      <c r="F314" s="6" t="s">
        <v>12</v>
      </c>
      <c r="G314" s="6" t="s">
        <v>36</v>
      </c>
    </row>
    <row r="315">
      <c r="A315" s="6" t="s">
        <v>897</v>
      </c>
      <c r="B315" s="6">
        <v>6.0019741E7</v>
      </c>
      <c r="C315" s="6" t="s">
        <v>898</v>
      </c>
      <c r="D315" s="6" t="s">
        <v>10</v>
      </c>
      <c r="E315" s="6" t="s">
        <v>214</v>
      </c>
      <c r="F315" s="6" t="s">
        <v>12</v>
      </c>
      <c r="G315" s="6" t="s">
        <v>36</v>
      </c>
    </row>
    <row r="316">
      <c r="A316" s="6" t="s">
        <v>899</v>
      </c>
      <c r="B316" s="6" t="s">
        <v>900</v>
      </c>
      <c r="C316" s="6" t="s">
        <v>901</v>
      </c>
      <c r="D316" s="6" t="s">
        <v>10</v>
      </c>
      <c r="E316" s="6" t="s">
        <v>93</v>
      </c>
      <c r="F316" s="6" t="s">
        <v>12</v>
      </c>
      <c r="G316" s="6" t="s">
        <v>13</v>
      </c>
    </row>
    <row r="317">
      <c r="A317" s="6" t="s">
        <v>902</v>
      </c>
      <c r="B317" s="6" t="s">
        <v>903</v>
      </c>
      <c r="C317" s="6" t="s">
        <v>904</v>
      </c>
      <c r="D317" s="6" t="s">
        <v>10</v>
      </c>
      <c r="E317" s="6" t="s">
        <v>93</v>
      </c>
      <c r="F317" s="6" t="s">
        <v>12</v>
      </c>
      <c r="G317" s="6" t="s">
        <v>13</v>
      </c>
    </row>
    <row r="318">
      <c r="A318" s="6" t="s">
        <v>905</v>
      </c>
      <c r="B318" s="6" t="s">
        <v>906</v>
      </c>
      <c r="C318" s="6" t="s">
        <v>907</v>
      </c>
      <c r="D318" s="6" t="s">
        <v>10</v>
      </c>
      <c r="E318" s="6" t="s">
        <v>775</v>
      </c>
      <c r="F318" s="6" t="s">
        <v>12</v>
      </c>
      <c r="G318" s="6" t="s">
        <v>79</v>
      </c>
    </row>
    <row r="319">
      <c r="A319" s="6" t="s">
        <v>908</v>
      </c>
      <c r="B319" s="6" t="s">
        <v>909</v>
      </c>
      <c r="C319" s="6" t="s">
        <v>910</v>
      </c>
      <c r="D319" s="6" t="s">
        <v>10</v>
      </c>
      <c r="E319" s="6" t="s">
        <v>11</v>
      </c>
      <c r="F319" s="6" t="s">
        <v>12</v>
      </c>
      <c r="G319" s="6" t="s">
        <v>13</v>
      </c>
    </row>
    <row r="320">
      <c r="A320" s="6" t="s">
        <v>911</v>
      </c>
      <c r="B320" s="6" t="s">
        <v>912</v>
      </c>
      <c r="C320" s="6" t="s">
        <v>913</v>
      </c>
      <c r="D320" s="6" t="s">
        <v>10</v>
      </c>
      <c r="E320" s="6" t="s">
        <v>93</v>
      </c>
      <c r="F320" s="6" t="s">
        <v>12</v>
      </c>
      <c r="G320" s="6" t="s">
        <v>13</v>
      </c>
    </row>
    <row r="321">
      <c r="A321" s="6" t="s">
        <v>914</v>
      </c>
      <c r="B321" s="6" t="s">
        <v>915</v>
      </c>
      <c r="C321" s="6" t="s">
        <v>916</v>
      </c>
      <c r="D321" s="6" t="s">
        <v>10</v>
      </c>
      <c r="E321" s="6" t="s">
        <v>93</v>
      </c>
      <c r="F321" s="6" t="s">
        <v>12</v>
      </c>
      <c r="G321" s="6" t="s">
        <v>13</v>
      </c>
    </row>
    <row r="322">
      <c r="A322" s="6" t="s">
        <v>917</v>
      </c>
      <c r="B322" s="6">
        <v>6.0019742E7</v>
      </c>
      <c r="C322" s="6" t="s">
        <v>918</v>
      </c>
      <c r="D322" s="6" t="s">
        <v>10</v>
      </c>
      <c r="E322" s="6" t="s">
        <v>214</v>
      </c>
      <c r="F322" s="6" t="s">
        <v>12</v>
      </c>
      <c r="G322" s="6" t="s">
        <v>36</v>
      </c>
    </row>
    <row r="323">
      <c r="A323" s="6" t="s">
        <v>919</v>
      </c>
      <c r="B323" s="6" t="s">
        <v>920</v>
      </c>
      <c r="C323" s="6" t="s">
        <v>921</v>
      </c>
      <c r="D323" s="6" t="s">
        <v>10</v>
      </c>
      <c r="E323" s="6" t="s">
        <v>775</v>
      </c>
      <c r="F323" s="6" t="s">
        <v>12</v>
      </c>
      <c r="G323" s="6" t="s">
        <v>79</v>
      </c>
    </row>
    <row r="324">
      <c r="A324" s="6" t="s">
        <v>922</v>
      </c>
      <c r="B324" s="6" t="s">
        <v>923</v>
      </c>
      <c r="C324" s="6" t="s">
        <v>924</v>
      </c>
      <c r="D324" s="6" t="s">
        <v>10</v>
      </c>
      <c r="E324" s="6" t="s">
        <v>93</v>
      </c>
      <c r="F324" s="6" t="s">
        <v>12</v>
      </c>
      <c r="G324" s="6" t="s">
        <v>13</v>
      </c>
    </row>
    <row r="325">
      <c r="A325" s="6" t="s">
        <v>925</v>
      </c>
      <c r="B325" s="6" t="s">
        <v>926</v>
      </c>
      <c r="C325" s="6" t="s">
        <v>927</v>
      </c>
      <c r="D325" s="6" t="s">
        <v>10</v>
      </c>
      <c r="E325" s="6" t="s">
        <v>775</v>
      </c>
      <c r="F325" s="6" t="s">
        <v>12</v>
      </c>
      <c r="G325" s="6" t="s">
        <v>79</v>
      </c>
    </row>
    <row r="326">
      <c r="A326" s="6" t="s">
        <v>928</v>
      </c>
      <c r="B326" s="6" t="s">
        <v>929</v>
      </c>
      <c r="C326" s="6" t="s">
        <v>930</v>
      </c>
      <c r="D326" s="6" t="s">
        <v>10</v>
      </c>
      <c r="E326" s="6" t="s">
        <v>93</v>
      </c>
      <c r="F326" s="6" t="s">
        <v>12</v>
      </c>
      <c r="G326" s="6" t="s">
        <v>13</v>
      </c>
    </row>
    <row r="327">
      <c r="A327" s="6" t="s">
        <v>931</v>
      </c>
      <c r="B327" s="6" t="s">
        <v>932</v>
      </c>
      <c r="C327" s="6" t="s">
        <v>933</v>
      </c>
      <c r="D327" s="6" t="s">
        <v>10</v>
      </c>
      <c r="E327" s="6" t="s">
        <v>11</v>
      </c>
      <c r="F327" s="6" t="s">
        <v>12</v>
      </c>
      <c r="G327" s="6" t="s">
        <v>13</v>
      </c>
    </row>
    <row r="328">
      <c r="A328" s="6" t="s">
        <v>934</v>
      </c>
      <c r="B328" s="6" t="s">
        <v>935</v>
      </c>
      <c r="C328" s="6" t="s">
        <v>936</v>
      </c>
      <c r="D328" s="6" t="s">
        <v>10</v>
      </c>
      <c r="E328" s="6" t="s">
        <v>93</v>
      </c>
      <c r="F328" s="6" t="s">
        <v>12</v>
      </c>
      <c r="G328" s="6" t="s">
        <v>13</v>
      </c>
    </row>
    <row r="329">
      <c r="A329" s="6" t="s">
        <v>937</v>
      </c>
      <c r="B329" s="6" t="s">
        <v>938</v>
      </c>
      <c r="C329" s="6" t="s">
        <v>939</v>
      </c>
      <c r="D329" s="6" t="s">
        <v>10</v>
      </c>
      <c r="E329" s="6" t="s">
        <v>93</v>
      </c>
      <c r="F329" s="6" t="s">
        <v>12</v>
      </c>
      <c r="G329" s="6" t="s">
        <v>13</v>
      </c>
    </row>
    <row r="330">
      <c r="A330" s="6" t="s">
        <v>940</v>
      </c>
      <c r="B330" s="6" t="s">
        <v>941</v>
      </c>
      <c r="C330" s="6" t="s">
        <v>942</v>
      </c>
      <c r="D330" s="6" t="s">
        <v>10</v>
      </c>
      <c r="E330" s="6" t="s">
        <v>775</v>
      </c>
      <c r="F330" s="6" t="s">
        <v>12</v>
      </c>
      <c r="G330" s="6" t="s">
        <v>79</v>
      </c>
    </row>
    <row r="331">
      <c r="A331" s="6" t="s">
        <v>943</v>
      </c>
      <c r="B331" s="6">
        <v>6.0019743E7</v>
      </c>
      <c r="C331" s="6" t="s">
        <v>944</v>
      </c>
      <c r="D331" s="6" t="s">
        <v>10</v>
      </c>
      <c r="E331" s="6" t="s">
        <v>214</v>
      </c>
      <c r="F331" s="6" t="s">
        <v>12</v>
      </c>
      <c r="G331" s="6" t="s">
        <v>36</v>
      </c>
    </row>
    <row r="332">
      <c r="A332" s="6" t="s">
        <v>945</v>
      </c>
      <c r="B332" s="6" t="s">
        <v>946</v>
      </c>
      <c r="C332" s="6" t="s">
        <v>947</v>
      </c>
      <c r="D332" s="6" t="s">
        <v>10</v>
      </c>
      <c r="E332" s="6" t="s">
        <v>775</v>
      </c>
      <c r="F332" s="6" t="s">
        <v>12</v>
      </c>
      <c r="G332" s="6" t="s">
        <v>79</v>
      </c>
    </row>
    <row r="333">
      <c r="A333" s="6" t="s">
        <v>948</v>
      </c>
      <c r="B333" s="6" t="s">
        <v>949</v>
      </c>
      <c r="C333" s="6" t="s">
        <v>950</v>
      </c>
      <c r="D333" s="6" t="s">
        <v>10</v>
      </c>
      <c r="E333" s="6" t="s">
        <v>775</v>
      </c>
      <c r="F333" s="6" t="s">
        <v>12</v>
      </c>
      <c r="G333" s="6" t="s">
        <v>79</v>
      </c>
    </row>
    <row r="334">
      <c r="A334" s="6" t="s">
        <v>951</v>
      </c>
      <c r="B334" s="6" t="s">
        <v>952</v>
      </c>
      <c r="C334" s="6" t="s">
        <v>953</v>
      </c>
      <c r="D334" s="6" t="s">
        <v>10</v>
      </c>
      <c r="E334" s="6" t="s">
        <v>775</v>
      </c>
      <c r="F334" s="6" t="s">
        <v>12</v>
      </c>
      <c r="G334" s="6" t="s">
        <v>79</v>
      </c>
    </row>
    <row r="335">
      <c r="A335" s="6" t="s">
        <v>954</v>
      </c>
      <c r="B335" s="6" t="s">
        <v>955</v>
      </c>
      <c r="C335" s="6" t="s">
        <v>956</v>
      </c>
      <c r="D335" s="6" t="s">
        <v>10</v>
      </c>
      <c r="E335" s="6" t="s">
        <v>775</v>
      </c>
      <c r="F335" s="6" t="s">
        <v>12</v>
      </c>
      <c r="G335" s="6" t="s">
        <v>79</v>
      </c>
    </row>
    <row r="336">
      <c r="A336" s="6" t="s">
        <v>957</v>
      </c>
      <c r="B336" s="6" t="s">
        <v>958</v>
      </c>
      <c r="C336" s="6" t="s">
        <v>959</v>
      </c>
      <c r="D336" s="6" t="s">
        <v>10</v>
      </c>
      <c r="E336" s="6" t="s">
        <v>93</v>
      </c>
      <c r="F336" s="6" t="s">
        <v>12</v>
      </c>
      <c r="G336" s="6" t="s">
        <v>13</v>
      </c>
    </row>
    <row r="337">
      <c r="A337" s="6" t="s">
        <v>960</v>
      </c>
      <c r="B337" s="6" t="s">
        <v>961</v>
      </c>
      <c r="C337" s="6" t="s">
        <v>962</v>
      </c>
      <c r="D337" s="6" t="s">
        <v>10</v>
      </c>
      <c r="E337" s="6" t="s">
        <v>775</v>
      </c>
      <c r="F337" s="6" t="s">
        <v>12</v>
      </c>
      <c r="G337" s="6" t="s">
        <v>79</v>
      </c>
    </row>
    <row r="338">
      <c r="A338" s="6" t="s">
        <v>963</v>
      </c>
      <c r="B338" s="6" t="s">
        <v>964</v>
      </c>
      <c r="C338" s="6" t="s">
        <v>965</v>
      </c>
      <c r="D338" s="6" t="s">
        <v>10</v>
      </c>
      <c r="E338" s="6" t="s">
        <v>775</v>
      </c>
      <c r="F338" s="6" t="s">
        <v>12</v>
      </c>
      <c r="G338" s="6" t="s">
        <v>79</v>
      </c>
    </row>
    <row r="339">
      <c r="A339" s="6" t="s">
        <v>966</v>
      </c>
      <c r="B339" s="6" t="s">
        <v>967</v>
      </c>
      <c r="C339" s="6" t="s">
        <v>968</v>
      </c>
      <c r="D339" s="6" t="s">
        <v>10</v>
      </c>
      <c r="E339" s="6" t="s">
        <v>775</v>
      </c>
      <c r="F339" s="6" t="s">
        <v>12</v>
      </c>
      <c r="G339" s="6" t="s">
        <v>79</v>
      </c>
    </row>
    <row r="340">
      <c r="A340" s="6" t="s">
        <v>969</v>
      </c>
      <c r="B340" s="6" t="s">
        <v>970</v>
      </c>
      <c r="C340" s="6" t="s">
        <v>971</v>
      </c>
      <c r="D340" s="6" t="s">
        <v>10</v>
      </c>
      <c r="E340" s="6" t="s">
        <v>11</v>
      </c>
      <c r="F340" s="6" t="s">
        <v>12</v>
      </c>
      <c r="G340" s="6" t="s">
        <v>13</v>
      </c>
    </row>
    <row r="341">
      <c r="A341" s="6" t="s">
        <v>972</v>
      </c>
      <c r="B341" s="6" t="s">
        <v>973</v>
      </c>
      <c r="C341" s="6" t="s">
        <v>974</v>
      </c>
      <c r="D341" s="6" t="s">
        <v>10</v>
      </c>
      <c r="E341" s="6" t="s">
        <v>93</v>
      </c>
      <c r="F341" s="6" t="s">
        <v>12</v>
      </c>
      <c r="G341" s="6" t="s">
        <v>13</v>
      </c>
    </row>
    <row r="342">
      <c r="A342" s="6" t="s">
        <v>975</v>
      </c>
      <c r="B342" s="6" t="s">
        <v>976</v>
      </c>
      <c r="C342" s="6" t="s">
        <v>977</v>
      </c>
      <c r="D342" s="6" t="s">
        <v>10</v>
      </c>
      <c r="E342" s="6" t="s">
        <v>11</v>
      </c>
      <c r="F342" s="6" t="s">
        <v>12</v>
      </c>
      <c r="G342" s="6" t="s">
        <v>13</v>
      </c>
    </row>
    <row r="343">
      <c r="A343" s="6" t="s">
        <v>978</v>
      </c>
      <c r="B343" s="6" t="s">
        <v>979</v>
      </c>
      <c r="C343" s="6" t="s">
        <v>980</v>
      </c>
      <c r="D343" s="6" t="s">
        <v>10</v>
      </c>
      <c r="E343" s="6" t="s">
        <v>756</v>
      </c>
      <c r="F343" s="6" t="s">
        <v>12</v>
      </c>
      <c r="G343" s="6" t="s">
        <v>36</v>
      </c>
    </row>
    <row r="344">
      <c r="A344" s="6" t="s">
        <v>981</v>
      </c>
      <c r="B344" s="6" t="s">
        <v>982</v>
      </c>
      <c r="C344" s="6" t="s">
        <v>983</v>
      </c>
      <c r="D344" s="6" t="s">
        <v>10</v>
      </c>
      <c r="E344" s="6" t="s">
        <v>93</v>
      </c>
      <c r="F344" s="6" t="s">
        <v>12</v>
      </c>
      <c r="G344" s="6" t="s">
        <v>13</v>
      </c>
    </row>
    <row r="345">
      <c r="A345" s="6" t="s">
        <v>984</v>
      </c>
      <c r="B345" s="6" t="s">
        <v>985</v>
      </c>
      <c r="C345" s="6" t="s">
        <v>986</v>
      </c>
      <c r="D345" s="6" t="s">
        <v>10</v>
      </c>
      <c r="E345" s="6" t="s">
        <v>93</v>
      </c>
      <c r="F345" s="6" t="s">
        <v>12</v>
      </c>
      <c r="G345" s="6" t="s">
        <v>13</v>
      </c>
    </row>
    <row r="346">
      <c r="A346" s="6" t="s">
        <v>987</v>
      </c>
      <c r="B346" s="6">
        <v>6.0019744E7</v>
      </c>
      <c r="C346" s="6" t="s">
        <v>988</v>
      </c>
      <c r="D346" s="6" t="s">
        <v>10</v>
      </c>
      <c r="E346" s="6" t="s">
        <v>214</v>
      </c>
      <c r="F346" s="6" t="s">
        <v>12</v>
      </c>
      <c r="G346" s="6" t="s">
        <v>36</v>
      </c>
    </row>
    <row r="347">
      <c r="A347" s="5" t="s">
        <v>989</v>
      </c>
      <c r="B347" s="5">
        <v>6.0019745E7</v>
      </c>
      <c r="C347" s="5" t="s">
        <v>990</v>
      </c>
      <c r="D347" s="5" t="s">
        <v>10</v>
      </c>
      <c r="E347" s="5" t="s">
        <v>214</v>
      </c>
      <c r="F347" s="5" t="s">
        <v>991</v>
      </c>
      <c r="G347" s="5" t="s">
        <v>36</v>
      </c>
    </row>
    <row r="348">
      <c r="A348" s="6" t="s">
        <v>992</v>
      </c>
      <c r="B348" s="6">
        <v>6.0019746E7</v>
      </c>
      <c r="C348" s="6" t="s">
        <v>993</v>
      </c>
      <c r="D348" s="6" t="s">
        <v>10</v>
      </c>
      <c r="E348" s="6" t="s">
        <v>214</v>
      </c>
      <c r="F348" s="6" t="s">
        <v>12</v>
      </c>
      <c r="G348" s="6" t="s">
        <v>36</v>
      </c>
    </row>
    <row r="349">
      <c r="A349" s="6" t="s">
        <v>994</v>
      </c>
      <c r="B349" s="6" t="s">
        <v>995</v>
      </c>
      <c r="C349" s="6" t="s">
        <v>996</v>
      </c>
      <c r="D349" s="6" t="s">
        <v>10</v>
      </c>
      <c r="E349" s="6" t="s">
        <v>756</v>
      </c>
      <c r="F349" s="6" t="s">
        <v>12</v>
      </c>
      <c r="G349" s="6" t="s">
        <v>36</v>
      </c>
    </row>
    <row r="350">
      <c r="A350" s="6" t="s">
        <v>997</v>
      </c>
      <c r="B350" s="6" t="s">
        <v>998</v>
      </c>
      <c r="C350" s="6" t="s">
        <v>999</v>
      </c>
      <c r="D350" s="6" t="s">
        <v>10</v>
      </c>
      <c r="E350" s="6" t="s">
        <v>756</v>
      </c>
      <c r="F350" s="6" t="s">
        <v>12</v>
      </c>
      <c r="G350" s="6" t="s">
        <v>36</v>
      </c>
    </row>
    <row r="351">
      <c r="A351" s="6" t="s">
        <v>1000</v>
      </c>
      <c r="B351" s="6" t="s">
        <v>1001</v>
      </c>
      <c r="C351" s="6" t="s">
        <v>1002</v>
      </c>
      <c r="D351" s="6" t="s">
        <v>10</v>
      </c>
      <c r="E351" s="6" t="s">
        <v>11</v>
      </c>
      <c r="F351" s="6" t="s">
        <v>12</v>
      </c>
      <c r="G351" s="6" t="s">
        <v>13</v>
      </c>
    </row>
    <row r="352">
      <c r="A352" s="6" t="s">
        <v>1003</v>
      </c>
      <c r="B352" s="6" t="s">
        <v>1004</v>
      </c>
      <c r="C352" s="6" t="s">
        <v>1005</v>
      </c>
      <c r="D352" s="6" t="s">
        <v>10</v>
      </c>
      <c r="E352" s="6" t="s">
        <v>93</v>
      </c>
      <c r="F352" s="6" t="s">
        <v>12</v>
      </c>
      <c r="G352" s="6" t="s">
        <v>13</v>
      </c>
    </row>
    <row r="353">
      <c r="A353" s="6" t="s">
        <v>1006</v>
      </c>
      <c r="B353" s="6" t="s">
        <v>1007</v>
      </c>
      <c r="C353" s="6" t="s">
        <v>1008</v>
      </c>
      <c r="D353" s="6" t="s">
        <v>10</v>
      </c>
      <c r="E353" s="6" t="s">
        <v>775</v>
      </c>
      <c r="F353" s="6" t="s">
        <v>12</v>
      </c>
      <c r="G353" s="6" t="s">
        <v>79</v>
      </c>
    </row>
    <row r="354">
      <c r="A354" s="6" t="s">
        <v>1009</v>
      </c>
      <c r="B354" s="6" t="s">
        <v>1010</v>
      </c>
      <c r="C354" s="6" t="s">
        <v>1011</v>
      </c>
      <c r="D354" s="6" t="s">
        <v>10</v>
      </c>
      <c r="E354" s="6" t="s">
        <v>756</v>
      </c>
      <c r="F354" s="6" t="s">
        <v>12</v>
      </c>
      <c r="G354" s="6" t="s">
        <v>36</v>
      </c>
    </row>
    <row r="355">
      <c r="A355" s="6" t="s">
        <v>1012</v>
      </c>
      <c r="B355" s="6" t="s">
        <v>1013</v>
      </c>
      <c r="C355" s="6" t="s">
        <v>1014</v>
      </c>
      <c r="D355" s="6" t="s">
        <v>10</v>
      </c>
      <c r="E355" s="6" t="s">
        <v>93</v>
      </c>
      <c r="F355" s="6" t="s">
        <v>12</v>
      </c>
      <c r="G355" s="6" t="s">
        <v>13</v>
      </c>
    </row>
    <row r="356">
      <c r="A356" s="6" t="s">
        <v>1015</v>
      </c>
      <c r="B356" s="6" t="s">
        <v>1016</v>
      </c>
      <c r="C356" s="6" t="s">
        <v>1017</v>
      </c>
      <c r="D356" s="6" t="s">
        <v>10</v>
      </c>
      <c r="E356" s="6" t="s">
        <v>11</v>
      </c>
      <c r="F356" s="6" t="s">
        <v>12</v>
      </c>
      <c r="G356" s="6" t="s">
        <v>13</v>
      </c>
    </row>
    <row r="357">
      <c r="A357" s="6" t="s">
        <v>1018</v>
      </c>
      <c r="B357" s="6" t="s">
        <v>1019</v>
      </c>
      <c r="C357" s="6" t="s">
        <v>1020</v>
      </c>
      <c r="D357" s="6" t="s">
        <v>10</v>
      </c>
      <c r="E357" s="6" t="s">
        <v>11</v>
      </c>
      <c r="F357" s="6" t="s">
        <v>12</v>
      </c>
      <c r="G357" s="6" t="s">
        <v>13</v>
      </c>
    </row>
    <row r="358">
      <c r="A358" s="6" t="s">
        <v>1021</v>
      </c>
      <c r="B358" s="6">
        <v>6.0019747E7</v>
      </c>
      <c r="C358" s="6" t="s">
        <v>1022</v>
      </c>
      <c r="D358" s="6" t="s">
        <v>10</v>
      </c>
      <c r="E358" s="6" t="s">
        <v>214</v>
      </c>
      <c r="F358" s="6" t="s">
        <v>12</v>
      </c>
      <c r="G358" s="6" t="s">
        <v>36</v>
      </c>
    </row>
    <row r="359">
      <c r="A359" s="6" t="s">
        <v>1023</v>
      </c>
      <c r="B359" s="6" t="s">
        <v>1024</v>
      </c>
      <c r="C359" s="6" t="s">
        <v>1025</v>
      </c>
      <c r="D359" s="6" t="s">
        <v>10</v>
      </c>
      <c r="E359" s="6" t="s">
        <v>775</v>
      </c>
      <c r="F359" s="6" t="s">
        <v>12</v>
      </c>
      <c r="G359" s="6" t="s">
        <v>79</v>
      </c>
    </row>
    <row r="360">
      <c r="A360" s="6" t="s">
        <v>1026</v>
      </c>
      <c r="B360" s="6">
        <v>6.0019748E7</v>
      </c>
      <c r="C360" s="6" t="s">
        <v>1027</v>
      </c>
      <c r="D360" s="6" t="s">
        <v>10</v>
      </c>
      <c r="E360" s="6" t="s">
        <v>214</v>
      </c>
      <c r="F360" s="6" t="s">
        <v>12</v>
      </c>
      <c r="G360" s="6" t="s">
        <v>36</v>
      </c>
    </row>
    <row r="361">
      <c r="A361" s="7" t="s">
        <v>1028</v>
      </c>
      <c r="B361" s="7" t="s">
        <v>1029</v>
      </c>
      <c r="C361" s="7" t="s">
        <v>1030</v>
      </c>
      <c r="D361" s="7" t="s">
        <v>10</v>
      </c>
      <c r="E361" s="7" t="s">
        <v>775</v>
      </c>
      <c r="F361" s="7" t="s">
        <v>12</v>
      </c>
      <c r="G361" s="7" t="s">
        <v>79</v>
      </c>
    </row>
    <row r="362">
      <c r="A362" s="6" t="s">
        <v>1031</v>
      </c>
      <c r="B362" s="6" t="s">
        <v>1032</v>
      </c>
      <c r="C362" s="6" t="s">
        <v>1033</v>
      </c>
      <c r="D362" s="6" t="s">
        <v>10</v>
      </c>
      <c r="E362" s="6" t="s">
        <v>775</v>
      </c>
      <c r="F362" s="6" t="s">
        <v>12</v>
      </c>
      <c r="G362" s="6" t="s">
        <v>79</v>
      </c>
    </row>
    <row r="363">
      <c r="A363" s="6" t="s">
        <v>1034</v>
      </c>
      <c r="B363" s="6" t="s">
        <v>1035</v>
      </c>
      <c r="C363" s="6" t="s">
        <v>1036</v>
      </c>
      <c r="D363" s="6" t="s">
        <v>10</v>
      </c>
      <c r="E363" s="6" t="s">
        <v>93</v>
      </c>
      <c r="F363" s="6" t="s">
        <v>12</v>
      </c>
      <c r="G363" s="6" t="s">
        <v>13</v>
      </c>
    </row>
    <row r="364">
      <c r="A364" s="6" t="s">
        <v>1037</v>
      </c>
      <c r="B364" s="6" t="s">
        <v>1038</v>
      </c>
      <c r="C364" s="6" t="s">
        <v>1039</v>
      </c>
      <c r="D364" s="6" t="s">
        <v>10</v>
      </c>
      <c r="E364" s="6" t="s">
        <v>775</v>
      </c>
      <c r="F364" s="6" t="s">
        <v>12</v>
      </c>
      <c r="G364" s="6" t="s">
        <v>79</v>
      </c>
    </row>
    <row r="365">
      <c r="A365" s="6" t="s">
        <v>1040</v>
      </c>
      <c r="B365" s="6" t="s">
        <v>1041</v>
      </c>
      <c r="C365" s="6" t="s">
        <v>1042</v>
      </c>
      <c r="D365" s="6" t="s">
        <v>10</v>
      </c>
      <c r="E365" s="6" t="s">
        <v>93</v>
      </c>
      <c r="F365" s="6" t="s">
        <v>12</v>
      </c>
      <c r="G365" s="6" t="s">
        <v>13</v>
      </c>
    </row>
    <row r="366">
      <c r="A366" s="6" t="s">
        <v>1043</v>
      </c>
      <c r="B366" s="6" t="s">
        <v>1044</v>
      </c>
      <c r="C366" s="6" t="s">
        <v>1045</v>
      </c>
      <c r="D366" s="6" t="s">
        <v>10</v>
      </c>
      <c r="E366" s="6" t="s">
        <v>11</v>
      </c>
      <c r="F366" s="6" t="s">
        <v>12</v>
      </c>
      <c r="G366" s="6" t="s">
        <v>13</v>
      </c>
    </row>
    <row r="367">
      <c r="A367" s="6" t="s">
        <v>1046</v>
      </c>
      <c r="B367" s="6" t="s">
        <v>1047</v>
      </c>
      <c r="C367" s="6" t="s">
        <v>1048</v>
      </c>
      <c r="D367" s="6" t="s">
        <v>10</v>
      </c>
      <c r="E367" s="6" t="s">
        <v>93</v>
      </c>
      <c r="F367" s="6" t="s">
        <v>12</v>
      </c>
      <c r="G367" s="6" t="s">
        <v>13</v>
      </c>
    </row>
    <row r="368">
      <c r="A368" s="11"/>
      <c r="B368" s="11"/>
      <c r="C368" s="11"/>
      <c r="D368" s="11"/>
      <c r="E368" s="11"/>
      <c r="F368" s="11"/>
      <c r="G368" s="11"/>
    </row>
    <row r="369">
      <c r="A369" s="6" t="s">
        <v>1049</v>
      </c>
      <c r="B369" s="6" t="s">
        <v>1050</v>
      </c>
      <c r="C369" s="6" t="s">
        <v>1051</v>
      </c>
      <c r="D369" s="6" t="s">
        <v>10</v>
      </c>
      <c r="E369" s="6" t="s">
        <v>756</v>
      </c>
      <c r="F369" s="6" t="s">
        <v>12</v>
      </c>
      <c r="G369" s="6" t="s">
        <v>36</v>
      </c>
    </row>
    <row r="370">
      <c r="A370" s="6" t="s">
        <v>1052</v>
      </c>
      <c r="B370" s="6" t="s">
        <v>1053</v>
      </c>
      <c r="C370" s="6" t="s">
        <v>1054</v>
      </c>
      <c r="D370" s="6" t="s">
        <v>10</v>
      </c>
      <c r="E370" s="6" t="s">
        <v>93</v>
      </c>
      <c r="F370" s="6" t="s">
        <v>12</v>
      </c>
      <c r="G370" s="6" t="s">
        <v>13</v>
      </c>
    </row>
    <row r="371">
      <c r="A371" s="6" t="s">
        <v>1055</v>
      </c>
      <c r="B371" s="6" t="s">
        <v>1056</v>
      </c>
      <c r="C371" s="6" t="s">
        <v>1057</v>
      </c>
      <c r="D371" s="6" t="s">
        <v>10</v>
      </c>
      <c r="E371" s="6" t="s">
        <v>11</v>
      </c>
      <c r="F371" s="6" t="s">
        <v>12</v>
      </c>
      <c r="G371" s="6" t="s">
        <v>13</v>
      </c>
    </row>
    <row r="372">
      <c r="A372" s="6" t="s">
        <v>1058</v>
      </c>
      <c r="B372" s="6" t="s">
        <v>1059</v>
      </c>
      <c r="C372" s="6" t="s">
        <v>1060</v>
      </c>
      <c r="D372" s="6" t="s">
        <v>10</v>
      </c>
      <c r="E372" s="6" t="s">
        <v>11</v>
      </c>
      <c r="F372" s="6" t="s">
        <v>12</v>
      </c>
      <c r="G372" s="6" t="s">
        <v>13</v>
      </c>
    </row>
    <row r="373">
      <c r="A373" s="6" t="s">
        <v>1061</v>
      </c>
      <c r="B373" s="6" t="s">
        <v>1062</v>
      </c>
      <c r="C373" s="6" t="s">
        <v>1063</v>
      </c>
      <c r="D373" s="6" t="s">
        <v>10</v>
      </c>
      <c r="E373" s="6" t="s">
        <v>93</v>
      </c>
      <c r="F373" s="6" t="s">
        <v>12</v>
      </c>
      <c r="G373" s="6" t="s">
        <v>13</v>
      </c>
    </row>
    <row r="374">
      <c r="A374" s="6" t="s">
        <v>1064</v>
      </c>
      <c r="B374" s="6" t="s">
        <v>1065</v>
      </c>
      <c r="C374" s="6" t="s">
        <v>1066</v>
      </c>
      <c r="D374" s="6" t="s">
        <v>10</v>
      </c>
      <c r="E374" s="6" t="s">
        <v>93</v>
      </c>
      <c r="F374" s="6" t="s">
        <v>12</v>
      </c>
      <c r="G374" s="6" t="s">
        <v>13</v>
      </c>
    </row>
    <row r="375">
      <c r="A375" s="6" t="s">
        <v>1067</v>
      </c>
      <c r="B375" s="6" t="s">
        <v>1068</v>
      </c>
      <c r="C375" s="6" t="s">
        <v>1069</v>
      </c>
      <c r="D375" s="6" t="s">
        <v>10</v>
      </c>
      <c r="E375" s="6" t="s">
        <v>775</v>
      </c>
      <c r="F375" s="6" t="s">
        <v>12</v>
      </c>
      <c r="G375" s="6" t="s">
        <v>79</v>
      </c>
    </row>
    <row r="376">
      <c r="A376" s="6" t="s">
        <v>1070</v>
      </c>
      <c r="B376" s="6" t="s">
        <v>1071</v>
      </c>
      <c r="C376" s="6" t="s">
        <v>1072</v>
      </c>
      <c r="D376" s="6" t="s">
        <v>10</v>
      </c>
      <c r="E376" s="6" t="s">
        <v>756</v>
      </c>
      <c r="F376" s="6" t="s">
        <v>12</v>
      </c>
      <c r="G376" s="6" t="s">
        <v>36</v>
      </c>
    </row>
    <row r="377">
      <c r="A377" s="6" t="s">
        <v>1073</v>
      </c>
      <c r="B377" s="6" t="s">
        <v>1074</v>
      </c>
      <c r="C377" s="6" t="s">
        <v>1075</v>
      </c>
      <c r="D377" s="6" t="s">
        <v>10</v>
      </c>
      <c r="E377" s="6" t="s">
        <v>93</v>
      </c>
      <c r="F377" s="6" t="s">
        <v>12</v>
      </c>
      <c r="G377" s="6" t="s">
        <v>13</v>
      </c>
    </row>
    <row r="378">
      <c r="A378" s="6" t="s">
        <v>1076</v>
      </c>
      <c r="B378" s="6" t="s">
        <v>1077</v>
      </c>
      <c r="C378" s="6" t="s">
        <v>1078</v>
      </c>
      <c r="D378" s="6" t="s">
        <v>10</v>
      </c>
      <c r="E378" s="6" t="s">
        <v>93</v>
      </c>
      <c r="F378" s="6" t="s">
        <v>12</v>
      </c>
      <c r="G378" s="6" t="s">
        <v>13</v>
      </c>
    </row>
    <row r="379">
      <c r="A379" s="6" t="s">
        <v>1079</v>
      </c>
      <c r="B379" s="6" t="s">
        <v>1080</v>
      </c>
      <c r="C379" s="6" t="s">
        <v>1081</v>
      </c>
      <c r="D379" s="6" t="s">
        <v>10</v>
      </c>
      <c r="E379" s="6" t="s">
        <v>775</v>
      </c>
      <c r="F379" s="6" t="s">
        <v>12</v>
      </c>
      <c r="G379" s="6" t="s">
        <v>79</v>
      </c>
    </row>
    <row r="380">
      <c r="A380" s="6" t="s">
        <v>1082</v>
      </c>
      <c r="B380" s="6" t="s">
        <v>1083</v>
      </c>
      <c r="C380" s="6" t="s">
        <v>1084</v>
      </c>
      <c r="D380" s="6" t="s">
        <v>10</v>
      </c>
      <c r="E380" s="6" t="s">
        <v>756</v>
      </c>
      <c r="F380" s="6" t="s">
        <v>12</v>
      </c>
      <c r="G380" s="6" t="s">
        <v>36</v>
      </c>
    </row>
    <row r="381">
      <c r="A381" s="6" t="s">
        <v>1085</v>
      </c>
      <c r="B381" s="6" t="s">
        <v>1086</v>
      </c>
      <c r="C381" s="6" t="s">
        <v>1087</v>
      </c>
      <c r="D381" s="6" t="s">
        <v>10</v>
      </c>
      <c r="E381" s="6" t="s">
        <v>93</v>
      </c>
      <c r="F381" s="6" t="s">
        <v>12</v>
      </c>
      <c r="G381" s="6" t="s">
        <v>13</v>
      </c>
    </row>
    <row r="382">
      <c r="A382" s="6" t="s">
        <v>1088</v>
      </c>
      <c r="B382" s="6" t="s">
        <v>1089</v>
      </c>
      <c r="C382" s="6" t="s">
        <v>1090</v>
      </c>
      <c r="D382" s="6" t="s">
        <v>10</v>
      </c>
      <c r="E382" s="6" t="s">
        <v>775</v>
      </c>
      <c r="F382" s="6" t="s">
        <v>12</v>
      </c>
      <c r="G382" s="6" t="s">
        <v>79</v>
      </c>
    </row>
    <row r="383">
      <c r="A383" s="6" t="s">
        <v>1091</v>
      </c>
      <c r="B383" s="6" t="s">
        <v>1092</v>
      </c>
      <c r="C383" s="6" t="s">
        <v>1093</v>
      </c>
      <c r="D383" s="6" t="s">
        <v>10</v>
      </c>
      <c r="E383" s="6" t="s">
        <v>756</v>
      </c>
      <c r="F383" s="6" t="s">
        <v>12</v>
      </c>
      <c r="G383" s="6" t="s">
        <v>36</v>
      </c>
    </row>
    <row r="384">
      <c r="A384" s="6" t="s">
        <v>1094</v>
      </c>
      <c r="B384" s="6" t="s">
        <v>1095</v>
      </c>
      <c r="C384" s="6" t="s">
        <v>1096</v>
      </c>
      <c r="D384" s="6" t="s">
        <v>10</v>
      </c>
      <c r="E384" s="6" t="s">
        <v>756</v>
      </c>
      <c r="F384" s="6" t="s">
        <v>12</v>
      </c>
      <c r="G384" s="6" t="s">
        <v>36</v>
      </c>
    </row>
    <row r="385">
      <c r="A385" s="6" t="s">
        <v>1097</v>
      </c>
      <c r="B385" s="6" t="s">
        <v>1098</v>
      </c>
      <c r="C385" s="6" t="s">
        <v>1099</v>
      </c>
      <c r="D385" s="6" t="s">
        <v>10</v>
      </c>
      <c r="E385" s="6" t="s">
        <v>93</v>
      </c>
      <c r="F385" s="6" t="s">
        <v>12</v>
      </c>
      <c r="G385" s="6" t="s">
        <v>13</v>
      </c>
    </row>
    <row r="386">
      <c r="A386" s="6" t="s">
        <v>1100</v>
      </c>
      <c r="B386" s="6" t="s">
        <v>1101</v>
      </c>
      <c r="C386" s="6" t="s">
        <v>1102</v>
      </c>
      <c r="D386" s="6" t="s">
        <v>10</v>
      </c>
      <c r="E386" s="6" t="s">
        <v>93</v>
      </c>
      <c r="F386" s="6" t="s">
        <v>12</v>
      </c>
      <c r="G386" s="6" t="s">
        <v>13</v>
      </c>
    </row>
    <row r="387">
      <c r="A387" s="6" t="s">
        <v>1103</v>
      </c>
      <c r="B387" s="6" t="s">
        <v>1104</v>
      </c>
      <c r="C387" s="6" t="s">
        <v>1105</v>
      </c>
      <c r="D387" s="6" t="s">
        <v>10</v>
      </c>
      <c r="E387" s="6" t="s">
        <v>11</v>
      </c>
      <c r="F387" s="6" t="s">
        <v>12</v>
      </c>
      <c r="G387" s="6" t="s">
        <v>13</v>
      </c>
    </row>
    <row r="388">
      <c r="A388" s="6" t="s">
        <v>1106</v>
      </c>
      <c r="B388" s="6" t="s">
        <v>1107</v>
      </c>
      <c r="C388" s="6" t="s">
        <v>1108</v>
      </c>
      <c r="D388" s="6" t="s">
        <v>10</v>
      </c>
      <c r="E388" s="6" t="s">
        <v>11</v>
      </c>
      <c r="F388" s="6" t="s">
        <v>12</v>
      </c>
      <c r="G388" s="6" t="s">
        <v>13</v>
      </c>
    </row>
    <row r="389">
      <c r="A389" s="6" t="s">
        <v>1109</v>
      </c>
      <c r="B389" s="6" t="s">
        <v>1110</v>
      </c>
      <c r="C389" s="6" t="s">
        <v>1111</v>
      </c>
      <c r="D389" s="6" t="s">
        <v>10</v>
      </c>
      <c r="E389" s="6" t="s">
        <v>775</v>
      </c>
      <c r="F389" s="6" t="s">
        <v>12</v>
      </c>
      <c r="G389" s="6" t="s">
        <v>79</v>
      </c>
    </row>
    <row r="390">
      <c r="A390" s="6" t="s">
        <v>1112</v>
      </c>
      <c r="B390" s="6" t="s">
        <v>1113</v>
      </c>
      <c r="C390" s="6" t="s">
        <v>1114</v>
      </c>
      <c r="D390" s="6" t="s">
        <v>10</v>
      </c>
      <c r="E390" s="6" t="s">
        <v>775</v>
      </c>
      <c r="F390" s="6" t="s">
        <v>12</v>
      </c>
      <c r="G390" s="6" t="s">
        <v>79</v>
      </c>
    </row>
    <row r="391">
      <c r="A391" s="6" t="s">
        <v>1115</v>
      </c>
      <c r="B391" s="6" t="s">
        <v>1116</v>
      </c>
      <c r="C391" s="6" t="s">
        <v>1117</v>
      </c>
      <c r="D391" s="6" t="s">
        <v>10</v>
      </c>
      <c r="E391" s="6" t="s">
        <v>775</v>
      </c>
      <c r="F391" s="6" t="s">
        <v>12</v>
      </c>
      <c r="G391" s="6" t="s">
        <v>79</v>
      </c>
    </row>
    <row r="392">
      <c r="A392" s="6" t="s">
        <v>1118</v>
      </c>
      <c r="B392" s="6" t="s">
        <v>1119</v>
      </c>
      <c r="C392" s="6" t="s">
        <v>1120</v>
      </c>
      <c r="D392" s="6" t="s">
        <v>10</v>
      </c>
      <c r="E392" s="6" t="s">
        <v>756</v>
      </c>
      <c r="F392" s="6" t="s">
        <v>12</v>
      </c>
      <c r="G392" s="6" t="s">
        <v>36</v>
      </c>
    </row>
    <row r="393">
      <c r="A393" s="6" t="s">
        <v>1121</v>
      </c>
      <c r="B393" s="6" t="s">
        <v>1122</v>
      </c>
      <c r="C393" s="6" t="s">
        <v>1123</v>
      </c>
      <c r="D393" s="6" t="s">
        <v>10</v>
      </c>
      <c r="E393" s="6" t="s">
        <v>11</v>
      </c>
      <c r="F393" s="6" t="s">
        <v>12</v>
      </c>
      <c r="G393" s="6" t="s">
        <v>13</v>
      </c>
    </row>
    <row r="394">
      <c r="A394" s="6" t="s">
        <v>1124</v>
      </c>
      <c r="B394" s="6" t="s">
        <v>1125</v>
      </c>
      <c r="C394" s="6" t="s">
        <v>1126</v>
      </c>
      <c r="D394" s="6" t="s">
        <v>10</v>
      </c>
      <c r="E394" s="6" t="s">
        <v>93</v>
      </c>
      <c r="F394" s="6" t="s">
        <v>12</v>
      </c>
      <c r="G394" s="6" t="s">
        <v>13</v>
      </c>
    </row>
    <row r="395">
      <c r="A395" s="6" t="s">
        <v>1127</v>
      </c>
      <c r="B395" s="6" t="s">
        <v>1128</v>
      </c>
      <c r="C395" s="6" t="s">
        <v>1129</v>
      </c>
      <c r="D395" s="6" t="s">
        <v>10</v>
      </c>
      <c r="E395" s="6" t="s">
        <v>756</v>
      </c>
      <c r="F395" s="6" t="s">
        <v>12</v>
      </c>
      <c r="G395" s="6" t="s">
        <v>36</v>
      </c>
    </row>
    <row r="396">
      <c r="A396" s="6" t="s">
        <v>1130</v>
      </c>
      <c r="B396" s="6" t="s">
        <v>1131</v>
      </c>
      <c r="C396" s="6" t="s">
        <v>1132</v>
      </c>
      <c r="D396" s="6" t="s">
        <v>10</v>
      </c>
      <c r="E396" s="6" t="s">
        <v>756</v>
      </c>
      <c r="F396" s="6" t="s">
        <v>12</v>
      </c>
      <c r="G396" s="6" t="s">
        <v>36</v>
      </c>
    </row>
    <row r="397">
      <c r="A397" s="6" t="s">
        <v>1133</v>
      </c>
      <c r="B397" s="6" t="s">
        <v>1134</v>
      </c>
      <c r="C397" s="6" t="s">
        <v>1135</v>
      </c>
      <c r="D397" s="6" t="s">
        <v>10</v>
      </c>
      <c r="E397" s="6" t="s">
        <v>775</v>
      </c>
      <c r="F397" s="6" t="s">
        <v>12</v>
      </c>
      <c r="G397" s="6" t="s">
        <v>79</v>
      </c>
    </row>
    <row r="398">
      <c r="A398" s="6" t="s">
        <v>1136</v>
      </c>
      <c r="B398" s="6" t="s">
        <v>1137</v>
      </c>
      <c r="C398" s="6" t="s">
        <v>1138</v>
      </c>
      <c r="D398" s="6" t="s">
        <v>10</v>
      </c>
      <c r="E398" s="6" t="s">
        <v>775</v>
      </c>
      <c r="F398" s="6" t="s">
        <v>12</v>
      </c>
      <c r="G398" s="6" t="s">
        <v>79</v>
      </c>
    </row>
    <row r="399">
      <c r="A399" s="6" t="s">
        <v>1139</v>
      </c>
      <c r="B399" s="6" t="s">
        <v>1140</v>
      </c>
      <c r="C399" s="6" t="s">
        <v>1141</v>
      </c>
      <c r="D399" s="6" t="s">
        <v>10</v>
      </c>
      <c r="E399" s="6" t="s">
        <v>775</v>
      </c>
      <c r="F399" s="6" t="s">
        <v>12</v>
      </c>
      <c r="G399" s="6" t="s">
        <v>79</v>
      </c>
    </row>
    <row r="400">
      <c r="A400" s="6" t="s">
        <v>1142</v>
      </c>
      <c r="B400" s="6" t="s">
        <v>1143</v>
      </c>
      <c r="C400" s="6" t="s">
        <v>1144</v>
      </c>
      <c r="D400" s="6" t="s">
        <v>10</v>
      </c>
      <c r="E400" s="6" t="s">
        <v>11</v>
      </c>
      <c r="F400" s="6" t="s">
        <v>12</v>
      </c>
      <c r="G400" s="6" t="s">
        <v>13</v>
      </c>
    </row>
    <row r="401">
      <c r="A401" s="6" t="s">
        <v>1145</v>
      </c>
      <c r="B401" s="6" t="s">
        <v>1146</v>
      </c>
      <c r="C401" s="6" t="s">
        <v>1147</v>
      </c>
      <c r="D401" s="6" t="s">
        <v>10</v>
      </c>
      <c r="E401" s="6" t="s">
        <v>756</v>
      </c>
      <c r="F401" s="6" t="s">
        <v>12</v>
      </c>
      <c r="G401" s="6" t="s">
        <v>36</v>
      </c>
    </row>
    <row r="402">
      <c r="A402" s="6" t="s">
        <v>1148</v>
      </c>
      <c r="B402" s="6" t="s">
        <v>1149</v>
      </c>
      <c r="C402" s="6" t="s">
        <v>1150</v>
      </c>
      <c r="D402" s="6" t="s">
        <v>10</v>
      </c>
      <c r="E402" s="6" t="s">
        <v>775</v>
      </c>
      <c r="F402" s="6" t="s">
        <v>12</v>
      </c>
      <c r="G402" s="6" t="s">
        <v>79</v>
      </c>
    </row>
    <row r="403">
      <c r="A403" s="6" t="s">
        <v>1151</v>
      </c>
      <c r="B403" s="6" t="s">
        <v>1152</v>
      </c>
      <c r="C403" s="6" t="s">
        <v>1153</v>
      </c>
      <c r="D403" s="6" t="s">
        <v>10</v>
      </c>
      <c r="E403" s="6" t="s">
        <v>93</v>
      </c>
      <c r="F403" s="6" t="s">
        <v>12</v>
      </c>
      <c r="G403" s="6" t="s">
        <v>13</v>
      </c>
    </row>
    <row r="404">
      <c r="A404" s="6" t="s">
        <v>1154</v>
      </c>
      <c r="B404" s="6" t="s">
        <v>1155</v>
      </c>
      <c r="C404" s="6" t="s">
        <v>1156</v>
      </c>
      <c r="D404" s="6" t="s">
        <v>10</v>
      </c>
      <c r="E404" s="6" t="s">
        <v>11</v>
      </c>
      <c r="F404" s="6" t="s">
        <v>12</v>
      </c>
      <c r="G404" s="6" t="s">
        <v>13</v>
      </c>
    </row>
    <row r="405">
      <c r="A405" s="6" t="s">
        <v>1157</v>
      </c>
      <c r="B405" s="6" t="s">
        <v>1158</v>
      </c>
      <c r="C405" s="6" t="s">
        <v>1159</v>
      </c>
      <c r="D405" s="6" t="s">
        <v>10</v>
      </c>
      <c r="E405" s="6" t="s">
        <v>93</v>
      </c>
      <c r="F405" s="6" t="s">
        <v>12</v>
      </c>
      <c r="G405" s="6" t="s">
        <v>13</v>
      </c>
    </row>
    <row r="406">
      <c r="A406" s="6" t="s">
        <v>1160</v>
      </c>
      <c r="B406" s="6" t="s">
        <v>1161</v>
      </c>
      <c r="C406" s="6" t="s">
        <v>1162</v>
      </c>
      <c r="D406" s="6" t="s">
        <v>10</v>
      </c>
      <c r="E406" s="6" t="s">
        <v>93</v>
      </c>
      <c r="F406" s="6" t="s">
        <v>12</v>
      </c>
      <c r="G406" s="6" t="s">
        <v>13</v>
      </c>
    </row>
    <row r="407">
      <c r="A407" s="6" t="s">
        <v>1163</v>
      </c>
      <c r="B407" s="6" t="s">
        <v>1164</v>
      </c>
      <c r="C407" s="6" t="s">
        <v>1165</v>
      </c>
      <c r="D407" s="6" t="s">
        <v>10</v>
      </c>
      <c r="E407" s="6" t="s">
        <v>93</v>
      </c>
      <c r="F407" s="6" t="s">
        <v>12</v>
      </c>
      <c r="G407" s="6" t="s">
        <v>13</v>
      </c>
    </row>
    <row r="408">
      <c r="A408" s="6" t="s">
        <v>1166</v>
      </c>
      <c r="B408" s="6" t="s">
        <v>1167</v>
      </c>
      <c r="C408" s="6" t="s">
        <v>1168</v>
      </c>
      <c r="D408" s="6" t="s">
        <v>10</v>
      </c>
      <c r="E408" s="6" t="s">
        <v>93</v>
      </c>
      <c r="F408" s="6" t="s">
        <v>12</v>
      </c>
      <c r="G408" s="6" t="s">
        <v>13</v>
      </c>
    </row>
    <row r="409">
      <c r="A409" s="6" t="s">
        <v>1169</v>
      </c>
      <c r="B409" s="6" t="s">
        <v>1170</v>
      </c>
      <c r="C409" s="6" t="s">
        <v>1171</v>
      </c>
      <c r="D409" s="6" t="s">
        <v>10</v>
      </c>
      <c r="E409" s="6" t="s">
        <v>11</v>
      </c>
      <c r="F409" s="6" t="s">
        <v>12</v>
      </c>
      <c r="G409" s="6" t="s">
        <v>13</v>
      </c>
    </row>
    <row r="410">
      <c r="A410" s="6" t="s">
        <v>1172</v>
      </c>
      <c r="B410" s="6" t="s">
        <v>1173</v>
      </c>
      <c r="C410" s="6" t="s">
        <v>1174</v>
      </c>
      <c r="D410" s="6" t="s">
        <v>10</v>
      </c>
      <c r="E410" s="6" t="s">
        <v>11</v>
      </c>
      <c r="F410" s="6" t="s">
        <v>12</v>
      </c>
      <c r="G410" s="6" t="s">
        <v>13</v>
      </c>
    </row>
    <row r="411">
      <c r="A411" s="6" t="s">
        <v>1175</v>
      </c>
      <c r="B411" s="6" t="s">
        <v>1176</v>
      </c>
      <c r="C411" s="6" t="s">
        <v>1177</v>
      </c>
      <c r="D411" s="6" t="s">
        <v>10</v>
      </c>
      <c r="E411" s="6" t="s">
        <v>11</v>
      </c>
      <c r="F411" s="6" t="s">
        <v>12</v>
      </c>
      <c r="G411" s="6" t="s">
        <v>13</v>
      </c>
    </row>
    <row r="412">
      <c r="A412" s="6" t="s">
        <v>1178</v>
      </c>
      <c r="B412" s="6" t="s">
        <v>1179</v>
      </c>
      <c r="C412" s="6" t="s">
        <v>1180</v>
      </c>
      <c r="D412" s="6" t="s">
        <v>10</v>
      </c>
      <c r="E412" s="6" t="s">
        <v>775</v>
      </c>
      <c r="F412" s="6" t="s">
        <v>12</v>
      </c>
      <c r="G412" s="6" t="s">
        <v>79</v>
      </c>
    </row>
    <row r="413">
      <c r="A413" s="6" t="s">
        <v>1181</v>
      </c>
      <c r="B413" s="6" t="s">
        <v>1182</v>
      </c>
      <c r="C413" s="6" t="s">
        <v>1183</v>
      </c>
      <c r="D413" s="6" t="s">
        <v>10</v>
      </c>
      <c r="E413" s="6" t="s">
        <v>11</v>
      </c>
      <c r="F413" s="6" t="s">
        <v>12</v>
      </c>
      <c r="G413" s="6" t="s">
        <v>13</v>
      </c>
    </row>
    <row r="414">
      <c r="A414" s="6" t="s">
        <v>1184</v>
      </c>
      <c r="B414" s="6" t="s">
        <v>1185</v>
      </c>
      <c r="C414" s="6" t="s">
        <v>1186</v>
      </c>
      <c r="D414" s="6" t="s">
        <v>10</v>
      </c>
      <c r="E414" s="6" t="s">
        <v>11</v>
      </c>
      <c r="F414" s="6" t="s">
        <v>12</v>
      </c>
      <c r="G414" s="6" t="s">
        <v>13</v>
      </c>
    </row>
    <row r="415">
      <c r="A415" s="6" t="s">
        <v>1187</v>
      </c>
      <c r="B415" s="6" t="s">
        <v>1188</v>
      </c>
      <c r="C415" s="6" t="s">
        <v>1189</v>
      </c>
      <c r="D415" s="6" t="s">
        <v>10</v>
      </c>
      <c r="E415" s="6" t="s">
        <v>775</v>
      </c>
      <c r="F415" s="6" t="s">
        <v>12</v>
      </c>
      <c r="G415" s="6" t="s">
        <v>79</v>
      </c>
    </row>
    <row r="416">
      <c r="A416" s="6" t="s">
        <v>1190</v>
      </c>
      <c r="B416" s="6" t="s">
        <v>1191</v>
      </c>
      <c r="C416" s="6" t="s">
        <v>1192</v>
      </c>
      <c r="D416" s="6" t="s">
        <v>10</v>
      </c>
      <c r="E416" s="6" t="s">
        <v>775</v>
      </c>
      <c r="F416" s="6" t="s">
        <v>12</v>
      </c>
      <c r="G416" s="6" t="s">
        <v>79</v>
      </c>
    </row>
    <row r="417">
      <c r="A417" s="6" t="s">
        <v>1193</v>
      </c>
      <c r="B417" s="6" t="s">
        <v>1194</v>
      </c>
      <c r="C417" s="6" t="s">
        <v>1195</v>
      </c>
      <c r="D417" s="6" t="s">
        <v>10</v>
      </c>
      <c r="E417" s="6" t="s">
        <v>775</v>
      </c>
      <c r="F417" s="6" t="s">
        <v>12</v>
      </c>
      <c r="G417" s="6" t="s">
        <v>79</v>
      </c>
    </row>
    <row r="418">
      <c r="A418" s="6" t="s">
        <v>1196</v>
      </c>
      <c r="B418" s="6" t="s">
        <v>1197</v>
      </c>
      <c r="C418" s="6" t="s">
        <v>1198</v>
      </c>
      <c r="D418" s="6" t="s">
        <v>10</v>
      </c>
      <c r="E418" s="6" t="s">
        <v>756</v>
      </c>
      <c r="F418" s="6" t="s">
        <v>12</v>
      </c>
      <c r="G418" s="6" t="s">
        <v>36</v>
      </c>
    </row>
    <row r="419">
      <c r="A419" s="5" t="s">
        <v>1199</v>
      </c>
      <c r="B419" s="5" t="s">
        <v>1200</v>
      </c>
      <c r="C419" s="5" t="s">
        <v>1201</v>
      </c>
      <c r="D419" s="5" t="s">
        <v>10</v>
      </c>
      <c r="E419" s="5" t="s">
        <v>775</v>
      </c>
      <c r="F419" s="5" t="s">
        <v>12</v>
      </c>
      <c r="G419" s="5" t="s">
        <v>79</v>
      </c>
    </row>
    <row r="420">
      <c r="A420" s="6" t="s">
        <v>1202</v>
      </c>
      <c r="B420" s="6" t="s">
        <v>1203</v>
      </c>
      <c r="C420" s="6" t="s">
        <v>1204</v>
      </c>
      <c r="D420" s="6" t="s">
        <v>10</v>
      </c>
      <c r="E420" s="6" t="s">
        <v>775</v>
      </c>
      <c r="F420" s="6" t="s">
        <v>12</v>
      </c>
      <c r="G420" s="6" t="s">
        <v>79</v>
      </c>
    </row>
    <row r="421">
      <c r="A421" s="6" t="s">
        <v>1205</v>
      </c>
      <c r="B421" s="6" t="s">
        <v>1206</v>
      </c>
      <c r="C421" s="6" t="s">
        <v>1207</v>
      </c>
      <c r="D421" s="6" t="s">
        <v>10</v>
      </c>
      <c r="E421" s="6" t="s">
        <v>775</v>
      </c>
      <c r="F421" s="6" t="s">
        <v>12</v>
      </c>
      <c r="G421" s="6" t="s">
        <v>79</v>
      </c>
    </row>
    <row r="422">
      <c r="A422" s="6" t="s">
        <v>1208</v>
      </c>
      <c r="B422" s="6" t="s">
        <v>1209</v>
      </c>
      <c r="C422" s="6" t="s">
        <v>1210</v>
      </c>
      <c r="D422" s="6" t="s">
        <v>10</v>
      </c>
      <c r="E422" s="6" t="s">
        <v>775</v>
      </c>
      <c r="F422" s="6" t="s">
        <v>12</v>
      </c>
      <c r="G422" s="6" t="s">
        <v>79</v>
      </c>
    </row>
    <row r="423">
      <c r="A423" s="10" t="s">
        <v>1211</v>
      </c>
      <c r="B423" s="10" t="s">
        <v>1212</v>
      </c>
      <c r="C423" s="10" t="s">
        <v>1213</v>
      </c>
      <c r="D423" s="10" t="s">
        <v>10</v>
      </c>
      <c r="E423" s="10" t="s">
        <v>775</v>
      </c>
      <c r="F423" s="10" t="s">
        <v>12</v>
      </c>
      <c r="G423" s="10" t="s">
        <v>79</v>
      </c>
    </row>
    <row r="424">
      <c r="A424" s="5" t="s">
        <v>1214</v>
      </c>
      <c r="B424" s="5" t="s">
        <v>1215</v>
      </c>
      <c r="C424" s="5" t="s">
        <v>1216</v>
      </c>
      <c r="D424" s="5" t="s">
        <v>10</v>
      </c>
      <c r="E424" s="5" t="s">
        <v>775</v>
      </c>
      <c r="F424" s="5" t="s">
        <v>12</v>
      </c>
      <c r="G424" s="5" t="s">
        <v>79</v>
      </c>
    </row>
    <row r="425">
      <c r="A425" s="10" t="s">
        <v>1217</v>
      </c>
      <c r="B425" s="10" t="s">
        <v>1218</v>
      </c>
      <c r="C425" s="10" t="s">
        <v>1219</v>
      </c>
      <c r="D425" s="10" t="s">
        <v>10</v>
      </c>
      <c r="E425" s="10" t="s">
        <v>775</v>
      </c>
      <c r="F425" s="10" t="s">
        <v>12</v>
      </c>
      <c r="G425" s="10" t="s">
        <v>79</v>
      </c>
    </row>
    <row r="426">
      <c r="A426" s="6" t="s">
        <v>1220</v>
      </c>
      <c r="B426" s="6" t="s">
        <v>1221</v>
      </c>
      <c r="C426" s="6" t="s">
        <v>1222</v>
      </c>
      <c r="D426" s="6" t="s">
        <v>10</v>
      </c>
      <c r="E426" s="6" t="s">
        <v>93</v>
      </c>
      <c r="F426" s="6" t="s">
        <v>12</v>
      </c>
      <c r="G426" s="6" t="s">
        <v>13</v>
      </c>
    </row>
    <row r="427">
      <c r="A427" s="6" t="s">
        <v>1223</v>
      </c>
      <c r="B427" s="6" t="s">
        <v>1224</v>
      </c>
      <c r="C427" s="6" t="s">
        <v>1225</v>
      </c>
      <c r="D427" s="6" t="s">
        <v>10</v>
      </c>
      <c r="E427" s="6" t="s">
        <v>93</v>
      </c>
      <c r="F427" s="6" t="s">
        <v>12</v>
      </c>
      <c r="G427" s="6" t="s">
        <v>13</v>
      </c>
    </row>
    <row r="428">
      <c r="A428" s="10" t="s">
        <v>1226</v>
      </c>
      <c r="B428" s="10" t="s">
        <v>1227</v>
      </c>
      <c r="C428" s="10" t="s">
        <v>1228</v>
      </c>
      <c r="D428" s="10" t="s">
        <v>10</v>
      </c>
      <c r="E428" s="10" t="s">
        <v>775</v>
      </c>
      <c r="F428" s="10" t="s">
        <v>12</v>
      </c>
      <c r="G428" s="10" t="s">
        <v>79</v>
      </c>
    </row>
    <row r="429">
      <c r="A429" s="10" t="s">
        <v>1229</v>
      </c>
      <c r="B429" s="10" t="s">
        <v>1230</v>
      </c>
      <c r="C429" s="10" t="s">
        <v>1231</v>
      </c>
      <c r="D429" s="10" t="s">
        <v>10</v>
      </c>
      <c r="E429" s="10" t="s">
        <v>93</v>
      </c>
      <c r="F429" s="10" t="s">
        <v>12</v>
      </c>
      <c r="G429" s="10" t="s">
        <v>13</v>
      </c>
    </row>
    <row r="430">
      <c r="A430" s="10" t="s">
        <v>1232</v>
      </c>
      <c r="B430" s="10" t="s">
        <v>1233</v>
      </c>
      <c r="C430" s="10" t="s">
        <v>1234</v>
      </c>
      <c r="D430" s="10" t="s">
        <v>10</v>
      </c>
      <c r="E430" s="10" t="s">
        <v>93</v>
      </c>
      <c r="F430" s="10" t="s">
        <v>12</v>
      </c>
      <c r="G430" s="10" t="s">
        <v>13</v>
      </c>
    </row>
    <row r="431">
      <c r="A431" s="6" t="s">
        <v>1235</v>
      </c>
      <c r="B431" s="6" t="s">
        <v>1236</v>
      </c>
      <c r="C431" s="6" t="s">
        <v>1237</v>
      </c>
      <c r="D431" s="6" t="s">
        <v>10</v>
      </c>
      <c r="E431" s="6" t="s">
        <v>93</v>
      </c>
      <c r="F431" s="6" t="s">
        <v>12</v>
      </c>
      <c r="G431" s="6" t="s">
        <v>13</v>
      </c>
    </row>
    <row r="432">
      <c r="A432" s="10" t="s">
        <v>1238</v>
      </c>
      <c r="B432" s="10" t="s">
        <v>1239</v>
      </c>
      <c r="C432" s="10" t="s">
        <v>1240</v>
      </c>
      <c r="D432" s="10" t="s">
        <v>10</v>
      </c>
      <c r="E432" s="10" t="s">
        <v>93</v>
      </c>
      <c r="F432" s="10" t="s">
        <v>12</v>
      </c>
      <c r="G432" s="10" t="s">
        <v>13</v>
      </c>
    </row>
    <row r="433">
      <c r="A433" s="10" t="s">
        <v>1241</v>
      </c>
      <c r="B433" s="10" t="s">
        <v>1242</v>
      </c>
      <c r="C433" s="10" t="s">
        <v>1243</v>
      </c>
      <c r="D433" s="10" t="s">
        <v>10</v>
      </c>
      <c r="E433" s="10" t="s">
        <v>775</v>
      </c>
      <c r="F433" s="10" t="s">
        <v>12</v>
      </c>
      <c r="G433" s="10" t="s">
        <v>79</v>
      </c>
    </row>
    <row r="434">
      <c r="A434" s="10" t="s">
        <v>1244</v>
      </c>
      <c r="B434" s="10" t="s">
        <v>1245</v>
      </c>
      <c r="C434" s="10" t="s">
        <v>1246</v>
      </c>
      <c r="D434" s="10" t="s">
        <v>10</v>
      </c>
      <c r="E434" s="10" t="s">
        <v>775</v>
      </c>
      <c r="F434" s="10" t="s">
        <v>12</v>
      </c>
      <c r="G434" s="10" t="s">
        <v>79</v>
      </c>
    </row>
    <row r="435">
      <c r="A435" s="10" t="s">
        <v>1247</v>
      </c>
      <c r="B435" s="10" t="s">
        <v>1248</v>
      </c>
      <c r="C435" s="10" t="s">
        <v>1249</v>
      </c>
      <c r="D435" s="10" t="s">
        <v>10</v>
      </c>
      <c r="E435" s="10" t="s">
        <v>775</v>
      </c>
      <c r="F435" s="10" t="s">
        <v>12</v>
      </c>
      <c r="G435" s="10" t="s">
        <v>79</v>
      </c>
    </row>
    <row r="436">
      <c r="A436" s="6" t="s">
        <v>1250</v>
      </c>
      <c r="B436" s="6" t="s">
        <v>1251</v>
      </c>
      <c r="C436" s="6" t="s">
        <v>1252</v>
      </c>
      <c r="D436" s="6" t="s">
        <v>10</v>
      </c>
      <c r="E436" s="6" t="s">
        <v>93</v>
      </c>
      <c r="F436" s="6" t="s">
        <v>12</v>
      </c>
      <c r="G436" s="6" t="s">
        <v>13</v>
      </c>
    </row>
    <row r="437">
      <c r="A437" s="10" t="s">
        <v>1253</v>
      </c>
      <c r="B437" s="10" t="s">
        <v>1254</v>
      </c>
      <c r="C437" s="10" t="s">
        <v>1255</v>
      </c>
      <c r="D437" s="10" t="s">
        <v>10</v>
      </c>
      <c r="E437" s="10" t="s">
        <v>775</v>
      </c>
      <c r="F437" s="10" t="s">
        <v>12</v>
      </c>
      <c r="G437" s="10" t="s">
        <v>79</v>
      </c>
    </row>
    <row r="438">
      <c r="A438" s="10" t="s">
        <v>1256</v>
      </c>
      <c r="B438" s="10" t="s">
        <v>1257</v>
      </c>
      <c r="C438" s="10" t="s">
        <v>1258</v>
      </c>
      <c r="D438" s="10" t="s">
        <v>10</v>
      </c>
      <c r="E438" s="10" t="s">
        <v>11</v>
      </c>
      <c r="F438" s="10" t="s">
        <v>12</v>
      </c>
      <c r="G438" s="10" t="s">
        <v>13</v>
      </c>
    </row>
    <row r="439">
      <c r="A439" s="10" t="s">
        <v>1259</v>
      </c>
      <c r="B439" s="10" t="s">
        <v>1260</v>
      </c>
      <c r="C439" s="10" t="s">
        <v>1261</v>
      </c>
      <c r="D439" s="10" t="s">
        <v>10</v>
      </c>
      <c r="E439" s="10" t="s">
        <v>775</v>
      </c>
      <c r="F439" s="10" t="s">
        <v>12</v>
      </c>
      <c r="G439" s="10" t="s">
        <v>79</v>
      </c>
    </row>
    <row r="440">
      <c r="A440" s="6" t="s">
        <v>1262</v>
      </c>
      <c r="B440" s="6">
        <v>6.0019768E7</v>
      </c>
      <c r="C440" s="6" t="s">
        <v>1263</v>
      </c>
      <c r="D440" s="6" t="s">
        <v>10</v>
      </c>
      <c r="E440" s="6" t="s">
        <v>214</v>
      </c>
      <c r="F440" s="6" t="s">
        <v>12</v>
      </c>
      <c r="G440" s="6" t="s">
        <v>36</v>
      </c>
    </row>
    <row r="441">
      <c r="A441" s="6" t="s">
        <v>1264</v>
      </c>
      <c r="B441" s="6" t="s">
        <v>1265</v>
      </c>
      <c r="C441" s="6" t="s">
        <v>1266</v>
      </c>
      <c r="D441" s="6" t="s">
        <v>10</v>
      </c>
      <c r="E441" s="6" t="s">
        <v>11</v>
      </c>
      <c r="F441" s="6" t="s">
        <v>12</v>
      </c>
      <c r="G441" s="6" t="s">
        <v>13</v>
      </c>
    </row>
    <row r="442">
      <c r="A442" s="6" t="s">
        <v>1267</v>
      </c>
      <c r="B442" s="6" t="s">
        <v>1268</v>
      </c>
      <c r="C442" s="6" t="s">
        <v>1269</v>
      </c>
      <c r="D442" s="6" t="s">
        <v>10</v>
      </c>
      <c r="E442" s="6" t="s">
        <v>131</v>
      </c>
      <c r="F442" s="6" t="s">
        <v>12</v>
      </c>
      <c r="G442" s="6" t="s">
        <v>36</v>
      </c>
    </row>
    <row r="443">
      <c r="A443" s="7" t="s">
        <v>1270</v>
      </c>
      <c r="B443" s="7">
        <v>6.0019806E7</v>
      </c>
      <c r="C443" s="7" t="s">
        <v>1271</v>
      </c>
      <c r="D443" s="7" t="s">
        <v>10</v>
      </c>
      <c r="E443" s="7" t="s">
        <v>214</v>
      </c>
      <c r="F443" s="7" t="s">
        <v>12</v>
      </c>
      <c r="G443" s="7" t="s">
        <v>36</v>
      </c>
    </row>
    <row r="444">
      <c r="A444" s="7" t="s">
        <v>1272</v>
      </c>
      <c r="B444" s="7">
        <v>6.0019805E7</v>
      </c>
      <c r="C444" s="7" t="s">
        <v>1273</v>
      </c>
      <c r="D444" s="7" t="s">
        <v>10</v>
      </c>
      <c r="E444" s="7" t="s">
        <v>214</v>
      </c>
      <c r="F444" s="7" t="s">
        <v>12</v>
      </c>
      <c r="G444" s="7" t="s">
        <v>36</v>
      </c>
    </row>
    <row r="445">
      <c r="A445" s="7" t="s">
        <v>1274</v>
      </c>
      <c r="B445" s="7">
        <v>6.0019804E7</v>
      </c>
      <c r="C445" s="7" t="s">
        <v>1275</v>
      </c>
      <c r="D445" s="7" t="s">
        <v>10</v>
      </c>
      <c r="E445" s="7" t="s">
        <v>214</v>
      </c>
      <c r="F445" s="7" t="s">
        <v>12</v>
      </c>
      <c r="G445" s="7" t="s">
        <v>36</v>
      </c>
    </row>
    <row r="446">
      <c r="A446" s="7" t="s">
        <v>1276</v>
      </c>
      <c r="B446" s="7">
        <v>6.0019803E7</v>
      </c>
      <c r="C446" s="7" t="s">
        <v>1277</v>
      </c>
      <c r="D446" s="7" t="s">
        <v>10</v>
      </c>
      <c r="E446" s="7" t="s">
        <v>214</v>
      </c>
      <c r="F446" s="7" t="s">
        <v>12</v>
      </c>
      <c r="G446" s="7" t="s">
        <v>36</v>
      </c>
    </row>
    <row r="447">
      <c r="A447" s="5" t="s">
        <v>1278</v>
      </c>
      <c r="B447" s="5">
        <v>6.0019797E7</v>
      </c>
      <c r="C447" s="5" t="s">
        <v>1279</v>
      </c>
      <c r="D447" s="5" t="s">
        <v>10</v>
      </c>
      <c r="E447" s="5" t="s">
        <v>214</v>
      </c>
      <c r="F447" s="5" t="s">
        <v>12</v>
      </c>
      <c r="G447" s="5" t="s">
        <v>36</v>
      </c>
    </row>
    <row r="448">
      <c r="A448" s="7" t="s">
        <v>1280</v>
      </c>
      <c r="B448" s="7">
        <v>6.0019798E7</v>
      </c>
      <c r="C448" s="7" t="s">
        <v>1281</v>
      </c>
      <c r="D448" s="7" t="s">
        <v>10</v>
      </c>
      <c r="E448" s="7" t="s">
        <v>214</v>
      </c>
      <c r="F448" s="7" t="s">
        <v>12</v>
      </c>
      <c r="G448" s="7" t="s">
        <v>36</v>
      </c>
    </row>
    <row r="449">
      <c r="A449" s="7" t="s">
        <v>1282</v>
      </c>
      <c r="B449" s="7">
        <v>6.0019799E7</v>
      </c>
      <c r="C449" s="7" t="s">
        <v>1283</v>
      </c>
      <c r="D449" s="7" t="s">
        <v>10</v>
      </c>
      <c r="E449" s="7" t="s">
        <v>214</v>
      </c>
      <c r="F449" s="7" t="s">
        <v>12</v>
      </c>
      <c r="G449" s="7" t="s">
        <v>36</v>
      </c>
    </row>
    <row r="450">
      <c r="A450" s="5" t="s">
        <v>1284</v>
      </c>
      <c r="B450" s="12">
        <v>6.00198E7</v>
      </c>
      <c r="C450" s="5" t="s">
        <v>1285</v>
      </c>
      <c r="D450" s="5" t="s">
        <v>10</v>
      </c>
      <c r="E450" s="5" t="s">
        <v>214</v>
      </c>
      <c r="F450" s="5" t="s">
        <v>12</v>
      </c>
      <c r="G450" s="5" t="s">
        <v>36</v>
      </c>
    </row>
    <row r="451">
      <c r="A451" s="5" t="s">
        <v>1286</v>
      </c>
      <c r="B451" s="5">
        <v>6.0019801E7</v>
      </c>
      <c r="C451" s="5" t="s">
        <v>1287</v>
      </c>
      <c r="D451" s="5" t="s">
        <v>10</v>
      </c>
      <c r="E451" s="5" t="s">
        <v>214</v>
      </c>
      <c r="F451" s="5" t="s">
        <v>12</v>
      </c>
      <c r="G451" s="5" t="s">
        <v>36</v>
      </c>
    </row>
    <row r="452">
      <c r="A452" s="7" t="s">
        <v>1288</v>
      </c>
      <c r="B452" s="7" t="s">
        <v>1289</v>
      </c>
      <c r="C452" s="7" t="s">
        <v>1290</v>
      </c>
      <c r="D452" s="7" t="s">
        <v>10</v>
      </c>
      <c r="E452" s="7" t="s">
        <v>11</v>
      </c>
      <c r="F452" s="7" t="s">
        <v>12</v>
      </c>
      <c r="G452" s="7" t="s">
        <v>13</v>
      </c>
    </row>
    <row r="453">
      <c r="A453" s="5" t="s">
        <v>1291</v>
      </c>
      <c r="B453" s="5" t="s">
        <v>1292</v>
      </c>
      <c r="C453" s="5" t="s">
        <v>1293</v>
      </c>
      <c r="D453" s="5" t="s">
        <v>10</v>
      </c>
      <c r="E453" s="5" t="s">
        <v>35</v>
      </c>
      <c r="F453" s="5" t="s">
        <v>12</v>
      </c>
      <c r="G453" s="5" t="s">
        <v>36</v>
      </c>
    </row>
    <row r="454">
      <c r="A454" s="6" t="s">
        <v>1294</v>
      </c>
      <c r="B454" s="6" t="s">
        <v>1295</v>
      </c>
      <c r="C454" s="6" t="s">
        <v>1296</v>
      </c>
      <c r="D454" s="6" t="s">
        <v>10</v>
      </c>
      <c r="E454" s="6" t="s">
        <v>131</v>
      </c>
      <c r="F454" s="6" t="s">
        <v>12</v>
      </c>
      <c r="G454" s="6" t="s">
        <v>36</v>
      </c>
    </row>
    <row r="455">
      <c r="A455" s="6" t="s">
        <v>1297</v>
      </c>
      <c r="B455" s="6">
        <v>6.0019807E7</v>
      </c>
      <c r="C455" s="6" t="s">
        <v>1298</v>
      </c>
      <c r="D455" s="6" t="s">
        <v>10</v>
      </c>
      <c r="E455" s="6" t="s">
        <v>214</v>
      </c>
      <c r="F455" s="6" t="s">
        <v>12</v>
      </c>
      <c r="G455" s="6" t="s">
        <v>36</v>
      </c>
    </row>
    <row r="456">
      <c r="A456" s="6" t="s">
        <v>1299</v>
      </c>
      <c r="B456" s="6">
        <v>6.0019809E7</v>
      </c>
      <c r="C456" s="6" t="s">
        <v>1300</v>
      </c>
      <c r="D456" s="6" t="s">
        <v>10</v>
      </c>
      <c r="E456" s="6" t="s">
        <v>214</v>
      </c>
      <c r="F456" s="6" t="s">
        <v>12</v>
      </c>
      <c r="G456" s="6" t="s">
        <v>36</v>
      </c>
    </row>
    <row r="457">
      <c r="A457" s="13" t="s">
        <v>1301</v>
      </c>
      <c r="B457" s="6">
        <v>6.001981E7</v>
      </c>
      <c r="C457" s="6" t="s">
        <v>1302</v>
      </c>
      <c r="D457" s="6" t="s">
        <v>10</v>
      </c>
      <c r="E457" s="6" t="s">
        <v>214</v>
      </c>
      <c r="F457" s="6" t="s">
        <v>12</v>
      </c>
      <c r="G457" s="6" t="s">
        <v>36</v>
      </c>
    </row>
    <row r="458">
      <c r="A458" s="6" t="s">
        <v>1303</v>
      </c>
      <c r="B458" s="6">
        <v>6.0019808E7</v>
      </c>
      <c r="C458" s="6" t="s">
        <v>1304</v>
      </c>
      <c r="D458" s="6" t="s">
        <v>10</v>
      </c>
      <c r="E458" s="6" t="s">
        <v>214</v>
      </c>
      <c r="F458" s="6" t="s">
        <v>12</v>
      </c>
      <c r="G458" s="6" t="s">
        <v>36</v>
      </c>
    </row>
    <row r="459">
      <c r="A459" s="6" t="s">
        <v>1305</v>
      </c>
      <c r="B459" s="6">
        <v>6.0019769E7</v>
      </c>
      <c r="C459" s="6" t="s">
        <v>1306</v>
      </c>
      <c r="D459" s="6" t="s">
        <v>10</v>
      </c>
      <c r="E459" s="6" t="s">
        <v>214</v>
      </c>
      <c r="F459" s="6" t="s">
        <v>12</v>
      </c>
      <c r="G459" s="6" t="s">
        <v>36</v>
      </c>
    </row>
    <row r="460">
      <c r="A460" s="5" t="s">
        <v>1307</v>
      </c>
      <c r="B460" s="5" t="s">
        <v>1308</v>
      </c>
      <c r="C460" s="5" t="s">
        <v>1309</v>
      </c>
      <c r="D460" s="5" t="s">
        <v>10</v>
      </c>
      <c r="E460" s="5" t="s">
        <v>11</v>
      </c>
      <c r="F460" s="5" t="s">
        <v>12</v>
      </c>
      <c r="G460" s="5" t="s">
        <v>13</v>
      </c>
    </row>
    <row r="461">
      <c r="A461" s="5" t="s">
        <v>1310</v>
      </c>
      <c r="B461" s="5">
        <v>6.0019766E7</v>
      </c>
      <c r="C461" s="5" t="s">
        <v>1311</v>
      </c>
      <c r="D461" s="5" t="s">
        <v>10</v>
      </c>
      <c r="E461" s="5" t="s">
        <v>214</v>
      </c>
      <c r="F461" s="5" t="s">
        <v>12</v>
      </c>
      <c r="G461" s="5" t="s">
        <v>36</v>
      </c>
    </row>
    <row r="462">
      <c r="A462" s="5" t="s">
        <v>1312</v>
      </c>
      <c r="B462" s="5">
        <v>6.0019767E7</v>
      </c>
      <c r="C462" s="5" t="s">
        <v>1313</v>
      </c>
      <c r="D462" s="5" t="s">
        <v>10</v>
      </c>
      <c r="E462" s="5" t="s">
        <v>214</v>
      </c>
      <c r="F462" s="5" t="s">
        <v>12</v>
      </c>
      <c r="G462" s="5" t="s">
        <v>36</v>
      </c>
    </row>
    <row r="463">
      <c r="A463" s="5" t="s">
        <v>1314</v>
      </c>
      <c r="B463" s="5" t="s">
        <v>1315</v>
      </c>
      <c r="C463" s="5" t="s">
        <v>1316</v>
      </c>
      <c r="D463" s="5" t="s">
        <v>10</v>
      </c>
      <c r="E463" s="5" t="s">
        <v>47</v>
      </c>
      <c r="F463" s="5" t="s">
        <v>12</v>
      </c>
      <c r="G463" s="5" t="s">
        <v>13</v>
      </c>
    </row>
    <row r="464">
      <c r="A464" s="5" t="s">
        <v>1317</v>
      </c>
      <c r="B464" s="5" t="s">
        <v>1318</v>
      </c>
      <c r="C464" s="5" t="s">
        <v>1319</v>
      </c>
      <c r="D464" s="5" t="s">
        <v>10</v>
      </c>
      <c r="E464" s="5" t="s">
        <v>11</v>
      </c>
      <c r="F464" s="5" t="s">
        <v>12</v>
      </c>
      <c r="G464" s="5" t="s">
        <v>13</v>
      </c>
    </row>
    <row r="465">
      <c r="A465" s="5" t="s">
        <v>1320</v>
      </c>
      <c r="B465" s="5" t="s">
        <v>1320</v>
      </c>
      <c r="C465" s="5" t="s">
        <v>1321</v>
      </c>
      <c r="D465" s="5" t="s">
        <v>10</v>
      </c>
      <c r="E465" s="5" t="s">
        <v>11</v>
      </c>
      <c r="F465" s="5" t="s">
        <v>12</v>
      </c>
      <c r="G465" s="5" t="s">
        <v>13</v>
      </c>
    </row>
    <row r="466">
      <c r="A466" s="5" t="s">
        <v>1322</v>
      </c>
      <c r="B466" s="5">
        <v>6.0019695E7</v>
      </c>
      <c r="C466" s="5" t="s">
        <v>1323</v>
      </c>
      <c r="D466" s="5" t="s">
        <v>10</v>
      </c>
      <c r="E466" s="5" t="s">
        <v>214</v>
      </c>
      <c r="F466" s="5" t="s">
        <v>12</v>
      </c>
      <c r="G466" s="5" t="s">
        <v>36</v>
      </c>
    </row>
    <row r="467">
      <c r="A467" s="5" t="s">
        <v>1324</v>
      </c>
      <c r="B467" s="5">
        <v>6.0019696E7</v>
      </c>
      <c r="C467" s="5" t="s">
        <v>1325</v>
      </c>
      <c r="D467" s="5" t="s">
        <v>10</v>
      </c>
      <c r="E467" s="5" t="s">
        <v>214</v>
      </c>
      <c r="F467" s="5" t="s">
        <v>12</v>
      </c>
      <c r="G467" s="5" t="s">
        <v>36</v>
      </c>
    </row>
    <row r="468">
      <c r="A468" s="5" t="s">
        <v>1326</v>
      </c>
      <c r="B468" s="5">
        <v>6.0019709E7</v>
      </c>
      <c r="C468" s="5" t="s">
        <v>1327</v>
      </c>
      <c r="D468" s="5" t="s">
        <v>10</v>
      </c>
      <c r="E468" s="5" t="s">
        <v>214</v>
      </c>
      <c r="F468" s="5" t="s">
        <v>12</v>
      </c>
      <c r="G468" s="5" t="s">
        <v>36</v>
      </c>
    </row>
    <row r="469">
      <c r="A469" s="5" t="s">
        <v>1328</v>
      </c>
      <c r="B469" s="5">
        <v>6.001971E7</v>
      </c>
      <c r="C469" s="5" t="s">
        <v>1329</v>
      </c>
      <c r="D469" s="5" t="s">
        <v>10</v>
      </c>
      <c r="E469" s="5" t="s">
        <v>214</v>
      </c>
      <c r="F469" s="5" t="s">
        <v>12</v>
      </c>
      <c r="G469" s="5" t="s">
        <v>36</v>
      </c>
    </row>
    <row r="470">
      <c r="A470" s="5" t="s">
        <v>1330</v>
      </c>
      <c r="B470" s="5">
        <v>6.0019711E7</v>
      </c>
      <c r="C470" s="5" t="s">
        <v>1331</v>
      </c>
      <c r="D470" s="5" t="s">
        <v>10</v>
      </c>
      <c r="E470" s="5" t="s">
        <v>214</v>
      </c>
      <c r="F470" s="5" t="s">
        <v>12</v>
      </c>
      <c r="G470" s="5" t="s">
        <v>36</v>
      </c>
    </row>
    <row r="471">
      <c r="A471" s="5" t="s">
        <v>1332</v>
      </c>
      <c r="B471" s="5">
        <v>6.0019712E7</v>
      </c>
      <c r="C471" s="5" t="s">
        <v>1333</v>
      </c>
      <c r="D471" s="5" t="s">
        <v>10</v>
      </c>
      <c r="E471" s="5" t="s">
        <v>214</v>
      </c>
      <c r="F471" s="5" t="s">
        <v>12</v>
      </c>
      <c r="G471" s="5" t="s">
        <v>36</v>
      </c>
    </row>
    <row r="472">
      <c r="A472" s="10" t="s">
        <v>1334</v>
      </c>
      <c r="B472" s="10">
        <v>6.0019713E7</v>
      </c>
      <c r="C472" s="10" t="s">
        <v>1335</v>
      </c>
      <c r="D472" s="10" t="s">
        <v>10</v>
      </c>
      <c r="E472" s="10" t="s">
        <v>214</v>
      </c>
      <c r="F472" s="10" t="s">
        <v>12</v>
      </c>
      <c r="G472" s="10" t="s">
        <v>36</v>
      </c>
    </row>
    <row r="473">
      <c r="A473" s="6" t="s">
        <v>1336</v>
      </c>
      <c r="B473" s="6">
        <v>6.0019714E7</v>
      </c>
      <c r="C473" s="6" t="s">
        <v>1337</v>
      </c>
      <c r="D473" s="6" t="s">
        <v>10</v>
      </c>
      <c r="E473" s="6" t="s">
        <v>214</v>
      </c>
      <c r="F473" s="6" t="s">
        <v>12</v>
      </c>
      <c r="G473" s="6" t="s">
        <v>36</v>
      </c>
    </row>
    <row r="474">
      <c r="A474" s="10" t="s">
        <v>1338</v>
      </c>
      <c r="B474" s="10">
        <v>6.0019715E7</v>
      </c>
      <c r="C474" s="10" t="s">
        <v>1339</v>
      </c>
      <c r="D474" s="10" t="s">
        <v>10</v>
      </c>
      <c r="E474" s="10" t="s">
        <v>214</v>
      </c>
      <c r="F474" s="10" t="s">
        <v>12</v>
      </c>
      <c r="G474" s="10" t="s">
        <v>36</v>
      </c>
    </row>
    <row r="475">
      <c r="A475" s="6" t="s">
        <v>1340</v>
      </c>
      <c r="B475" s="6">
        <v>6.0019716E7</v>
      </c>
      <c r="C475" s="6" t="s">
        <v>1341</v>
      </c>
      <c r="D475" s="6" t="s">
        <v>10</v>
      </c>
      <c r="E475" s="6" t="s">
        <v>214</v>
      </c>
      <c r="F475" s="6" t="s">
        <v>12</v>
      </c>
      <c r="G475" s="6" t="s">
        <v>36</v>
      </c>
    </row>
    <row r="476">
      <c r="A476" s="6" t="s">
        <v>1342</v>
      </c>
      <c r="B476" s="6">
        <v>6.0019717E7</v>
      </c>
      <c r="C476" s="6" t="s">
        <v>1343</v>
      </c>
      <c r="D476" s="6" t="s">
        <v>10</v>
      </c>
      <c r="E476" s="6" t="s">
        <v>214</v>
      </c>
      <c r="F476" s="6" t="s">
        <v>12</v>
      </c>
      <c r="G476" s="6" t="s">
        <v>36</v>
      </c>
    </row>
    <row r="477">
      <c r="A477" s="6" t="s">
        <v>1344</v>
      </c>
      <c r="B477" s="6">
        <v>6.0019718E7</v>
      </c>
      <c r="C477" s="6" t="s">
        <v>1345</v>
      </c>
      <c r="D477" s="6" t="s">
        <v>10</v>
      </c>
      <c r="E477" s="6" t="s">
        <v>214</v>
      </c>
      <c r="F477" s="6" t="s">
        <v>12</v>
      </c>
      <c r="G477" s="6" t="s">
        <v>36</v>
      </c>
    </row>
    <row r="478">
      <c r="A478" s="6" t="s">
        <v>1346</v>
      </c>
      <c r="B478" s="6">
        <v>6.0019719E7</v>
      </c>
      <c r="C478" s="6" t="s">
        <v>1347</v>
      </c>
      <c r="D478" s="6" t="s">
        <v>10</v>
      </c>
      <c r="E478" s="6" t="s">
        <v>214</v>
      </c>
      <c r="F478" s="6" t="s">
        <v>12</v>
      </c>
      <c r="G478" s="6" t="s">
        <v>36</v>
      </c>
    </row>
    <row r="479">
      <c r="A479" s="6" t="s">
        <v>1348</v>
      </c>
      <c r="B479" s="6">
        <v>6.001972E7</v>
      </c>
      <c r="C479" s="6" t="s">
        <v>1349</v>
      </c>
      <c r="D479" s="6" t="s">
        <v>10</v>
      </c>
      <c r="E479" s="6" t="s">
        <v>214</v>
      </c>
      <c r="F479" s="6" t="s">
        <v>12</v>
      </c>
      <c r="G479" s="6" t="s">
        <v>36</v>
      </c>
    </row>
    <row r="480">
      <c r="A480" s="6" t="s">
        <v>1350</v>
      </c>
      <c r="B480" s="6">
        <v>6.0019721E7</v>
      </c>
      <c r="C480" s="6" t="s">
        <v>1351</v>
      </c>
      <c r="D480" s="6" t="s">
        <v>10</v>
      </c>
      <c r="E480" s="6" t="s">
        <v>214</v>
      </c>
      <c r="F480" s="6" t="s">
        <v>12</v>
      </c>
      <c r="G480" s="6" t="s">
        <v>36</v>
      </c>
    </row>
    <row r="481">
      <c r="A481" s="6" t="s">
        <v>1352</v>
      </c>
      <c r="B481" s="6">
        <v>6.0019722E7</v>
      </c>
      <c r="C481" s="6" t="s">
        <v>1353</v>
      </c>
      <c r="D481" s="6" t="s">
        <v>10</v>
      </c>
      <c r="E481" s="6" t="s">
        <v>214</v>
      </c>
      <c r="F481" s="6" t="s">
        <v>12</v>
      </c>
      <c r="G481" s="6" t="s">
        <v>36</v>
      </c>
    </row>
    <row r="482">
      <c r="A482" s="6" t="s">
        <v>1354</v>
      </c>
      <c r="B482" s="6">
        <v>6.0019723E7</v>
      </c>
      <c r="C482" s="6" t="s">
        <v>1355</v>
      </c>
      <c r="D482" s="6" t="s">
        <v>10</v>
      </c>
      <c r="E482" s="6" t="s">
        <v>214</v>
      </c>
      <c r="F482" s="6" t="s">
        <v>12</v>
      </c>
      <c r="G482" s="6" t="s">
        <v>36</v>
      </c>
    </row>
    <row r="483">
      <c r="A483" s="6" t="s">
        <v>1356</v>
      </c>
      <c r="B483" s="6">
        <v>6.0019724E7</v>
      </c>
      <c r="C483" s="6" t="s">
        <v>1357</v>
      </c>
      <c r="D483" s="6" t="s">
        <v>10</v>
      </c>
      <c r="E483" s="6" t="s">
        <v>214</v>
      </c>
      <c r="F483" s="6" t="s">
        <v>12</v>
      </c>
      <c r="G483" s="6" t="s">
        <v>36</v>
      </c>
    </row>
    <row r="484">
      <c r="A484" s="6" t="s">
        <v>1358</v>
      </c>
      <c r="B484" s="6">
        <v>6.0019725E7</v>
      </c>
      <c r="C484" s="6" t="s">
        <v>1359</v>
      </c>
      <c r="D484" s="6" t="s">
        <v>10</v>
      </c>
      <c r="E484" s="6" t="s">
        <v>214</v>
      </c>
      <c r="F484" s="6" t="s">
        <v>12</v>
      </c>
      <c r="G484" s="6" t="s">
        <v>36</v>
      </c>
    </row>
    <row r="485">
      <c r="A485" s="6" t="s">
        <v>1360</v>
      </c>
      <c r="B485" s="6">
        <v>6.0019726E7</v>
      </c>
      <c r="C485" s="6" t="s">
        <v>1361</v>
      </c>
      <c r="D485" s="6" t="s">
        <v>10</v>
      </c>
      <c r="E485" s="6" t="s">
        <v>214</v>
      </c>
      <c r="F485" s="6" t="s">
        <v>12</v>
      </c>
      <c r="G485" s="6" t="s">
        <v>36</v>
      </c>
    </row>
    <row r="486">
      <c r="A486" s="6" t="s">
        <v>1362</v>
      </c>
      <c r="B486" s="6">
        <v>6.0019727E7</v>
      </c>
      <c r="C486" s="6" t="s">
        <v>1363</v>
      </c>
      <c r="D486" s="6" t="s">
        <v>10</v>
      </c>
      <c r="E486" s="6" t="s">
        <v>214</v>
      </c>
      <c r="F486" s="6" t="s">
        <v>12</v>
      </c>
      <c r="G486" s="6" t="s">
        <v>36</v>
      </c>
    </row>
    <row r="487">
      <c r="A487" s="6" t="s">
        <v>1364</v>
      </c>
      <c r="B487" s="6">
        <v>6.0019728E7</v>
      </c>
      <c r="C487" s="6" t="s">
        <v>1365</v>
      </c>
      <c r="D487" s="6" t="s">
        <v>10</v>
      </c>
      <c r="E487" s="6" t="s">
        <v>214</v>
      </c>
      <c r="F487" s="6" t="s">
        <v>12</v>
      </c>
      <c r="G487" s="6" t="s">
        <v>36</v>
      </c>
    </row>
    <row r="488">
      <c r="A488" s="6" t="s">
        <v>1366</v>
      </c>
      <c r="B488" s="6">
        <v>6.0019729E7</v>
      </c>
      <c r="C488" s="6" t="s">
        <v>1367</v>
      </c>
      <c r="D488" s="6" t="s">
        <v>10</v>
      </c>
      <c r="E488" s="6" t="s">
        <v>214</v>
      </c>
      <c r="F488" s="6" t="s">
        <v>12</v>
      </c>
      <c r="G488" s="6" t="s">
        <v>36</v>
      </c>
    </row>
    <row r="489">
      <c r="A489" s="6" t="s">
        <v>1368</v>
      </c>
      <c r="B489" s="6">
        <v>6.001973E7</v>
      </c>
      <c r="C489" s="6" t="s">
        <v>1369</v>
      </c>
      <c r="D489" s="6" t="s">
        <v>10</v>
      </c>
      <c r="E489" s="6" t="s">
        <v>214</v>
      </c>
      <c r="F489" s="6" t="s">
        <v>12</v>
      </c>
      <c r="G489" s="6" t="s">
        <v>36</v>
      </c>
    </row>
    <row r="490">
      <c r="A490" s="6" t="s">
        <v>1370</v>
      </c>
      <c r="B490" s="6">
        <v>6.0019731E7</v>
      </c>
      <c r="C490" s="6" t="s">
        <v>1371</v>
      </c>
      <c r="D490" s="6" t="s">
        <v>10</v>
      </c>
      <c r="E490" s="6" t="s">
        <v>214</v>
      </c>
      <c r="F490" s="6" t="s">
        <v>12</v>
      </c>
      <c r="G490" s="6" t="s">
        <v>36</v>
      </c>
    </row>
    <row r="491">
      <c r="A491" s="6" t="s">
        <v>1372</v>
      </c>
      <c r="B491" s="6">
        <v>6.0019732E7</v>
      </c>
      <c r="C491" s="6" t="s">
        <v>1373</v>
      </c>
      <c r="D491" s="6" t="s">
        <v>10</v>
      </c>
      <c r="E491" s="6" t="s">
        <v>214</v>
      </c>
      <c r="F491" s="6" t="s">
        <v>12</v>
      </c>
      <c r="G491" s="6" t="s">
        <v>36</v>
      </c>
    </row>
    <row r="492">
      <c r="A492" s="10" t="s">
        <v>1374</v>
      </c>
      <c r="B492" s="10">
        <v>6.0019733E7</v>
      </c>
      <c r="C492" s="10" t="s">
        <v>1375</v>
      </c>
      <c r="D492" s="10" t="s">
        <v>10</v>
      </c>
      <c r="E492" s="10" t="s">
        <v>214</v>
      </c>
      <c r="F492" s="10" t="s">
        <v>12</v>
      </c>
      <c r="G492" s="10" t="s">
        <v>36</v>
      </c>
    </row>
    <row r="493">
      <c r="A493" s="6" t="s">
        <v>1376</v>
      </c>
      <c r="B493" s="6">
        <v>6.0019734E7</v>
      </c>
      <c r="C493" s="6" t="s">
        <v>1377</v>
      </c>
      <c r="D493" s="6" t="s">
        <v>10</v>
      </c>
      <c r="E493" s="6" t="s">
        <v>214</v>
      </c>
      <c r="F493" s="6" t="s">
        <v>12</v>
      </c>
      <c r="G493" s="6" t="s">
        <v>36</v>
      </c>
    </row>
    <row r="494">
      <c r="A494" s="6" t="s">
        <v>1378</v>
      </c>
      <c r="B494" s="6">
        <v>6.0019735E7</v>
      </c>
      <c r="C494" s="6" t="s">
        <v>1379</v>
      </c>
      <c r="D494" s="6" t="s">
        <v>10</v>
      </c>
      <c r="E494" s="6" t="s">
        <v>214</v>
      </c>
      <c r="F494" s="6" t="s">
        <v>12</v>
      </c>
      <c r="G494" s="6" t="s">
        <v>36</v>
      </c>
    </row>
    <row r="495">
      <c r="A495" s="6" t="s">
        <v>1380</v>
      </c>
      <c r="B495" s="6">
        <v>6.0019736E7</v>
      </c>
      <c r="C495" s="6" t="s">
        <v>1381</v>
      </c>
      <c r="D495" s="6" t="s">
        <v>10</v>
      </c>
      <c r="E495" s="6" t="s">
        <v>214</v>
      </c>
      <c r="F495" s="6" t="s">
        <v>12</v>
      </c>
      <c r="G495" s="6" t="s">
        <v>36</v>
      </c>
    </row>
    <row r="496">
      <c r="A496" s="10" t="s">
        <v>1382</v>
      </c>
      <c r="B496" s="10">
        <v>6.0019737E7</v>
      </c>
      <c r="C496" s="10" t="s">
        <v>1383</v>
      </c>
      <c r="D496" s="10" t="s">
        <v>10</v>
      </c>
      <c r="E496" s="10" t="s">
        <v>214</v>
      </c>
      <c r="F496" s="10" t="s">
        <v>12</v>
      </c>
      <c r="G496" s="10" t="s">
        <v>36</v>
      </c>
    </row>
    <row r="497">
      <c r="A497" s="7" t="s">
        <v>1384</v>
      </c>
      <c r="B497" s="7">
        <v>6.0019749E7</v>
      </c>
      <c r="C497" s="7" t="s">
        <v>1385</v>
      </c>
      <c r="D497" s="7" t="s">
        <v>10</v>
      </c>
      <c r="E497" s="7" t="s">
        <v>214</v>
      </c>
      <c r="F497" s="7" t="s">
        <v>12</v>
      </c>
      <c r="G497" s="7" t="s">
        <v>36</v>
      </c>
    </row>
    <row r="498">
      <c r="A498" s="7" t="s">
        <v>1386</v>
      </c>
      <c r="B498" s="7">
        <v>6.001975E7</v>
      </c>
      <c r="C498" s="7" t="s">
        <v>1387</v>
      </c>
      <c r="D498" s="7" t="s">
        <v>10</v>
      </c>
      <c r="E498" s="7" t="s">
        <v>214</v>
      </c>
      <c r="F498" s="7" t="s">
        <v>12</v>
      </c>
      <c r="G498" s="7" t="s">
        <v>36</v>
      </c>
    </row>
    <row r="499">
      <c r="A499" s="7" t="s">
        <v>1388</v>
      </c>
      <c r="B499" s="7">
        <v>6.0019751E7</v>
      </c>
      <c r="C499" s="7" t="s">
        <v>1389</v>
      </c>
      <c r="D499" s="7" t="s">
        <v>10</v>
      </c>
      <c r="E499" s="7" t="s">
        <v>214</v>
      </c>
      <c r="F499" s="7" t="s">
        <v>12</v>
      </c>
      <c r="G499" s="7" t="s">
        <v>36</v>
      </c>
    </row>
    <row r="500">
      <c r="A500" s="7" t="s">
        <v>1390</v>
      </c>
      <c r="B500" s="7">
        <v>6.0019752E7</v>
      </c>
      <c r="C500" s="7" t="s">
        <v>1391</v>
      </c>
      <c r="D500" s="7" t="s">
        <v>10</v>
      </c>
      <c r="E500" s="7" t="s">
        <v>214</v>
      </c>
      <c r="F500" s="7" t="s">
        <v>12</v>
      </c>
      <c r="G500" s="7" t="s">
        <v>36</v>
      </c>
    </row>
    <row r="501">
      <c r="A501" s="7" t="s">
        <v>1392</v>
      </c>
      <c r="B501" s="7">
        <v>6.0019753E7</v>
      </c>
      <c r="C501" s="7" t="s">
        <v>1393</v>
      </c>
      <c r="D501" s="7" t="s">
        <v>10</v>
      </c>
      <c r="E501" s="7" t="s">
        <v>214</v>
      </c>
      <c r="F501" s="7" t="s">
        <v>12</v>
      </c>
      <c r="G501" s="7" t="s">
        <v>36</v>
      </c>
    </row>
    <row r="502">
      <c r="A502" s="7" t="s">
        <v>1394</v>
      </c>
      <c r="B502" s="7">
        <v>6.0019754E7</v>
      </c>
      <c r="C502" s="7" t="s">
        <v>1395</v>
      </c>
      <c r="D502" s="7" t="s">
        <v>10</v>
      </c>
      <c r="E502" s="7" t="s">
        <v>214</v>
      </c>
      <c r="F502" s="7" t="s">
        <v>12</v>
      </c>
      <c r="G502" s="7" t="s">
        <v>36</v>
      </c>
    </row>
    <row r="503">
      <c r="A503" s="6" t="s">
        <v>1396</v>
      </c>
      <c r="B503" s="6">
        <v>6.0019755E7</v>
      </c>
      <c r="C503" s="6" t="s">
        <v>1397</v>
      </c>
      <c r="D503" s="6" t="s">
        <v>10</v>
      </c>
      <c r="E503" s="6" t="s">
        <v>214</v>
      </c>
      <c r="F503" s="6" t="s">
        <v>12</v>
      </c>
      <c r="G503" s="6" t="s">
        <v>36</v>
      </c>
    </row>
    <row r="504">
      <c r="A504" s="5" t="s">
        <v>1398</v>
      </c>
      <c r="B504" s="5">
        <v>6.0019756E7</v>
      </c>
      <c r="C504" s="5" t="s">
        <v>1399</v>
      </c>
      <c r="D504" s="5" t="s">
        <v>10</v>
      </c>
      <c r="E504" s="5" t="s">
        <v>214</v>
      </c>
      <c r="F504" s="5" t="s">
        <v>12</v>
      </c>
      <c r="G504" s="5" t="s">
        <v>36</v>
      </c>
    </row>
    <row r="505">
      <c r="A505" s="5" t="s">
        <v>1400</v>
      </c>
      <c r="B505" s="5">
        <v>6.0019757E7</v>
      </c>
      <c r="C505" s="5" t="s">
        <v>1401</v>
      </c>
      <c r="D505" s="5" t="s">
        <v>10</v>
      </c>
      <c r="E505" s="5" t="s">
        <v>214</v>
      </c>
      <c r="F505" s="5" t="s">
        <v>12</v>
      </c>
      <c r="G505" s="5" t="s">
        <v>36</v>
      </c>
    </row>
    <row r="506">
      <c r="A506" s="5" t="s">
        <v>1402</v>
      </c>
      <c r="B506" s="5">
        <v>6.0019758E7</v>
      </c>
      <c r="C506" s="5" t="s">
        <v>1403</v>
      </c>
      <c r="D506" s="5" t="s">
        <v>10</v>
      </c>
      <c r="E506" s="5" t="s">
        <v>214</v>
      </c>
      <c r="F506" s="5" t="s">
        <v>12</v>
      </c>
      <c r="G506" s="5" t="s">
        <v>36</v>
      </c>
    </row>
    <row r="507">
      <c r="A507" s="5" t="s">
        <v>1404</v>
      </c>
      <c r="B507" s="5">
        <v>6.0019759E7</v>
      </c>
      <c r="C507" s="5" t="s">
        <v>1405</v>
      </c>
      <c r="D507" s="5" t="s">
        <v>10</v>
      </c>
      <c r="E507" s="5" t="s">
        <v>214</v>
      </c>
      <c r="F507" s="5" t="s">
        <v>12</v>
      </c>
      <c r="G507" s="5" t="s">
        <v>36</v>
      </c>
    </row>
    <row r="508">
      <c r="A508" s="5" t="s">
        <v>1406</v>
      </c>
      <c r="B508" s="5">
        <v>6.001976E7</v>
      </c>
      <c r="C508" s="5" t="s">
        <v>1407</v>
      </c>
      <c r="D508" s="5" t="s">
        <v>10</v>
      </c>
      <c r="E508" s="5" t="s">
        <v>214</v>
      </c>
      <c r="F508" s="5" t="s">
        <v>12</v>
      </c>
      <c r="G508" s="5" t="s">
        <v>36</v>
      </c>
    </row>
    <row r="509">
      <c r="A509" s="5" t="s">
        <v>1408</v>
      </c>
      <c r="B509" s="5">
        <v>6.0019761E7</v>
      </c>
      <c r="C509" s="5" t="s">
        <v>1409</v>
      </c>
      <c r="D509" s="5" t="s">
        <v>10</v>
      </c>
      <c r="E509" s="5" t="s">
        <v>214</v>
      </c>
      <c r="F509" s="5" t="s">
        <v>12</v>
      </c>
      <c r="G509" s="5" t="s">
        <v>36</v>
      </c>
    </row>
    <row r="510">
      <c r="A510" s="5" t="s">
        <v>1410</v>
      </c>
      <c r="B510" s="5">
        <v>6.0019762E7</v>
      </c>
      <c r="C510" s="5" t="s">
        <v>1411</v>
      </c>
      <c r="D510" s="5" t="s">
        <v>10</v>
      </c>
      <c r="E510" s="5" t="s">
        <v>214</v>
      </c>
      <c r="F510" s="5" t="s">
        <v>12</v>
      </c>
      <c r="G510" s="5" t="s">
        <v>36</v>
      </c>
    </row>
    <row r="511">
      <c r="A511" s="5" t="s">
        <v>1412</v>
      </c>
      <c r="B511" s="5">
        <v>6.0019763E7</v>
      </c>
      <c r="C511" s="5" t="s">
        <v>1413</v>
      </c>
      <c r="D511" s="5" t="s">
        <v>10</v>
      </c>
      <c r="E511" s="5" t="s">
        <v>214</v>
      </c>
      <c r="F511" s="5" t="s">
        <v>12</v>
      </c>
      <c r="G511" s="5" t="s">
        <v>36</v>
      </c>
    </row>
    <row r="512">
      <c r="A512" s="5" t="s">
        <v>1414</v>
      </c>
      <c r="B512" s="5">
        <v>6.0019764E7</v>
      </c>
      <c r="C512" s="5" t="s">
        <v>1415</v>
      </c>
      <c r="D512" s="5" t="s">
        <v>10</v>
      </c>
      <c r="E512" s="5" t="s">
        <v>214</v>
      </c>
      <c r="F512" s="5" t="s">
        <v>12</v>
      </c>
      <c r="G512" s="5" t="s">
        <v>36</v>
      </c>
    </row>
    <row r="513">
      <c r="A513" s="5" t="s">
        <v>1416</v>
      </c>
      <c r="B513" s="5">
        <v>6.0019765E7</v>
      </c>
      <c r="C513" s="5" t="s">
        <v>1417</v>
      </c>
      <c r="D513" s="5" t="s">
        <v>10</v>
      </c>
      <c r="E513" s="5" t="s">
        <v>214</v>
      </c>
      <c r="F513" s="5" t="s">
        <v>12</v>
      </c>
      <c r="G513" s="5" t="s">
        <v>36</v>
      </c>
    </row>
    <row r="514">
      <c r="A514" s="6" t="s">
        <v>1418</v>
      </c>
      <c r="B514" s="6">
        <v>6.0019771E7</v>
      </c>
      <c r="C514" s="6" t="s">
        <v>1419</v>
      </c>
      <c r="D514" s="6" t="s">
        <v>10</v>
      </c>
      <c r="E514" s="6" t="s">
        <v>214</v>
      </c>
      <c r="F514" s="6" t="s">
        <v>12</v>
      </c>
      <c r="G514" s="6" t="s">
        <v>36</v>
      </c>
    </row>
    <row r="515">
      <c r="A515" s="5" t="s">
        <v>1420</v>
      </c>
      <c r="B515" s="5" t="s">
        <v>1421</v>
      </c>
      <c r="C515" s="5" t="s">
        <v>1422</v>
      </c>
      <c r="D515" s="5" t="s">
        <v>10</v>
      </c>
      <c r="E515" s="5" t="s">
        <v>40</v>
      </c>
      <c r="F515" s="5" t="s">
        <v>12</v>
      </c>
      <c r="G515" s="5" t="s">
        <v>36</v>
      </c>
    </row>
    <row r="516">
      <c r="A516" s="5" t="s">
        <v>1423</v>
      </c>
      <c r="B516" s="5" t="s">
        <v>1424</v>
      </c>
      <c r="C516" s="5" t="s">
        <v>1425</v>
      </c>
      <c r="D516" s="5" t="s">
        <v>10</v>
      </c>
      <c r="E516" s="5" t="s">
        <v>11</v>
      </c>
      <c r="F516" s="5" t="s">
        <v>12</v>
      </c>
      <c r="G516" s="5" t="s">
        <v>13</v>
      </c>
    </row>
    <row r="517">
      <c r="A517" s="6" t="s">
        <v>1426</v>
      </c>
      <c r="B517" s="6" t="s">
        <v>1427</v>
      </c>
      <c r="C517" s="6" t="s">
        <v>1428</v>
      </c>
      <c r="D517" s="6" t="s">
        <v>10</v>
      </c>
      <c r="E517" s="6" t="s">
        <v>35</v>
      </c>
      <c r="F517" s="6" t="s">
        <v>17</v>
      </c>
      <c r="G517" s="6" t="s">
        <v>36</v>
      </c>
    </row>
    <row r="518">
      <c r="A518" s="5" t="s">
        <v>1429</v>
      </c>
      <c r="B518" s="5" t="s">
        <v>1430</v>
      </c>
      <c r="C518" s="5" t="s">
        <v>1431</v>
      </c>
      <c r="D518" s="5" t="s">
        <v>10</v>
      </c>
      <c r="E518" s="5" t="s">
        <v>35</v>
      </c>
      <c r="F518" s="5" t="s">
        <v>12</v>
      </c>
      <c r="G518" s="5" t="s">
        <v>36</v>
      </c>
    </row>
    <row r="519">
      <c r="A519" s="5" t="s">
        <v>1432</v>
      </c>
      <c r="B519" s="5" t="s">
        <v>1433</v>
      </c>
      <c r="C519" s="5" t="s">
        <v>1434</v>
      </c>
      <c r="D519" s="5" t="s">
        <v>10</v>
      </c>
      <c r="E519" s="5" t="s">
        <v>35</v>
      </c>
      <c r="F519" s="5" t="s">
        <v>12</v>
      </c>
      <c r="G519" s="5" t="s">
        <v>36</v>
      </c>
    </row>
    <row r="520">
      <c r="A520" s="5" t="s">
        <v>1435</v>
      </c>
      <c r="B520" s="5" t="s">
        <v>1436</v>
      </c>
      <c r="C520" s="5" t="s">
        <v>1437</v>
      </c>
      <c r="D520" s="5" t="s">
        <v>10</v>
      </c>
      <c r="E520" s="5" t="s">
        <v>35</v>
      </c>
      <c r="F520" s="5" t="s">
        <v>12</v>
      </c>
      <c r="G520" s="5" t="s">
        <v>36</v>
      </c>
    </row>
    <row r="521">
      <c r="A521" s="5" t="s">
        <v>1438</v>
      </c>
      <c r="B521" s="5" t="s">
        <v>1439</v>
      </c>
      <c r="C521" s="5" t="s">
        <v>1440</v>
      </c>
      <c r="D521" s="5" t="s">
        <v>10</v>
      </c>
      <c r="E521" s="5" t="s">
        <v>35</v>
      </c>
      <c r="F521" s="5" t="s">
        <v>12</v>
      </c>
      <c r="G521" s="5" t="s">
        <v>36</v>
      </c>
    </row>
    <row r="522">
      <c r="A522" s="5" t="s">
        <v>1441</v>
      </c>
      <c r="B522" s="5" t="s">
        <v>1442</v>
      </c>
      <c r="C522" s="5" t="s">
        <v>1443</v>
      </c>
      <c r="D522" s="5" t="s">
        <v>10</v>
      </c>
      <c r="E522" s="5" t="s">
        <v>35</v>
      </c>
      <c r="F522" s="5" t="s">
        <v>12</v>
      </c>
      <c r="G522" s="5" t="s">
        <v>36</v>
      </c>
    </row>
    <row r="523">
      <c r="A523" s="5" t="s">
        <v>1444</v>
      </c>
      <c r="B523" s="5" t="s">
        <v>1445</v>
      </c>
      <c r="C523" s="5" t="s">
        <v>1446</v>
      </c>
      <c r="D523" s="5" t="s">
        <v>10</v>
      </c>
      <c r="E523" s="5" t="s">
        <v>35</v>
      </c>
      <c r="F523" s="5" t="s">
        <v>12</v>
      </c>
      <c r="G523" s="5" t="s">
        <v>36</v>
      </c>
    </row>
    <row r="524">
      <c r="A524" s="5" t="s">
        <v>1447</v>
      </c>
      <c r="B524" s="5" t="s">
        <v>1448</v>
      </c>
      <c r="C524" s="5" t="s">
        <v>1449</v>
      </c>
      <c r="D524" s="5" t="s">
        <v>10</v>
      </c>
      <c r="E524" s="5" t="s">
        <v>35</v>
      </c>
      <c r="F524" s="5" t="s">
        <v>12</v>
      </c>
      <c r="G524" s="5" t="s">
        <v>36</v>
      </c>
    </row>
    <row r="525">
      <c r="A525" s="5" t="s">
        <v>1450</v>
      </c>
      <c r="B525" s="5" t="s">
        <v>1451</v>
      </c>
      <c r="C525" s="5" t="s">
        <v>1452</v>
      </c>
      <c r="D525" s="5" t="s">
        <v>10</v>
      </c>
      <c r="E525" s="5" t="s">
        <v>35</v>
      </c>
      <c r="F525" s="5" t="s">
        <v>12</v>
      </c>
      <c r="G525" s="5" t="s">
        <v>36</v>
      </c>
    </row>
    <row r="526">
      <c r="A526" s="5" t="s">
        <v>1453</v>
      </c>
      <c r="B526" s="5" t="s">
        <v>1454</v>
      </c>
      <c r="C526" s="5" t="s">
        <v>1455</v>
      </c>
      <c r="D526" s="5" t="s">
        <v>10</v>
      </c>
      <c r="E526" s="5" t="s">
        <v>35</v>
      </c>
      <c r="F526" s="5" t="s">
        <v>12</v>
      </c>
      <c r="G526" s="5" t="s">
        <v>36</v>
      </c>
    </row>
    <row r="527">
      <c r="A527" s="5" t="s">
        <v>1456</v>
      </c>
      <c r="B527" s="5" t="s">
        <v>1457</v>
      </c>
      <c r="C527" s="5" t="s">
        <v>1458</v>
      </c>
      <c r="D527" s="5" t="s">
        <v>10</v>
      </c>
      <c r="E527" s="5" t="s">
        <v>756</v>
      </c>
      <c r="F527" s="5" t="s">
        <v>12</v>
      </c>
      <c r="G527" s="5" t="s">
        <v>36</v>
      </c>
    </row>
    <row r="528">
      <c r="A528" s="5" t="s">
        <v>1459</v>
      </c>
      <c r="B528" s="5" t="s">
        <v>1460</v>
      </c>
      <c r="C528" s="5" t="s">
        <v>1461</v>
      </c>
      <c r="D528" s="5" t="s">
        <v>10</v>
      </c>
      <c r="E528" s="5" t="s">
        <v>756</v>
      </c>
      <c r="F528" s="5" t="s">
        <v>12</v>
      </c>
      <c r="G528" s="5" t="s">
        <v>36</v>
      </c>
    </row>
    <row r="529">
      <c r="A529" s="5" t="s">
        <v>1462</v>
      </c>
      <c r="B529" s="5" t="s">
        <v>1463</v>
      </c>
      <c r="C529" s="5" t="s">
        <v>1464</v>
      </c>
      <c r="D529" s="5" t="s">
        <v>10</v>
      </c>
      <c r="E529" s="5" t="s">
        <v>756</v>
      </c>
      <c r="F529" s="5" t="s">
        <v>12</v>
      </c>
      <c r="G529" s="5" t="s">
        <v>36</v>
      </c>
    </row>
    <row r="530">
      <c r="A530" s="5" t="s">
        <v>1465</v>
      </c>
      <c r="B530" s="5" t="s">
        <v>1466</v>
      </c>
      <c r="C530" s="5" t="s">
        <v>1467</v>
      </c>
      <c r="D530" s="5" t="s">
        <v>10</v>
      </c>
      <c r="E530" s="5" t="s">
        <v>756</v>
      </c>
      <c r="F530" s="5" t="s">
        <v>12</v>
      </c>
      <c r="G530" s="5" t="s">
        <v>36</v>
      </c>
    </row>
    <row r="531">
      <c r="A531" s="5" t="s">
        <v>1468</v>
      </c>
      <c r="B531" s="5" t="s">
        <v>1469</v>
      </c>
      <c r="C531" s="5" t="s">
        <v>1470</v>
      </c>
      <c r="D531" s="5" t="s">
        <v>10</v>
      </c>
      <c r="E531" s="5" t="s">
        <v>756</v>
      </c>
      <c r="F531" s="5" t="s">
        <v>12</v>
      </c>
      <c r="G531" s="5" t="s">
        <v>36</v>
      </c>
    </row>
    <row r="532">
      <c r="A532" s="5" t="s">
        <v>1471</v>
      </c>
      <c r="B532" s="5" t="s">
        <v>1472</v>
      </c>
      <c r="C532" s="5" t="s">
        <v>1473</v>
      </c>
      <c r="D532" s="5" t="s">
        <v>10</v>
      </c>
      <c r="E532" s="5" t="s">
        <v>756</v>
      </c>
      <c r="F532" s="5" t="s">
        <v>12</v>
      </c>
      <c r="G532" s="5" t="s">
        <v>36</v>
      </c>
    </row>
    <row r="533">
      <c r="A533" s="14"/>
      <c r="B533" s="5" t="s">
        <v>1474</v>
      </c>
      <c r="C533" s="5" t="s">
        <v>1475</v>
      </c>
      <c r="D533" s="5" t="s">
        <v>10</v>
      </c>
      <c r="E533" s="5" t="s">
        <v>35</v>
      </c>
      <c r="F533" s="5" t="s">
        <v>1476</v>
      </c>
      <c r="G533" s="5" t="s">
        <v>36</v>
      </c>
    </row>
    <row r="534">
      <c r="A534" s="7" t="s">
        <v>1477</v>
      </c>
      <c r="B534" s="7" t="s">
        <v>1478</v>
      </c>
      <c r="C534" s="7" t="s">
        <v>1479</v>
      </c>
      <c r="D534" s="7" t="s">
        <v>10</v>
      </c>
      <c r="E534" s="7" t="s">
        <v>93</v>
      </c>
      <c r="F534" s="7" t="s">
        <v>12</v>
      </c>
      <c r="G534" s="7" t="s">
        <v>13</v>
      </c>
    </row>
    <row r="535">
      <c r="A535" s="7" t="s">
        <v>1480</v>
      </c>
      <c r="B535" s="7" t="s">
        <v>1481</v>
      </c>
      <c r="C535" s="7" t="s">
        <v>1482</v>
      </c>
      <c r="D535" s="7" t="s">
        <v>10</v>
      </c>
      <c r="E535" s="7" t="s">
        <v>93</v>
      </c>
      <c r="F535" s="7" t="s">
        <v>12</v>
      </c>
      <c r="G535" s="7" t="s">
        <v>13</v>
      </c>
    </row>
    <row r="536">
      <c r="A536" s="7" t="s">
        <v>1483</v>
      </c>
      <c r="B536" s="7" t="s">
        <v>1484</v>
      </c>
      <c r="C536" s="7" t="s">
        <v>1485</v>
      </c>
      <c r="D536" s="7" t="s">
        <v>10</v>
      </c>
      <c r="E536" s="7" t="s">
        <v>93</v>
      </c>
      <c r="F536" s="7" t="s">
        <v>12</v>
      </c>
      <c r="G536" s="7" t="s">
        <v>13</v>
      </c>
    </row>
    <row r="537">
      <c r="A537" s="7" t="s">
        <v>1486</v>
      </c>
      <c r="B537" s="7" t="s">
        <v>1487</v>
      </c>
      <c r="C537" s="7" t="s">
        <v>1488</v>
      </c>
      <c r="D537" s="7" t="s">
        <v>10</v>
      </c>
      <c r="E537" s="7" t="s">
        <v>131</v>
      </c>
      <c r="F537" s="7" t="s">
        <v>12</v>
      </c>
      <c r="G537" s="7" t="s">
        <v>36</v>
      </c>
    </row>
    <row r="538">
      <c r="A538" s="7" t="s">
        <v>1489</v>
      </c>
      <c r="B538" s="7" t="s">
        <v>1490</v>
      </c>
      <c r="C538" s="7" t="s">
        <v>1491</v>
      </c>
      <c r="D538" s="7" t="s">
        <v>10</v>
      </c>
      <c r="E538" s="7" t="s">
        <v>131</v>
      </c>
      <c r="F538" s="7" t="s">
        <v>12</v>
      </c>
      <c r="G538" s="7" t="s">
        <v>36</v>
      </c>
    </row>
    <row r="539">
      <c r="A539" s="6" t="s">
        <v>1492</v>
      </c>
      <c r="B539" s="6" t="s">
        <v>1493</v>
      </c>
      <c r="C539" s="6" t="s">
        <v>1494</v>
      </c>
      <c r="D539" s="6" t="s">
        <v>10</v>
      </c>
      <c r="E539" s="6" t="s">
        <v>54</v>
      </c>
      <c r="F539" s="6" t="s">
        <v>17</v>
      </c>
      <c r="G539" s="6" t="s">
        <v>13</v>
      </c>
    </row>
    <row r="540">
      <c r="A540" s="7" t="s">
        <v>1495</v>
      </c>
      <c r="B540" s="7" t="s">
        <v>1496</v>
      </c>
      <c r="C540" s="7" t="s">
        <v>1497</v>
      </c>
      <c r="D540" s="7" t="s">
        <v>10</v>
      </c>
      <c r="E540" s="7" t="s">
        <v>35</v>
      </c>
      <c r="F540" s="7" t="s">
        <v>12</v>
      </c>
      <c r="G540" s="7" t="s">
        <v>36</v>
      </c>
    </row>
    <row r="541">
      <c r="A541" s="7" t="s">
        <v>1498</v>
      </c>
      <c r="B541" s="7" t="s">
        <v>1499</v>
      </c>
      <c r="C541" s="7" t="s">
        <v>1500</v>
      </c>
      <c r="D541" s="7" t="s">
        <v>10</v>
      </c>
      <c r="E541" s="7" t="s">
        <v>89</v>
      </c>
      <c r="F541" s="7" t="s">
        <v>12</v>
      </c>
      <c r="G541" s="7" t="s">
        <v>36</v>
      </c>
    </row>
    <row r="542">
      <c r="A542" s="5" t="s">
        <v>1501</v>
      </c>
      <c r="B542" s="5" t="s">
        <v>1502</v>
      </c>
      <c r="C542" s="5" t="s">
        <v>1503</v>
      </c>
      <c r="D542" s="5" t="s">
        <v>10</v>
      </c>
      <c r="E542" s="5" t="s">
        <v>224</v>
      </c>
      <c r="F542" s="5" t="s">
        <v>12</v>
      </c>
      <c r="G542" s="5" t="s">
        <v>13</v>
      </c>
    </row>
    <row r="543">
      <c r="A543" s="5" t="s">
        <v>1504</v>
      </c>
      <c r="B543" s="5" t="s">
        <v>1505</v>
      </c>
      <c r="C543" s="5" t="s">
        <v>1506</v>
      </c>
      <c r="D543" s="5" t="s">
        <v>10</v>
      </c>
      <c r="E543" s="5" t="s">
        <v>93</v>
      </c>
      <c r="F543" s="5" t="s">
        <v>12</v>
      </c>
      <c r="G543" s="5" t="s">
        <v>13</v>
      </c>
    </row>
    <row r="544">
      <c r="A544" s="7" t="s">
        <v>1507</v>
      </c>
      <c r="B544" s="7" t="s">
        <v>1508</v>
      </c>
      <c r="C544" s="7" t="s">
        <v>1509</v>
      </c>
      <c r="D544" s="7" t="s">
        <v>10</v>
      </c>
      <c r="E544" s="7" t="s">
        <v>11</v>
      </c>
      <c r="F544" s="7" t="s">
        <v>12</v>
      </c>
      <c r="G544" s="7" t="s">
        <v>13</v>
      </c>
    </row>
    <row r="545">
      <c r="A545" s="6" t="s">
        <v>1510</v>
      </c>
      <c r="B545" s="6" t="s">
        <v>1511</v>
      </c>
      <c r="C545" s="6" t="s">
        <v>1512</v>
      </c>
      <c r="D545" s="6" t="s">
        <v>10</v>
      </c>
      <c r="E545" s="6" t="s">
        <v>11</v>
      </c>
      <c r="F545" s="6" t="s">
        <v>12</v>
      </c>
      <c r="G545" s="6" t="s">
        <v>13</v>
      </c>
    </row>
    <row r="546">
      <c r="A546" s="5" t="s">
        <v>1513</v>
      </c>
      <c r="B546" s="5" t="s">
        <v>1514</v>
      </c>
      <c r="C546" s="5" t="s">
        <v>1515</v>
      </c>
      <c r="D546" s="5" t="s">
        <v>10</v>
      </c>
      <c r="E546" s="5" t="s">
        <v>1516</v>
      </c>
      <c r="F546" s="5" t="s">
        <v>12</v>
      </c>
      <c r="G546" s="5" t="s">
        <v>79</v>
      </c>
    </row>
    <row r="547">
      <c r="A547" s="6" t="s">
        <v>1517</v>
      </c>
      <c r="B547" s="6" t="s">
        <v>1518</v>
      </c>
      <c r="C547" s="6" t="s">
        <v>1519</v>
      </c>
      <c r="D547" s="6" t="s">
        <v>10</v>
      </c>
      <c r="E547" s="6" t="s">
        <v>11</v>
      </c>
      <c r="F547" s="6" t="s">
        <v>17</v>
      </c>
      <c r="G547" s="6" t="s">
        <v>13</v>
      </c>
    </row>
    <row r="548">
      <c r="A548" s="5" t="s">
        <v>1520</v>
      </c>
      <c r="B548" s="5" t="s">
        <v>1521</v>
      </c>
      <c r="C548" s="5" t="s">
        <v>1522</v>
      </c>
      <c r="D548" s="5" t="s">
        <v>10</v>
      </c>
      <c r="E548" s="5" t="s">
        <v>35</v>
      </c>
      <c r="F548" s="5" t="s">
        <v>12</v>
      </c>
      <c r="G548" s="5" t="s">
        <v>36</v>
      </c>
    </row>
    <row r="549">
      <c r="A549" s="5" t="s">
        <v>1523</v>
      </c>
      <c r="B549" s="12" t="s">
        <v>1524</v>
      </c>
      <c r="C549" s="12" t="s">
        <v>1525</v>
      </c>
      <c r="D549" s="5" t="s">
        <v>10</v>
      </c>
      <c r="E549" s="5" t="s">
        <v>35</v>
      </c>
      <c r="F549" s="5" t="s">
        <v>12</v>
      </c>
      <c r="G549" s="5" t="s">
        <v>36</v>
      </c>
    </row>
    <row r="550">
      <c r="A550" s="7" t="s">
        <v>1526</v>
      </c>
      <c r="B550" s="7">
        <v>6.0020648E7</v>
      </c>
      <c r="C550" s="7" t="s">
        <v>1527</v>
      </c>
      <c r="D550" s="7" t="s">
        <v>10</v>
      </c>
      <c r="E550" s="7" t="s">
        <v>1528</v>
      </c>
      <c r="F550" s="7" t="s">
        <v>12</v>
      </c>
      <c r="G550" s="7" t="s">
        <v>13</v>
      </c>
    </row>
    <row r="551">
      <c r="A551" s="7" t="s">
        <v>1529</v>
      </c>
      <c r="B551" s="7">
        <v>6.002065E7</v>
      </c>
      <c r="C551" s="7" t="s">
        <v>1530</v>
      </c>
      <c r="D551" s="7" t="s">
        <v>10</v>
      </c>
      <c r="E551" s="7" t="s">
        <v>1528</v>
      </c>
      <c r="F551" s="7" t="s">
        <v>12</v>
      </c>
      <c r="G551" s="7" t="s">
        <v>13</v>
      </c>
    </row>
    <row r="552">
      <c r="A552" s="5" t="s">
        <v>1531</v>
      </c>
      <c r="B552" s="5">
        <v>6.0020651E7</v>
      </c>
      <c r="C552" s="5" t="s">
        <v>1532</v>
      </c>
      <c r="D552" s="5" t="s">
        <v>10</v>
      </c>
      <c r="E552" s="5" t="s">
        <v>1528</v>
      </c>
      <c r="F552" s="5" t="s">
        <v>12</v>
      </c>
      <c r="G552" s="5" t="s">
        <v>13</v>
      </c>
    </row>
    <row r="553">
      <c r="A553" s="7" t="s">
        <v>1533</v>
      </c>
      <c r="B553" s="7">
        <v>6.0020652E7</v>
      </c>
      <c r="C553" s="7" t="s">
        <v>1534</v>
      </c>
      <c r="D553" s="7" t="s">
        <v>10</v>
      </c>
      <c r="E553" s="7" t="s">
        <v>1528</v>
      </c>
      <c r="F553" s="7" t="s">
        <v>12</v>
      </c>
      <c r="G553" s="7" t="s">
        <v>13</v>
      </c>
    </row>
    <row r="554">
      <c r="A554" s="7" t="s">
        <v>1535</v>
      </c>
      <c r="B554" s="7">
        <v>6.0020653E7</v>
      </c>
      <c r="C554" s="7" t="s">
        <v>1536</v>
      </c>
      <c r="D554" s="7" t="s">
        <v>10</v>
      </c>
      <c r="E554" s="7" t="s">
        <v>1528</v>
      </c>
      <c r="F554" s="7" t="s">
        <v>12</v>
      </c>
      <c r="G554" s="7" t="s">
        <v>13</v>
      </c>
    </row>
    <row r="555">
      <c r="A555" s="7" t="s">
        <v>1537</v>
      </c>
      <c r="B555" s="7">
        <v>6.0020654E7</v>
      </c>
      <c r="C555" s="7" t="s">
        <v>1538</v>
      </c>
      <c r="D555" s="7" t="s">
        <v>10</v>
      </c>
      <c r="E555" s="7" t="s">
        <v>1528</v>
      </c>
      <c r="F555" s="7" t="s">
        <v>12</v>
      </c>
      <c r="G555" s="7" t="s">
        <v>13</v>
      </c>
    </row>
    <row r="556">
      <c r="A556" s="5" t="s">
        <v>1539</v>
      </c>
      <c r="B556" s="5">
        <v>6.0020655E7</v>
      </c>
      <c r="C556" s="5" t="s">
        <v>1540</v>
      </c>
      <c r="D556" s="5" t="s">
        <v>10</v>
      </c>
      <c r="E556" s="5" t="s">
        <v>1528</v>
      </c>
      <c r="F556" s="5" t="s">
        <v>12</v>
      </c>
      <c r="G556" s="5" t="s">
        <v>13</v>
      </c>
    </row>
    <row r="557">
      <c r="A557" s="7" t="s">
        <v>1541</v>
      </c>
      <c r="B557" s="7">
        <v>6.0020656E7</v>
      </c>
      <c r="C557" s="7" t="s">
        <v>1542</v>
      </c>
      <c r="D557" s="7" t="s">
        <v>10</v>
      </c>
      <c r="E557" s="7" t="s">
        <v>1528</v>
      </c>
      <c r="F557" s="7" t="s">
        <v>12</v>
      </c>
      <c r="G557" s="7" t="s">
        <v>13</v>
      </c>
    </row>
    <row r="558">
      <c r="A558" s="5" t="s">
        <v>1543</v>
      </c>
      <c r="B558" s="5">
        <v>6.002066E7</v>
      </c>
      <c r="C558" s="5" t="s">
        <v>1544</v>
      </c>
      <c r="D558" s="5" t="s">
        <v>10</v>
      </c>
      <c r="E558" s="5" t="s">
        <v>1528</v>
      </c>
      <c r="F558" s="5" t="s">
        <v>12</v>
      </c>
      <c r="G558" s="5" t="s">
        <v>13</v>
      </c>
    </row>
    <row r="559">
      <c r="A559" s="5" t="s">
        <v>1545</v>
      </c>
      <c r="B559" s="5">
        <v>6.0020661E7</v>
      </c>
      <c r="C559" s="5" t="s">
        <v>1546</v>
      </c>
      <c r="D559" s="5" t="s">
        <v>10</v>
      </c>
      <c r="E559" s="5" t="s">
        <v>1528</v>
      </c>
      <c r="F559" s="5" t="s">
        <v>12</v>
      </c>
      <c r="G559" s="5" t="s">
        <v>13</v>
      </c>
    </row>
    <row r="560">
      <c r="A560" s="5" t="s">
        <v>1547</v>
      </c>
      <c r="B560" s="5">
        <v>6.0020662E7</v>
      </c>
      <c r="C560" s="5" t="s">
        <v>1548</v>
      </c>
      <c r="D560" s="5" t="s">
        <v>10</v>
      </c>
      <c r="E560" s="5" t="s">
        <v>1528</v>
      </c>
      <c r="F560" s="5" t="s">
        <v>12</v>
      </c>
      <c r="G560" s="5" t="s">
        <v>13</v>
      </c>
    </row>
    <row r="561">
      <c r="A561" s="5" t="s">
        <v>1549</v>
      </c>
      <c r="B561" s="5">
        <v>6.0020663E7</v>
      </c>
      <c r="C561" s="5" t="s">
        <v>1550</v>
      </c>
      <c r="D561" s="5" t="s">
        <v>10</v>
      </c>
      <c r="E561" s="5" t="s">
        <v>1528</v>
      </c>
      <c r="F561" s="5" t="s">
        <v>12</v>
      </c>
      <c r="G561" s="5" t="s">
        <v>13</v>
      </c>
    </row>
    <row r="562">
      <c r="A562" s="5" t="s">
        <v>1551</v>
      </c>
      <c r="B562" s="5">
        <v>6.0020664E7</v>
      </c>
      <c r="C562" s="5" t="s">
        <v>1552</v>
      </c>
      <c r="D562" s="5" t="s">
        <v>10</v>
      </c>
      <c r="E562" s="5" t="s">
        <v>1528</v>
      </c>
      <c r="F562" s="5" t="s">
        <v>12</v>
      </c>
      <c r="G562" s="5" t="s">
        <v>13</v>
      </c>
    </row>
    <row r="563">
      <c r="A563" s="5" t="s">
        <v>1553</v>
      </c>
      <c r="B563" s="5">
        <v>6.0020665E7</v>
      </c>
      <c r="C563" s="5" t="s">
        <v>1554</v>
      </c>
      <c r="D563" s="5" t="s">
        <v>10</v>
      </c>
      <c r="E563" s="5" t="s">
        <v>1528</v>
      </c>
      <c r="F563" s="5" t="s">
        <v>12</v>
      </c>
      <c r="G563" s="5" t="s">
        <v>13</v>
      </c>
    </row>
    <row r="564">
      <c r="A564" s="5" t="s">
        <v>1555</v>
      </c>
      <c r="B564" s="5">
        <v>6.0020667E7</v>
      </c>
      <c r="C564" s="5" t="s">
        <v>1556</v>
      </c>
      <c r="D564" s="5" t="s">
        <v>10</v>
      </c>
      <c r="E564" s="5" t="s">
        <v>1528</v>
      </c>
      <c r="F564" s="5" t="s">
        <v>12</v>
      </c>
      <c r="G564" s="5" t="s">
        <v>13</v>
      </c>
    </row>
    <row r="565">
      <c r="A565" s="7" t="s">
        <v>1557</v>
      </c>
      <c r="B565" s="7">
        <v>6.0020668E7</v>
      </c>
      <c r="C565" s="7" t="s">
        <v>1558</v>
      </c>
      <c r="D565" s="7" t="s">
        <v>10</v>
      </c>
      <c r="E565" s="7" t="s">
        <v>1528</v>
      </c>
      <c r="F565" s="7" t="s">
        <v>12</v>
      </c>
      <c r="G565" s="7" t="s">
        <v>13</v>
      </c>
    </row>
    <row r="566">
      <c r="A566" s="7" t="s">
        <v>1559</v>
      </c>
      <c r="B566" s="7">
        <v>6.0020669E7</v>
      </c>
      <c r="C566" s="7" t="s">
        <v>1560</v>
      </c>
      <c r="D566" s="7" t="s">
        <v>10</v>
      </c>
      <c r="E566" s="7" t="s">
        <v>1528</v>
      </c>
      <c r="F566" s="7" t="s">
        <v>12</v>
      </c>
      <c r="G566" s="7" t="s">
        <v>13</v>
      </c>
    </row>
    <row r="567">
      <c r="A567" s="7" t="s">
        <v>1561</v>
      </c>
      <c r="B567" s="7">
        <v>6.002067E7</v>
      </c>
      <c r="C567" s="7" t="s">
        <v>1562</v>
      </c>
      <c r="D567" s="7" t="s">
        <v>10</v>
      </c>
      <c r="E567" s="7" t="s">
        <v>1528</v>
      </c>
      <c r="F567" s="7" t="s">
        <v>12</v>
      </c>
      <c r="G567" s="7" t="s">
        <v>13</v>
      </c>
    </row>
    <row r="568">
      <c r="A568" s="5" t="s">
        <v>1563</v>
      </c>
      <c r="B568" s="5">
        <v>6.0020671E7</v>
      </c>
      <c r="C568" s="5" t="s">
        <v>1564</v>
      </c>
      <c r="D568" s="5" t="s">
        <v>10</v>
      </c>
      <c r="E568" s="5" t="s">
        <v>1528</v>
      </c>
      <c r="F568" s="5" t="s">
        <v>12</v>
      </c>
      <c r="G568" s="5" t="s">
        <v>13</v>
      </c>
    </row>
    <row r="569">
      <c r="A569" s="5" t="s">
        <v>1565</v>
      </c>
      <c r="B569" s="5">
        <v>6.0020431E7</v>
      </c>
      <c r="C569" s="5" t="s">
        <v>1566</v>
      </c>
      <c r="D569" s="5" t="s">
        <v>10</v>
      </c>
      <c r="E569" s="5" t="s">
        <v>1528</v>
      </c>
      <c r="F569" s="5" t="s">
        <v>12</v>
      </c>
      <c r="G569" s="5" t="s">
        <v>13</v>
      </c>
    </row>
    <row r="570">
      <c r="A570" s="5" t="s">
        <v>1567</v>
      </c>
      <c r="B570" s="5">
        <v>6.0020432E7</v>
      </c>
      <c r="C570" s="5" t="s">
        <v>1568</v>
      </c>
      <c r="D570" s="5" t="s">
        <v>10</v>
      </c>
      <c r="E570" s="5" t="s">
        <v>1528</v>
      </c>
      <c r="F570" s="5" t="s">
        <v>12</v>
      </c>
      <c r="G570" s="5" t="s">
        <v>13</v>
      </c>
    </row>
    <row r="571">
      <c r="A571" s="7" t="s">
        <v>1569</v>
      </c>
      <c r="B571" s="7">
        <v>6.0020657E7</v>
      </c>
      <c r="C571" s="7" t="s">
        <v>1570</v>
      </c>
      <c r="D571" s="7" t="s">
        <v>10</v>
      </c>
      <c r="E571" s="7" t="s">
        <v>1528</v>
      </c>
      <c r="F571" s="7" t="s">
        <v>12</v>
      </c>
      <c r="G571" s="7" t="s">
        <v>13</v>
      </c>
    </row>
    <row r="572">
      <c r="A572" s="7" t="s">
        <v>1571</v>
      </c>
      <c r="B572" s="7">
        <v>6.0020658E7</v>
      </c>
      <c r="C572" s="7" t="s">
        <v>1572</v>
      </c>
      <c r="D572" s="7" t="s">
        <v>10</v>
      </c>
      <c r="E572" s="7" t="s">
        <v>1528</v>
      </c>
      <c r="F572" s="7" t="s">
        <v>12</v>
      </c>
      <c r="G572" s="7" t="s">
        <v>13</v>
      </c>
    </row>
    <row r="573">
      <c r="A573" s="7" t="s">
        <v>1573</v>
      </c>
      <c r="B573" s="7">
        <v>6.0020659E7</v>
      </c>
      <c r="C573" s="7" t="s">
        <v>1574</v>
      </c>
      <c r="D573" s="7" t="s">
        <v>10</v>
      </c>
      <c r="E573" s="7" t="s">
        <v>1528</v>
      </c>
      <c r="F573" s="7" t="s">
        <v>12</v>
      </c>
      <c r="G573" s="7" t="s">
        <v>13</v>
      </c>
    </row>
    <row r="574">
      <c r="A574" s="7" t="s">
        <v>1575</v>
      </c>
      <c r="B574" s="7">
        <v>6.0020911E7</v>
      </c>
      <c r="C574" s="7" t="s">
        <v>1576</v>
      </c>
      <c r="D574" s="7" t="s">
        <v>10</v>
      </c>
      <c r="E574" s="7" t="s">
        <v>1528</v>
      </c>
      <c r="F574" s="7" t="s">
        <v>12</v>
      </c>
      <c r="G574" s="7" t="s">
        <v>13</v>
      </c>
    </row>
    <row r="575">
      <c r="A575" s="7" t="s">
        <v>1577</v>
      </c>
      <c r="B575" s="7">
        <v>6.0020912E7</v>
      </c>
      <c r="C575" s="7" t="s">
        <v>1578</v>
      </c>
      <c r="D575" s="7" t="s">
        <v>10</v>
      </c>
      <c r="E575" s="7" t="s">
        <v>1528</v>
      </c>
      <c r="F575" s="7" t="s">
        <v>12</v>
      </c>
      <c r="G575" s="7" t="s">
        <v>13</v>
      </c>
    </row>
    <row r="576">
      <c r="A576" s="7" t="s">
        <v>1579</v>
      </c>
      <c r="B576" s="7">
        <v>6.0020913E7</v>
      </c>
      <c r="C576" s="7" t="s">
        <v>1580</v>
      </c>
      <c r="D576" s="7" t="s">
        <v>10</v>
      </c>
      <c r="E576" s="7" t="s">
        <v>1528</v>
      </c>
      <c r="F576" s="7" t="s">
        <v>12</v>
      </c>
      <c r="G576" s="7" t="s">
        <v>13</v>
      </c>
    </row>
    <row r="577">
      <c r="A577" s="7" t="s">
        <v>1581</v>
      </c>
      <c r="B577" s="7" t="s">
        <v>1582</v>
      </c>
      <c r="C577" s="7" t="s">
        <v>1583</v>
      </c>
      <c r="D577" s="7" t="s">
        <v>10</v>
      </c>
      <c r="E577" s="7" t="s">
        <v>775</v>
      </c>
      <c r="F577" s="7" t="s">
        <v>12</v>
      </c>
      <c r="G577" s="7" t="s">
        <v>79</v>
      </c>
    </row>
    <row r="578">
      <c r="A578" s="7" t="s">
        <v>1584</v>
      </c>
      <c r="B578" s="7" t="s">
        <v>1585</v>
      </c>
      <c r="C578" s="7" t="s">
        <v>1586</v>
      </c>
      <c r="D578" s="7" t="s">
        <v>10</v>
      </c>
      <c r="E578" s="7" t="s">
        <v>47</v>
      </c>
      <c r="F578" s="7" t="s">
        <v>12</v>
      </c>
      <c r="G578" s="7" t="s">
        <v>13</v>
      </c>
    </row>
    <row r="579">
      <c r="A579" s="6" t="s">
        <v>1587</v>
      </c>
      <c r="B579" s="6">
        <v>6.0020687E7</v>
      </c>
      <c r="C579" s="6" t="s">
        <v>1588</v>
      </c>
      <c r="D579" s="6" t="s">
        <v>10</v>
      </c>
      <c r="E579" s="6" t="s">
        <v>1528</v>
      </c>
      <c r="F579" s="6" t="s">
        <v>12</v>
      </c>
      <c r="G579" s="6" t="s">
        <v>13</v>
      </c>
    </row>
    <row r="580">
      <c r="A580" s="6" t="s">
        <v>1589</v>
      </c>
      <c r="B580" s="6">
        <v>6.0020688E7</v>
      </c>
      <c r="C580" s="6" t="s">
        <v>1590</v>
      </c>
      <c r="D580" s="6" t="s">
        <v>10</v>
      </c>
      <c r="E580" s="6" t="s">
        <v>1528</v>
      </c>
      <c r="F580" s="6" t="s">
        <v>12</v>
      </c>
      <c r="G580" s="6" t="s">
        <v>13</v>
      </c>
    </row>
    <row r="581">
      <c r="A581" s="6" t="s">
        <v>1591</v>
      </c>
      <c r="B581" s="6">
        <v>6.0020689E7</v>
      </c>
      <c r="C581" s="6" t="s">
        <v>1592</v>
      </c>
      <c r="D581" s="6" t="s">
        <v>10</v>
      </c>
      <c r="E581" s="6" t="s">
        <v>1528</v>
      </c>
      <c r="F581" s="6" t="s">
        <v>12</v>
      </c>
      <c r="G581" s="6" t="s">
        <v>13</v>
      </c>
    </row>
    <row r="582">
      <c r="A582" s="6" t="s">
        <v>1593</v>
      </c>
      <c r="B582" s="6">
        <v>6.002069E7</v>
      </c>
      <c r="C582" s="6" t="s">
        <v>1594</v>
      </c>
      <c r="D582" s="6" t="s">
        <v>10</v>
      </c>
      <c r="E582" s="6" t="s">
        <v>1528</v>
      </c>
      <c r="F582" s="6" t="s">
        <v>12</v>
      </c>
      <c r="G582" s="6" t="s">
        <v>13</v>
      </c>
    </row>
    <row r="583">
      <c r="A583" s="6" t="s">
        <v>1595</v>
      </c>
      <c r="B583" s="6">
        <v>6.0020691E7</v>
      </c>
      <c r="C583" s="6" t="s">
        <v>1596</v>
      </c>
      <c r="D583" s="6" t="s">
        <v>10</v>
      </c>
      <c r="E583" s="6" t="s">
        <v>1528</v>
      </c>
      <c r="F583" s="6" t="s">
        <v>12</v>
      </c>
      <c r="G583" s="6" t="s">
        <v>13</v>
      </c>
    </row>
    <row r="584">
      <c r="A584" s="6" t="s">
        <v>1597</v>
      </c>
      <c r="B584" s="6">
        <v>6.0020692E7</v>
      </c>
      <c r="C584" s="6" t="s">
        <v>1598</v>
      </c>
      <c r="D584" s="6" t="s">
        <v>10</v>
      </c>
      <c r="E584" s="6" t="s">
        <v>1528</v>
      </c>
      <c r="F584" s="6" t="s">
        <v>12</v>
      </c>
      <c r="G584" s="6" t="s">
        <v>13</v>
      </c>
    </row>
    <row r="585">
      <c r="A585" s="6" t="s">
        <v>1599</v>
      </c>
      <c r="B585" s="6">
        <v>6.0020693E7</v>
      </c>
      <c r="C585" s="6" t="s">
        <v>1600</v>
      </c>
      <c r="D585" s="6" t="s">
        <v>10</v>
      </c>
      <c r="E585" s="6" t="s">
        <v>1528</v>
      </c>
      <c r="F585" s="6" t="s">
        <v>12</v>
      </c>
      <c r="G585" s="6" t="s">
        <v>13</v>
      </c>
    </row>
    <row r="586">
      <c r="A586" s="6" t="s">
        <v>1601</v>
      </c>
      <c r="B586" s="6">
        <v>6.0020694E7</v>
      </c>
      <c r="C586" s="6" t="s">
        <v>1602</v>
      </c>
      <c r="D586" s="6" t="s">
        <v>10</v>
      </c>
      <c r="E586" s="6" t="s">
        <v>1528</v>
      </c>
      <c r="F586" s="6" t="s">
        <v>12</v>
      </c>
      <c r="G586" s="6" t="s">
        <v>13</v>
      </c>
    </row>
    <row r="587">
      <c r="A587" s="6" t="s">
        <v>1603</v>
      </c>
      <c r="B587" s="6">
        <v>6.0020695E7</v>
      </c>
      <c r="C587" s="6" t="s">
        <v>1604</v>
      </c>
      <c r="D587" s="6" t="s">
        <v>10</v>
      </c>
      <c r="E587" s="6" t="s">
        <v>1528</v>
      </c>
      <c r="F587" s="6" t="s">
        <v>12</v>
      </c>
      <c r="G587" s="6" t="s">
        <v>13</v>
      </c>
    </row>
    <row r="588">
      <c r="A588" s="6" t="s">
        <v>1605</v>
      </c>
      <c r="B588" s="6">
        <v>6.0020696E7</v>
      </c>
      <c r="C588" s="6" t="s">
        <v>1606</v>
      </c>
      <c r="D588" s="6" t="s">
        <v>10</v>
      </c>
      <c r="E588" s="6" t="s">
        <v>1528</v>
      </c>
      <c r="F588" s="6" t="s">
        <v>12</v>
      </c>
      <c r="G588" s="6" t="s">
        <v>13</v>
      </c>
    </row>
    <row r="589">
      <c r="A589" s="5" t="s">
        <v>1607</v>
      </c>
      <c r="B589" s="5">
        <v>6.0021008E7</v>
      </c>
      <c r="C589" s="5" t="s">
        <v>1608</v>
      </c>
      <c r="D589" s="5" t="s">
        <v>10</v>
      </c>
      <c r="E589" s="5" t="s">
        <v>1528</v>
      </c>
      <c r="F589" s="5" t="s">
        <v>12</v>
      </c>
      <c r="G589" s="5" t="s">
        <v>13</v>
      </c>
    </row>
    <row r="590">
      <c r="A590" s="5" t="s">
        <v>1609</v>
      </c>
      <c r="B590" s="5">
        <v>6.0021009E7</v>
      </c>
      <c r="C590" s="5" t="s">
        <v>1610</v>
      </c>
      <c r="D590" s="5" t="s">
        <v>10</v>
      </c>
      <c r="E590" s="5" t="s">
        <v>1528</v>
      </c>
      <c r="F590" s="5" t="s">
        <v>12</v>
      </c>
      <c r="G590" s="5" t="s">
        <v>13</v>
      </c>
    </row>
    <row r="591">
      <c r="A591" s="5" t="s">
        <v>1611</v>
      </c>
      <c r="B591" s="5">
        <v>6.002101E7</v>
      </c>
      <c r="C591" s="5" t="s">
        <v>1612</v>
      </c>
      <c r="D591" s="5" t="s">
        <v>10</v>
      </c>
      <c r="E591" s="5" t="s">
        <v>1528</v>
      </c>
      <c r="F591" s="5" t="s">
        <v>12</v>
      </c>
      <c r="G591" s="5" t="s">
        <v>13</v>
      </c>
    </row>
    <row r="592">
      <c r="A592" s="5" t="s">
        <v>1613</v>
      </c>
      <c r="B592" s="5">
        <v>6.0021011E7</v>
      </c>
      <c r="C592" s="5" t="s">
        <v>1614</v>
      </c>
      <c r="D592" s="5" t="s">
        <v>10</v>
      </c>
      <c r="E592" s="5" t="s">
        <v>1528</v>
      </c>
      <c r="F592" s="5" t="s">
        <v>12</v>
      </c>
      <c r="G592" s="5" t="s">
        <v>13</v>
      </c>
    </row>
    <row r="593">
      <c r="A593" s="5" t="s">
        <v>1615</v>
      </c>
      <c r="B593" s="5">
        <v>6.0021012E7</v>
      </c>
      <c r="C593" s="5" t="s">
        <v>1616</v>
      </c>
      <c r="D593" s="5" t="s">
        <v>10</v>
      </c>
      <c r="E593" s="5" t="s">
        <v>1528</v>
      </c>
      <c r="F593" s="5" t="s">
        <v>12</v>
      </c>
      <c r="G593" s="5" t="s">
        <v>13</v>
      </c>
    </row>
    <row r="594">
      <c r="A594" s="5" t="s">
        <v>1617</v>
      </c>
      <c r="B594" s="5">
        <v>6.0021013E7</v>
      </c>
      <c r="C594" s="5" t="s">
        <v>1618</v>
      </c>
      <c r="D594" s="5" t="s">
        <v>10</v>
      </c>
      <c r="E594" s="5" t="s">
        <v>1528</v>
      </c>
      <c r="F594" s="5" t="s">
        <v>12</v>
      </c>
      <c r="G594" s="5" t="s">
        <v>13</v>
      </c>
    </row>
    <row r="595">
      <c r="A595" s="5" t="s">
        <v>1619</v>
      </c>
      <c r="B595" s="5">
        <v>6.0021014E7</v>
      </c>
      <c r="C595" s="5" t="s">
        <v>1620</v>
      </c>
      <c r="D595" s="5" t="s">
        <v>10</v>
      </c>
      <c r="E595" s="5" t="s">
        <v>1528</v>
      </c>
      <c r="F595" s="5" t="s">
        <v>12</v>
      </c>
      <c r="G595" s="5" t="s">
        <v>13</v>
      </c>
    </row>
    <row r="596">
      <c r="A596" s="5" t="s">
        <v>1621</v>
      </c>
      <c r="B596" s="5">
        <v>6.0021015E7</v>
      </c>
      <c r="C596" s="5" t="s">
        <v>1622</v>
      </c>
      <c r="D596" s="5" t="s">
        <v>10</v>
      </c>
      <c r="E596" s="5" t="s">
        <v>1528</v>
      </c>
      <c r="F596" s="5" t="s">
        <v>12</v>
      </c>
      <c r="G596" s="5" t="s">
        <v>13</v>
      </c>
    </row>
    <row r="597">
      <c r="A597" s="5" t="s">
        <v>1623</v>
      </c>
      <c r="B597" s="5">
        <v>6.0021016E7</v>
      </c>
      <c r="C597" s="5" t="s">
        <v>1624</v>
      </c>
      <c r="D597" s="5" t="s">
        <v>10</v>
      </c>
      <c r="E597" s="5" t="s">
        <v>1528</v>
      </c>
      <c r="F597" s="5" t="s">
        <v>12</v>
      </c>
      <c r="G597" s="5" t="s">
        <v>13</v>
      </c>
    </row>
    <row r="598">
      <c r="A598" s="5" t="s">
        <v>1625</v>
      </c>
      <c r="B598" s="5">
        <v>6.0021017E7</v>
      </c>
      <c r="C598" s="5" t="s">
        <v>1626</v>
      </c>
      <c r="D598" s="5" t="s">
        <v>10</v>
      </c>
      <c r="E598" s="5" t="s">
        <v>1528</v>
      </c>
      <c r="F598" s="5" t="s">
        <v>12</v>
      </c>
      <c r="G598" s="5" t="s">
        <v>13</v>
      </c>
    </row>
    <row r="599">
      <c r="A599" s="5" t="s">
        <v>1627</v>
      </c>
      <c r="B599" s="5">
        <v>6.0021018E7</v>
      </c>
      <c r="C599" s="5" t="s">
        <v>1628</v>
      </c>
      <c r="D599" s="5" t="s">
        <v>10</v>
      </c>
      <c r="E599" s="5" t="s">
        <v>1528</v>
      </c>
      <c r="F599" s="5" t="s">
        <v>12</v>
      </c>
      <c r="G599" s="5" t="s">
        <v>13</v>
      </c>
    </row>
    <row r="600">
      <c r="A600" s="5" t="s">
        <v>1629</v>
      </c>
      <c r="B600" s="5">
        <v>6.0021019E7</v>
      </c>
      <c r="C600" s="5" t="s">
        <v>1630</v>
      </c>
      <c r="D600" s="5" t="s">
        <v>10</v>
      </c>
      <c r="E600" s="5" t="s">
        <v>1528</v>
      </c>
      <c r="F600" s="5" t="s">
        <v>12</v>
      </c>
      <c r="G600" s="5" t="s">
        <v>13</v>
      </c>
    </row>
    <row r="601">
      <c r="A601" s="5" t="s">
        <v>1631</v>
      </c>
      <c r="B601" s="5">
        <v>6.002102E7</v>
      </c>
      <c r="C601" s="5" t="s">
        <v>1632</v>
      </c>
      <c r="D601" s="5" t="s">
        <v>10</v>
      </c>
      <c r="E601" s="5" t="s">
        <v>1528</v>
      </c>
      <c r="F601" s="5" t="s">
        <v>12</v>
      </c>
      <c r="G601" s="5" t="s">
        <v>13</v>
      </c>
    </row>
    <row r="602">
      <c r="A602" s="5" t="s">
        <v>1633</v>
      </c>
      <c r="B602" s="5">
        <v>6.0021021E7</v>
      </c>
      <c r="C602" s="5" t="s">
        <v>1634</v>
      </c>
      <c r="D602" s="5" t="s">
        <v>10</v>
      </c>
      <c r="E602" s="5" t="s">
        <v>1528</v>
      </c>
      <c r="F602" s="5" t="s">
        <v>12</v>
      </c>
      <c r="G602" s="5" t="s">
        <v>13</v>
      </c>
    </row>
    <row r="603">
      <c r="A603" s="5" t="s">
        <v>1635</v>
      </c>
      <c r="B603" s="5">
        <v>6.0021022E7</v>
      </c>
      <c r="C603" s="5" t="s">
        <v>1636</v>
      </c>
      <c r="D603" s="5" t="s">
        <v>10</v>
      </c>
      <c r="E603" s="5" t="s">
        <v>1528</v>
      </c>
      <c r="F603" s="5" t="s">
        <v>12</v>
      </c>
      <c r="G603" s="5" t="s">
        <v>13</v>
      </c>
    </row>
    <row r="604">
      <c r="A604" s="5" t="s">
        <v>1637</v>
      </c>
      <c r="B604" s="5">
        <v>6.0021023E7</v>
      </c>
      <c r="C604" s="5" t="s">
        <v>1638</v>
      </c>
      <c r="D604" s="5" t="s">
        <v>10</v>
      </c>
      <c r="E604" s="5" t="s">
        <v>1528</v>
      </c>
      <c r="F604" s="5" t="s">
        <v>12</v>
      </c>
      <c r="G604" s="5" t="s">
        <v>13</v>
      </c>
    </row>
    <row r="605">
      <c r="A605" s="5" t="s">
        <v>1639</v>
      </c>
      <c r="B605" s="5">
        <v>6.0021024E7</v>
      </c>
      <c r="C605" s="5" t="s">
        <v>1640</v>
      </c>
      <c r="D605" s="5" t="s">
        <v>10</v>
      </c>
      <c r="E605" s="5" t="s">
        <v>1528</v>
      </c>
      <c r="F605" s="5" t="s">
        <v>12</v>
      </c>
      <c r="G605" s="5" t="s">
        <v>13</v>
      </c>
    </row>
    <row r="606">
      <c r="A606" s="5" t="s">
        <v>1641</v>
      </c>
      <c r="B606" s="5">
        <v>6.0021025E7</v>
      </c>
      <c r="C606" s="5" t="s">
        <v>1642</v>
      </c>
      <c r="D606" s="5" t="s">
        <v>10</v>
      </c>
      <c r="E606" s="5" t="s">
        <v>1528</v>
      </c>
      <c r="F606" s="5" t="s">
        <v>12</v>
      </c>
      <c r="G606" s="5" t="s">
        <v>13</v>
      </c>
    </row>
    <row r="607">
      <c r="A607" s="5" t="s">
        <v>1643</v>
      </c>
      <c r="B607" s="5">
        <v>6.0021026E7</v>
      </c>
      <c r="C607" s="5" t="s">
        <v>1644</v>
      </c>
      <c r="D607" s="5" t="s">
        <v>10</v>
      </c>
      <c r="E607" s="5" t="s">
        <v>1528</v>
      </c>
      <c r="F607" s="5" t="s">
        <v>12</v>
      </c>
      <c r="G607" s="5" t="s">
        <v>13</v>
      </c>
    </row>
    <row r="608">
      <c r="A608" s="5" t="s">
        <v>1645</v>
      </c>
      <c r="B608" s="5">
        <v>6.0021027E7</v>
      </c>
      <c r="C608" s="5" t="s">
        <v>1646</v>
      </c>
      <c r="D608" s="5" t="s">
        <v>10</v>
      </c>
      <c r="E608" s="5" t="s">
        <v>1528</v>
      </c>
      <c r="F608" s="5" t="s">
        <v>12</v>
      </c>
      <c r="G608" s="5" t="s">
        <v>13</v>
      </c>
    </row>
    <row r="609">
      <c r="A609" s="5" t="s">
        <v>1647</v>
      </c>
      <c r="B609" s="5">
        <v>6.0021028E7</v>
      </c>
      <c r="C609" s="5" t="s">
        <v>1648</v>
      </c>
      <c r="D609" s="5" t="s">
        <v>10</v>
      </c>
      <c r="E609" s="5" t="s">
        <v>1528</v>
      </c>
      <c r="F609" s="5" t="s">
        <v>12</v>
      </c>
      <c r="G609" s="5" t="s">
        <v>13</v>
      </c>
    </row>
    <row r="610">
      <c r="A610" s="5" t="s">
        <v>1649</v>
      </c>
      <c r="B610" s="5">
        <v>6.0021029E7</v>
      </c>
      <c r="C610" s="5" t="s">
        <v>1650</v>
      </c>
      <c r="D610" s="5" t="s">
        <v>10</v>
      </c>
      <c r="E610" s="5" t="s">
        <v>1528</v>
      </c>
      <c r="F610" s="5" t="s">
        <v>12</v>
      </c>
      <c r="G610" s="5" t="s">
        <v>13</v>
      </c>
    </row>
    <row r="611">
      <c r="A611" s="5" t="s">
        <v>1651</v>
      </c>
      <c r="B611" s="5">
        <v>6.002103E7</v>
      </c>
      <c r="C611" s="5" t="s">
        <v>1652</v>
      </c>
      <c r="D611" s="5" t="s">
        <v>10</v>
      </c>
      <c r="E611" s="5" t="s">
        <v>1528</v>
      </c>
      <c r="F611" s="5" t="s">
        <v>12</v>
      </c>
      <c r="G611" s="5" t="s">
        <v>13</v>
      </c>
    </row>
    <row r="612">
      <c r="A612" s="5" t="s">
        <v>1653</v>
      </c>
      <c r="B612" s="5">
        <v>6.0021031E7</v>
      </c>
      <c r="C612" s="5" t="s">
        <v>1654</v>
      </c>
      <c r="D612" s="5" t="s">
        <v>10</v>
      </c>
      <c r="E612" s="5" t="s">
        <v>1528</v>
      </c>
      <c r="F612" s="5" t="s">
        <v>12</v>
      </c>
      <c r="G612" s="5" t="s">
        <v>13</v>
      </c>
    </row>
    <row r="613">
      <c r="A613" s="5" t="s">
        <v>1655</v>
      </c>
      <c r="B613" s="5">
        <v>6.0020647E7</v>
      </c>
      <c r="C613" s="5" t="s">
        <v>1656</v>
      </c>
      <c r="D613" s="5" t="s">
        <v>10</v>
      </c>
      <c r="E613" s="5" t="s">
        <v>1528</v>
      </c>
      <c r="F613" s="5" t="s">
        <v>12</v>
      </c>
      <c r="G613" s="5" t="s">
        <v>13</v>
      </c>
    </row>
    <row r="614">
      <c r="A614" s="7" t="s">
        <v>1657</v>
      </c>
      <c r="B614" s="7">
        <v>6.0020666E7</v>
      </c>
      <c r="C614" s="7" t="s">
        <v>1658</v>
      </c>
      <c r="D614" s="7" t="s">
        <v>10</v>
      </c>
      <c r="E614" s="7" t="s">
        <v>1528</v>
      </c>
      <c r="F614" s="7" t="s">
        <v>12</v>
      </c>
      <c r="G614" s="7" t="s">
        <v>13</v>
      </c>
    </row>
    <row r="615">
      <c r="A615" s="7" t="s">
        <v>1659</v>
      </c>
      <c r="B615" s="7">
        <v>6.0020672E7</v>
      </c>
      <c r="C615" s="7" t="s">
        <v>1660</v>
      </c>
      <c r="D615" s="7" t="s">
        <v>10</v>
      </c>
      <c r="E615" s="7" t="s">
        <v>1528</v>
      </c>
      <c r="F615" s="7" t="s">
        <v>12</v>
      </c>
      <c r="G615" s="7" t="s">
        <v>13</v>
      </c>
    </row>
    <row r="616">
      <c r="A616" s="7" t="s">
        <v>1661</v>
      </c>
      <c r="B616" s="7">
        <v>6.0020673E7</v>
      </c>
      <c r="C616" s="7" t="s">
        <v>1662</v>
      </c>
      <c r="D616" s="7" t="s">
        <v>10</v>
      </c>
      <c r="E616" s="7" t="s">
        <v>1528</v>
      </c>
      <c r="F616" s="7" t="s">
        <v>12</v>
      </c>
      <c r="G616" s="7" t="s">
        <v>13</v>
      </c>
    </row>
    <row r="617">
      <c r="A617" s="7" t="s">
        <v>1663</v>
      </c>
      <c r="B617" s="7">
        <v>6.0020674E7</v>
      </c>
      <c r="C617" s="7" t="s">
        <v>1664</v>
      </c>
      <c r="D617" s="7" t="s">
        <v>10</v>
      </c>
      <c r="E617" s="7" t="s">
        <v>1528</v>
      </c>
      <c r="F617" s="7" t="s">
        <v>12</v>
      </c>
      <c r="G617" s="7" t="s">
        <v>13</v>
      </c>
    </row>
    <row r="618">
      <c r="A618" s="7" t="s">
        <v>1665</v>
      </c>
      <c r="B618" s="7">
        <v>6.0020675E7</v>
      </c>
      <c r="C618" s="7" t="s">
        <v>1666</v>
      </c>
      <c r="D618" s="7" t="s">
        <v>10</v>
      </c>
      <c r="E618" s="7" t="s">
        <v>1528</v>
      </c>
      <c r="F618" s="7" t="s">
        <v>12</v>
      </c>
      <c r="G618" s="7" t="s">
        <v>13</v>
      </c>
    </row>
    <row r="619">
      <c r="A619" s="7" t="s">
        <v>1667</v>
      </c>
      <c r="B619" s="7">
        <v>6.0020676E7</v>
      </c>
      <c r="C619" s="7" t="s">
        <v>1668</v>
      </c>
      <c r="D619" s="7" t="s">
        <v>10</v>
      </c>
      <c r="E619" s="7" t="s">
        <v>1528</v>
      </c>
      <c r="F619" s="7" t="s">
        <v>12</v>
      </c>
      <c r="G619" s="7" t="s">
        <v>13</v>
      </c>
    </row>
    <row r="620">
      <c r="A620" s="7" t="s">
        <v>1669</v>
      </c>
      <c r="B620" s="7">
        <v>6.0020677E7</v>
      </c>
      <c r="C620" s="7" t="s">
        <v>1670</v>
      </c>
      <c r="D620" s="7" t="s">
        <v>10</v>
      </c>
      <c r="E620" s="7" t="s">
        <v>1528</v>
      </c>
      <c r="F620" s="7" t="s">
        <v>12</v>
      </c>
      <c r="G620" s="7" t="s">
        <v>13</v>
      </c>
    </row>
    <row r="621">
      <c r="A621" s="7" t="s">
        <v>1671</v>
      </c>
      <c r="B621" s="7">
        <v>6.0020678E7</v>
      </c>
      <c r="C621" s="7" t="s">
        <v>1672</v>
      </c>
      <c r="D621" s="7" t="s">
        <v>10</v>
      </c>
      <c r="E621" s="7" t="s">
        <v>1528</v>
      </c>
      <c r="F621" s="7" t="s">
        <v>12</v>
      </c>
      <c r="G621" s="7" t="s">
        <v>13</v>
      </c>
    </row>
    <row r="622">
      <c r="A622" s="7" t="s">
        <v>1673</v>
      </c>
      <c r="B622" s="7">
        <v>6.0020679E7</v>
      </c>
      <c r="C622" s="7" t="s">
        <v>1674</v>
      </c>
      <c r="D622" s="7" t="s">
        <v>10</v>
      </c>
      <c r="E622" s="7" t="s">
        <v>1528</v>
      </c>
      <c r="F622" s="7" t="s">
        <v>12</v>
      </c>
      <c r="G622" s="7" t="s">
        <v>13</v>
      </c>
    </row>
    <row r="623">
      <c r="A623" s="7" t="s">
        <v>1675</v>
      </c>
      <c r="B623" s="7">
        <v>6.002068E7</v>
      </c>
      <c r="C623" s="7" t="s">
        <v>1676</v>
      </c>
      <c r="D623" s="7" t="s">
        <v>10</v>
      </c>
      <c r="E623" s="7" t="s">
        <v>1528</v>
      </c>
      <c r="F623" s="7" t="s">
        <v>12</v>
      </c>
      <c r="G623" s="7" t="s">
        <v>13</v>
      </c>
    </row>
    <row r="624">
      <c r="A624" s="7" t="s">
        <v>1677</v>
      </c>
      <c r="B624" s="7">
        <v>6.0020681E7</v>
      </c>
      <c r="C624" s="7" t="s">
        <v>1678</v>
      </c>
      <c r="D624" s="7" t="s">
        <v>10</v>
      </c>
      <c r="E624" s="7" t="s">
        <v>1528</v>
      </c>
      <c r="F624" s="7" t="s">
        <v>12</v>
      </c>
      <c r="G624" s="7" t="s">
        <v>13</v>
      </c>
    </row>
    <row r="625">
      <c r="A625" s="7" t="s">
        <v>1679</v>
      </c>
      <c r="B625" s="7">
        <v>6.0020682E7</v>
      </c>
      <c r="C625" s="7" t="s">
        <v>1680</v>
      </c>
      <c r="D625" s="7" t="s">
        <v>10</v>
      </c>
      <c r="E625" s="7" t="s">
        <v>1528</v>
      </c>
      <c r="F625" s="7" t="s">
        <v>12</v>
      </c>
      <c r="G625" s="7" t="s">
        <v>13</v>
      </c>
    </row>
    <row r="626">
      <c r="A626" s="7" t="s">
        <v>1681</v>
      </c>
      <c r="B626" s="7">
        <v>6.0020683E7</v>
      </c>
      <c r="C626" s="7" t="s">
        <v>1682</v>
      </c>
      <c r="D626" s="7" t="s">
        <v>10</v>
      </c>
      <c r="E626" s="7" t="s">
        <v>1528</v>
      </c>
      <c r="F626" s="7" t="s">
        <v>12</v>
      </c>
      <c r="G626" s="7" t="s">
        <v>13</v>
      </c>
    </row>
    <row r="627">
      <c r="A627" s="7" t="s">
        <v>1683</v>
      </c>
      <c r="B627" s="7">
        <v>6.0020684E7</v>
      </c>
      <c r="C627" s="7" t="s">
        <v>1684</v>
      </c>
      <c r="D627" s="7" t="s">
        <v>10</v>
      </c>
      <c r="E627" s="7" t="s">
        <v>1528</v>
      </c>
      <c r="F627" s="7" t="s">
        <v>12</v>
      </c>
      <c r="G627" s="7" t="s">
        <v>13</v>
      </c>
    </row>
    <row r="628">
      <c r="A628" s="7" t="s">
        <v>1685</v>
      </c>
      <c r="B628" s="7">
        <v>6.0020685E7</v>
      </c>
      <c r="C628" s="7" t="s">
        <v>1686</v>
      </c>
      <c r="D628" s="7" t="s">
        <v>10</v>
      </c>
      <c r="E628" s="7" t="s">
        <v>1528</v>
      </c>
      <c r="F628" s="7" t="s">
        <v>12</v>
      </c>
      <c r="G628" s="7" t="s">
        <v>13</v>
      </c>
    </row>
    <row r="629">
      <c r="A629" s="7" t="s">
        <v>1687</v>
      </c>
      <c r="B629" s="7">
        <v>6.0020686E7</v>
      </c>
      <c r="C629" s="7" t="s">
        <v>1688</v>
      </c>
      <c r="D629" s="7" t="s">
        <v>10</v>
      </c>
      <c r="E629" s="7" t="s">
        <v>1528</v>
      </c>
      <c r="F629" s="7" t="s">
        <v>12</v>
      </c>
      <c r="G629" s="7" t="s">
        <v>13</v>
      </c>
    </row>
    <row r="630">
      <c r="A630" s="5" t="s">
        <v>1689</v>
      </c>
      <c r="B630" s="5">
        <v>6.0020697E7</v>
      </c>
      <c r="C630" s="5" t="s">
        <v>1690</v>
      </c>
      <c r="D630" s="5" t="s">
        <v>10</v>
      </c>
      <c r="E630" s="5" t="s">
        <v>1528</v>
      </c>
      <c r="F630" s="5" t="s">
        <v>12</v>
      </c>
      <c r="G630" s="5" t="s">
        <v>13</v>
      </c>
    </row>
    <row r="631">
      <c r="A631" s="5" t="s">
        <v>1691</v>
      </c>
      <c r="B631" s="5">
        <v>6.0020698E7</v>
      </c>
      <c r="C631" s="5" t="s">
        <v>1692</v>
      </c>
      <c r="D631" s="5" t="s">
        <v>10</v>
      </c>
      <c r="E631" s="5" t="s">
        <v>1528</v>
      </c>
      <c r="F631" s="5" t="s">
        <v>12</v>
      </c>
      <c r="G631" s="5" t="s">
        <v>13</v>
      </c>
    </row>
    <row r="632">
      <c r="A632" s="5" t="s">
        <v>1693</v>
      </c>
      <c r="B632" s="5">
        <v>6.0020699E7</v>
      </c>
      <c r="C632" s="5" t="s">
        <v>1694</v>
      </c>
      <c r="D632" s="5" t="s">
        <v>10</v>
      </c>
      <c r="E632" s="5" t="s">
        <v>1528</v>
      </c>
      <c r="F632" s="5" t="s">
        <v>12</v>
      </c>
      <c r="G632" s="5" t="s">
        <v>13</v>
      </c>
    </row>
    <row r="633">
      <c r="A633" s="7" t="s">
        <v>1695</v>
      </c>
      <c r="B633" s="7">
        <v>6.00207E7</v>
      </c>
      <c r="C633" s="7" t="s">
        <v>1696</v>
      </c>
      <c r="D633" s="7" t="s">
        <v>10</v>
      </c>
      <c r="E633" s="7" t="s">
        <v>1528</v>
      </c>
      <c r="F633" s="7" t="s">
        <v>12</v>
      </c>
      <c r="G633" s="7" t="s">
        <v>13</v>
      </c>
    </row>
    <row r="634">
      <c r="A634" s="8"/>
      <c r="B634" s="6" t="s">
        <v>1697</v>
      </c>
      <c r="C634" s="6" t="s">
        <v>1698</v>
      </c>
      <c r="D634" s="6" t="s">
        <v>10</v>
      </c>
      <c r="E634" s="6" t="s">
        <v>40</v>
      </c>
      <c r="F634" s="6" t="s">
        <v>12</v>
      </c>
      <c r="G634" s="6" t="s">
        <v>36</v>
      </c>
    </row>
    <row r="635">
      <c r="A635" s="6" t="s">
        <v>1699</v>
      </c>
      <c r="B635" s="6" t="s">
        <v>1700</v>
      </c>
      <c r="C635" s="6" t="s">
        <v>1701</v>
      </c>
      <c r="D635" s="6" t="s">
        <v>10</v>
      </c>
      <c r="E635" s="6" t="s">
        <v>35</v>
      </c>
      <c r="F635" s="6" t="s">
        <v>12</v>
      </c>
      <c r="G635" s="6" t="s">
        <v>36</v>
      </c>
    </row>
    <row r="636">
      <c r="A636" s="6" t="s">
        <v>1702</v>
      </c>
      <c r="B636" s="6" t="s">
        <v>1703</v>
      </c>
      <c r="C636" s="6" t="s">
        <v>1704</v>
      </c>
      <c r="D636" s="6" t="s">
        <v>10</v>
      </c>
      <c r="E636" s="6" t="s">
        <v>35</v>
      </c>
      <c r="F636" s="6" t="s">
        <v>12</v>
      </c>
      <c r="G636" s="6" t="s">
        <v>36</v>
      </c>
    </row>
    <row r="637">
      <c r="A637" s="6" t="s">
        <v>1705</v>
      </c>
      <c r="B637" s="6" t="s">
        <v>1706</v>
      </c>
      <c r="C637" s="6" t="s">
        <v>1707</v>
      </c>
      <c r="D637" s="6" t="s">
        <v>10</v>
      </c>
      <c r="E637" s="6" t="s">
        <v>11</v>
      </c>
      <c r="F637" s="6" t="s">
        <v>17</v>
      </c>
      <c r="G637" s="6" t="s">
        <v>13</v>
      </c>
    </row>
    <row r="638">
      <c r="A638" s="5" t="s">
        <v>1708</v>
      </c>
      <c r="B638" s="5" t="s">
        <v>1709</v>
      </c>
      <c r="C638" s="5" t="s">
        <v>1710</v>
      </c>
      <c r="D638" s="5" t="s">
        <v>10</v>
      </c>
      <c r="E638" s="5" t="s">
        <v>11</v>
      </c>
      <c r="F638" s="5" t="s">
        <v>12</v>
      </c>
      <c r="G638" s="5" t="s">
        <v>13</v>
      </c>
    </row>
    <row r="639">
      <c r="A639" s="7" t="s">
        <v>1711</v>
      </c>
      <c r="B639" s="7">
        <v>6.0020701E7</v>
      </c>
      <c r="C639" s="7" t="s">
        <v>1712</v>
      </c>
      <c r="D639" s="7" t="s">
        <v>10</v>
      </c>
      <c r="E639" s="7" t="s">
        <v>11</v>
      </c>
      <c r="F639" s="7" t="s">
        <v>12</v>
      </c>
      <c r="G639" s="7" t="s">
        <v>13</v>
      </c>
    </row>
    <row r="640">
      <c r="A640" s="7" t="s">
        <v>1713</v>
      </c>
      <c r="B640" s="7">
        <v>6.0020702E7</v>
      </c>
      <c r="C640" s="7" t="s">
        <v>1714</v>
      </c>
      <c r="D640" s="7" t="s">
        <v>10</v>
      </c>
      <c r="E640" s="7" t="s">
        <v>11</v>
      </c>
      <c r="F640" s="7" t="s">
        <v>12</v>
      </c>
      <c r="G640" s="7" t="s">
        <v>13</v>
      </c>
    </row>
    <row r="641">
      <c r="A641" s="5" t="s">
        <v>1715</v>
      </c>
      <c r="B641" s="5">
        <v>6.0020703E7</v>
      </c>
      <c r="C641" s="5" t="s">
        <v>1716</v>
      </c>
      <c r="D641" s="5" t="s">
        <v>10</v>
      </c>
      <c r="E641" s="5" t="s">
        <v>11</v>
      </c>
      <c r="F641" s="5" t="s">
        <v>12</v>
      </c>
      <c r="G641" s="5" t="s">
        <v>13</v>
      </c>
    </row>
    <row r="642">
      <c r="A642" s="5" t="s">
        <v>1717</v>
      </c>
      <c r="B642" s="5">
        <v>6.0021404E7</v>
      </c>
      <c r="C642" s="5" t="s">
        <v>1718</v>
      </c>
      <c r="D642" s="5" t="s">
        <v>10</v>
      </c>
      <c r="E642" s="5" t="s">
        <v>1719</v>
      </c>
      <c r="F642" s="5" t="s">
        <v>12</v>
      </c>
      <c r="G642" s="5" t="s">
        <v>36</v>
      </c>
    </row>
    <row r="643">
      <c r="A643" s="5" t="s">
        <v>1720</v>
      </c>
      <c r="B643" s="5">
        <v>6.0021405E7</v>
      </c>
      <c r="C643" s="5" t="s">
        <v>1721</v>
      </c>
      <c r="D643" s="5" t="s">
        <v>10</v>
      </c>
      <c r="E643" s="5" t="s">
        <v>1719</v>
      </c>
      <c r="F643" s="5" t="s">
        <v>12</v>
      </c>
      <c r="G643" s="5" t="s">
        <v>36</v>
      </c>
    </row>
    <row r="644">
      <c r="A644" s="5" t="s">
        <v>1722</v>
      </c>
      <c r="B644" s="5">
        <v>6.0021406E7</v>
      </c>
      <c r="C644" s="5" t="s">
        <v>1723</v>
      </c>
      <c r="D644" s="5" t="s">
        <v>10</v>
      </c>
      <c r="E644" s="5" t="s">
        <v>1719</v>
      </c>
      <c r="F644" s="5" t="s">
        <v>12</v>
      </c>
      <c r="G644" s="5" t="s">
        <v>36</v>
      </c>
    </row>
    <row r="645">
      <c r="A645" s="5" t="s">
        <v>1724</v>
      </c>
      <c r="B645" s="5">
        <v>6.0021407E7</v>
      </c>
      <c r="C645" s="5" t="s">
        <v>1725</v>
      </c>
      <c r="D645" s="5" t="s">
        <v>10</v>
      </c>
      <c r="E645" s="5" t="s">
        <v>1719</v>
      </c>
      <c r="F645" s="5" t="s">
        <v>12</v>
      </c>
      <c r="G645" s="5" t="s">
        <v>36</v>
      </c>
    </row>
    <row r="646">
      <c r="A646" s="5" t="s">
        <v>1726</v>
      </c>
      <c r="B646" s="5">
        <v>6.0021408E7</v>
      </c>
      <c r="C646" s="5" t="s">
        <v>1727</v>
      </c>
      <c r="D646" s="5" t="s">
        <v>10</v>
      </c>
      <c r="E646" s="5" t="s">
        <v>1719</v>
      </c>
      <c r="F646" s="5" t="s">
        <v>12</v>
      </c>
      <c r="G646" s="5" t="s">
        <v>36</v>
      </c>
    </row>
    <row r="647">
      <c r="A647" s="5" t="s">
        <v>1728</v>
      </c>
      <c r="B647" s="5">
        <v>6.0021409E7</v>
      </c>
      <c r="C647" s="5" t="s">
        <v>1729</v>
      </c>
      <c r="D647" s="5" t="s">
        <v>10</v>
      </c>
      <c r="E647" s="5" t="s">
        <v>1719</v>
      </c>
      <c r="F647" s="5" t="s">
        <v>12</v>
      </c>
      <c r="G647" s="5" t="s">
        <v>36</v>
      </c>
    </row>
    <row r="648">
      <c r="A648" s="5" t="s">
        <v>1730</v>
      </c>
      <c r="B648" s="5">
        <v>6.002141E7</v>
      </c>
      <c r="C648" s="5" t="s">
        <v>1731</v>
      </c>
      <c r="D648" s="5" t="s">
        <v>10</v>
      </c>
      <c r="E648" s="5" t="s">
        <v>1719</v>
      </c>
      <c r="F648" s="5" t="s">
        <v>12</v>
      </c>
      <c r="G648" s="5" t="s">
        <v>36</v>
      </c>
    </row>
    <row r="649">
      <c r="A649" s="5" t="s">
        <v>1732</v>
      </c>
      <c r="B649" s="5">
        <v>6.0021398E7</v>
      </c>
      <c r="C649" s="5" t="s">
        <v>1733</v>
      </c>
      <c r="D649" s="5" t="s">
        <v>10</v>
      </c>
      <c r="E649" s="5" t="s">
        <v>1719</v>
      </c>
      <c r="F649" s="5" t="s">
        <v>12</v>
      </c>
      <c r="G649" s="5" t="s">
        <v>36</v>
      </c>
    </row>
    <row r="650">
      <c r="A650" s="5" t="s">
        <v>1734</v>
      </c>
      <c r="B650" s="5">
        <v>6.0021399E7</v>
      </c>
      <c r="C650" s="5" t="s">
        <v>1735</v>
      </c>
      <c r="D650" s="5" t="s">
        <v>10</v>
      </c>
      <c r="E650" s="5" t="s">
        <v>1719</v>
      </c>
      <c r="F650" s="5" t="s">
        <v>12</v>
      </c>
      <c r="G650" s="5" t="s">
        <v>36</v>
      </c>
    </row>
    <row r="651">
      <c r="A651" s="5" t="s">
        <v>1736</v>
      </c>
      <c r="B651" s="5">
        <v>6.00214E7</v>
      </c>
      <c r="C651" s="5" t="s">
        <v>1737</v>
      </c>
      <c r="D651" s="5" t="s">
        <v>10</v>
      </c>
      <c r="E651" s="5" t="s">
        <v>1719</v>
      </c>
      <c r="F651" s="5" t="s">
        <v>12</v>
      </c>
      <c r="G651" s="5" t="s">
        <v>36</v>
      </c>
    </row>
    <row r="652">
      <c r="A652" s="5" t="s">
        <v>1738</v>
      </c>
      <c r="B652" s="5">
        <v>6.0021401E7</v>
      </c>
      <c r="C652" s="5" t="s">
        <v>1739</v>
      </c>
      <c r="D652" s="5" t="s">
        <v>10</v>
      </c>
      <c r="E652" s="5" t="s">
        <v>1719</v>
      </c>
      <c r="F652" s="5" t="s">
        <v>12</v>
      </c>
      <c r="G652" s="5" t="s">
        <v>36</v>
      </c>
    </row>
    <row r="653">
      <c r="A653" s="5" t="s">
        <v>1740</v>
      </c>
      <c r="B653" s="5">
        <v>6.0021402E7</v>
      </c>
      <c r="C653" s="5" t="s">
        <v>1741</v>
      </c>
      <c r="D653" s="5" t="s">
        <v>10</v>
      </c>
      <c r="E653" s="5" t="s">
        <v>1719</v>
      </c>
      <c r="F653" s="5" t="s">
        <v>12</v>
      </c>
      <c r="G653" s="5" t="s">
        <v>36</v>
      </c>
    </row>
    <row r="654">
      <c r="A654" s="5" t="s">
        <v>1742</v>
      </c>
      <c r="B654" s="5">
        <v>6.0021403E7</v>
      </c>
      <c r="C654" s="5" t="s">
        <v>1743</v>
      </c>
      <c r="D654" s="5" t="s">
        <v>10</v>
      </c>
      <c r="E654" s="5" t="s">
        <v>1719</v>
      </c>
      <c r="F654" s="5" t="s">
        <v>12</v>
      </c>
      <c r="G654" s="5" t="s">
        <v>36</v>
      </c>
    </row>
    <row r="655">
      <c r="A655" s="8"/>
      <c r="B655" s="6" t="s">
        <v>1744</v>
      </c>
      <c r="C655" s="6" t="s">
        <v>1745</v>
      </c>
      <c r="D655" s="6" t="s">
        <v>10</v>
      </c>
      <c r="E655" s="6" t="s">
        <v>1746</v>
      </c>
      <c r="F655" s="6" t="s">
        <v>17</v>
      </c>
      <c r="G655" s="6" t="s">
        <v>13</v>
      </c>
    </row>
    <row r="656">
      <c r="A656" s="14"/>
      <c r="B656" s="5" t="s">
        <v>1747</v>
      </c>
      <c r="C656" s="5" t="s">
        <v>1748</v>
      </c>
      <c r="D656" s="5" t="s">
        <v>10</v>
      </c>
      <c r="E656" s="5" t="s">
        <v>1746</v>
      </c>
      <c r="F656" s="5" t="s">
        <v>12</v>
      </c>
      <c r="G656" s="5" t="s">
        <v>13</v>
      </c>
    </row>
    <row r="657">
      <c r="A657" s="14"/>
      <c r="B657" s="5" t="s">
        <v>1749</v>
      </c>
      <c r="C657" s="5" t="s">
        <v>1750</v>
      </c>
      <c r="D657" s="5" t="s">
        <v>10</v>
      </c>
      <c r="E657" s="5" t="s">
        <v>1746</v>
      </c>
      <c r="F657" s="5" t="s">
        <v>12</v>
      </c>
      <c r="G657" s="5" t="s">
        <v>13</v>
      </c>
    </row>
    <row r="658">
      <c r="A658" s="14"/>
      <c r="B658" s="5" t="s">
        <v>1751</v>
      </c>
      <c r="C658" s="5" t="s">
        <v>1752</v>
      </c>
      <c r="D658" s="5" t="s">
        <v>10</v>
      </c>
      <c r="E658" s="5" t="s">
        <v>1753</v>
      </c>
      <c r="F658" s="5" t="s">
        <v>12</v>
      </c>
      <c r="G658" s="5" t="s">
        <v>13</v>
      </c>
    </row>
    <row r="659">
      <c r="A659" s="14"/>
      <c r="B659" s="5" t="s">
        <v>1754</v>
      </c>
      <c r="C659" s="5" t="s">
        <v>1755</v>
      </c>
      <c r="D659" s="5" t="s">
        <v>10</v>
      </c>
      <c r="E659" s="5" t="s">
        <v>1756</v>
      </c>
      <c r="F659" s="5" t="s">
        <v>12</v>
      </c>
      <c r="G659" s="5" t="s">
        <v>13</v>
      </c>
    </row>
    <row r="660">
      <c r="A660" s="5" t="s">
        <v>1757</v>
      </c>
      <c r="B660" s="5" t="s">
        <v>1758</v>
      </c>
      <c r="C660" s="5" t="s">
        <v>1759</v>
      </c>
      <c r="D660" s="5" t="s">
        <v>10</v>
      </c>
      <c r="E660" s="5" t="s">
        <v>11</v>
      </c>
      <c r="F660" s="5" t="s">
        <v>12</v>
      </c>
      <c r="G660" s="5" t="s">
        <v>13</v>
      </c>
    </row>
    <row r="661">
      <c r="A661" s="5" t="s">
        <v>1760</v>
      </c>
      <c r="B661" s="5">
        <v>6.0021422E7</v>
      </c>
      <c r="C661" s="5" t="s">
        <v>1761</v>
      </c>
      <c r="D661" s="5" t="s">
        <v>10</v>
      </c>
      <c r="E661" s="5" t="s">
        <v>1719</v>
      </c>
      <c r="F661" s="5" t="s">
        <v>12</v>
      </c>
      <c r="G661" s="5" t="s">
        <v>36</v>
      </c>
    </row>
    <row r="662">
      <c r="A662" s="5" t="s">
        <v>1762</v>
      </c>
      <c r="B662" s="5">
        <v>6.0021423E7</v>
      </c>
      <c r="C662" s="5" t="s">
        <v>1763</v>
      </c>
      <c r="D662" s="5" t="s">
        <v>10</v>
      </c>
      <c r="E662" s="5" t="s">
        <v>1719</v>
      </c>
      <c r="F662" s="5" t="s">
        <v>12</v>
      </c>
      <c r="G662" s="5" t="s">
        <v>36</v>
      </c>
    </row>
    <row r="663">
      <c r="A663" s="5" t="s">
        <v>1764</v>
      </c>
      <c r="B663" s="5">
        <v>6.0021424E7</v>
      </c>
      <c r="C663" s="5" t="s">
        <v>1765</v>
      </c>
      <c r="D663" s="5" t="s">
        <v>10</v>
      </c>
      <c r="E663" s="5" t="s">
        <v>1719</v>
      </c>
      <c r="F663" s="5" t="s">
        <v>12</v>
      </c>
      <c r="G663" s="5" t="s">
        <v>36</v>
      </c>
    </row>
    <row r="664">
      <c r="A664" s="5" t="s">
        <v>1766</v>
      </c>
      <c r="B664" s="5">
        <v>6.0020649E7</v>
      </c>
      <c r="C664" s="5" t="s">
        <v>1767</v>
      </c>
      <c r="D664" s="5" t="s">
        <v>10</v>
      </c>
      <c r="E664" s="5" t="s">
        <v>11</v>
      </c>
      <c r="F664" s="5" t="s">
        <v>12</v>
      </c>
      <c r="G664" s="5" t="s">
        <v>13</v>
      </c>
    </row>
    <row r="665">
      <c r="A665" s="5" t="s">
        <v>1768</v>
      </c>
      <c r="B665" s="5">
        <v>6.0021412E7</v>
      </c>
      <c r="C665" s="5" t="s">
        <v>1769</v>
      </c>
      <c r="D665" s="5" t="s">
        <v>10</v>
      </c>
      <c r="E665" s="5" t="s">
        <v>1719</v>
      </c>
      <c r="F665" s="5" t="s">
        <v>12</v>
      </c>
      <c r="G665" s="5" t="s">
        <v>36</v>
      </c>
    </row>
    <row r="666">
      <c r="A666" s="5" t="s">
        <v>1770</v>
      </c>
      <c r="B666" s="5">
        <v>6.0021413E7</v>
      </c>
      <c r="C666" s="5" t="s">
        <v>1771</v>
      </c>
      <c r="D666" s="5" t="s">
        <v>10</v>
      </c>
      <c r="E666" s="5" t="s">
        <v>1719</v>
      </c>
      <c r="F666" s="5" t="s">
        <v>12</v>
      </c>
      <c r="G666" s="5" t="s">
        <v>36</v>
      </c>
    </row>
    <row r="667">
      <c r="A667" s="5" t="s">
        <v>1772</v>
      </c>
      <c r="B667" s="5">
        <v>6.002173E7</v>
      </c>
      <c r="C667" s="5" t="s">
        <v>1773</v>
      </c>
      <c r="D667" s="5" t="s">
        <v>10</v>
      </c>
      <c r="E667" s="5" t="s">
        <v>1774</v>
      </c>
      <c r="F667" s="5" t="s">
        <v>12</v>
      </c>
      <c r="G667" s="5" t="s">
        <v>13</v>
      </c>
    </row>
    <row r="668">
      <c r="A668" s="5" t="s">
        <v>1775</v>
      </c>
      <c r="B668" s="5">
        <v>6.0021731E7</v>
      </c>
      <c r="C668" s="5" t="s">
        <v>1776</v>
      </c>
      <c r="D668" s="5" t="s">
        <v>10</v>
      </c>
      <c r="E668" s="5" t="s">
        <v>1774</v>
      </c>
      <c r="F668" s="5" t="s">
        <v>12</v>
      </c>
      <c r="G668" s="5" t="s">
        <v>13</v>
      </c>
    </row>
    <row r="669">
      <c r="A669" s="5" t="s">
        <v>1777</v>
      </c>
      <c r="B669" s="5">
        <v>6.0021732E7</v>
      </c>
      <c r="C669" s="5" t="s">
        <v>1778</v>
      </c>
      <c r="D669" s="5" t="s">
        <v>10</v>
      </c>
      <c r="E669" s="5" t="s">
        <v>1774</v>
      </c>
      <c r="F669" s="5" t="s">
        <v>12</v>
      </c>
      <c r="G669" s="5" t="s">
        <v>13</v>
      </c>
    </row>
    <row r="670">
      <c r="A670" s="5" t="s">
        <v>1779</v>
      </c>
      <c r="B670" s="5">
        <v>6.0021734E7</v>
      </c>
      <c r="C670" s="5" t="s">
        <v>1780</v>
      </c>
      <c r="D670" s="5" t="s">
        <v>10</v>
      </c>
      <c r="E670" s="5" t="s">
        <v>1774</v>
      </c>
      <c r="F670" s="5" t="s">
        <v>12</v>
      </c>
      <c r="G670" s="5" t="s">
        <v>13</v>
      </c>
    </row>
    <row r="671">
      <c r="A671" s="5" t="s">
        <v>1781</v>
      </c>
      <c r="B671" s="5">
        <v>6.0021733E7</v>
      </c>
      <c r="C671" s="5" t="s">
        <v>1782</v>
      </c>
      <c r="D671" s="5" t="s">
        <v>10</v>
      </c>
      <c r="E671" s="5" t="s">
        <v>1774</v>
      </c>
      <c r="F671" s="5" t="s">
        <v>12</v>
      </c>
      <c r="G671" s="5" t="s">
        <v>13</v>
      </c>
    </row>
    <row r="672">
      <c r="A672" s="5" t="s">
        <v>1783</v>
      </c>
      <c r="B672" s="5">
        <v>6.0021735E7</v>
      </c>
      <c r="C672" s="5" t="s">
        <v>1784</v>
      </c>
      <c r="D672" s="5" t="s">
        <v>10</v>
      </c>
      <c r="E672" s="5" t="s">
        <v>1774</v>
      </c>
      <c r="F672" s="5" t="s">
        <v>12</v>
      </c>
      <c r="G672" s="5" t="s">
        <v>13</v>
      </c>
    </row>
    <row r="673">
      <c r="A673" s="5" t="s">
        <v>1785</v>
      </c>
      <c r="B673" s="5">
        <v>6.0021415E7</v>
      </c>
      <c r="C673" s="5" t="s">
        <v>1786</v>
      </c>
      <c r="D673" s="5" t="s">
        <v>10</v>
      </c>
      <c r="E673" s="5" t="s">
        <v>1719</v>
      </c>
      <c r="F673" s="5" t="s">
        <v>12</v>
      </c>
      <c r="G673" s="5" t="s">
        <v>36</v>
      </c>
    </row>
    <row r="674">
      <c r="A674" s="5" t="s">
        <v>1787</v>
      </c>
      <c r="B674" s="5">
        <v>6.0021414E7</v>
      </c>
      <c r="C674" s="5" t="s">
        <v>1788</v>
      </c>
      <c r="D674" s="5" t="s">
        <v>10</v>
      </c>
      <c r="E674" s="5" t="s">
        <v>1719</v>
      </c>
      <c r="F674" s="5" t="s">
        <v>12</v>
      </c>
      <c r="G674" s="5" t="s">
        <v>36</v>
      </c>
    </row>
    <row r="675">
      <c r="A675" s="5" t="s">
        <v>1789</v>
      </c>
      <c r="B675" s="5">
        <v>6.002139E7</v>
      </c>
      <c r="C675" s="5" t="s">
        <v>1790</v>
      </c>
      <c r="D675" s="5" t="s">
        <v>10</v>
      </c>
      <c r="E675" s="5" t="s">
        <v>1719</v>
      </c>
      <c r="F675" s="5" t="s">
        <v>12</v>
      </c>
      <c r="G675" s="5" t="s">
        <v>36</v>
      </c>
    </row>
    <row r="676">
      <c r="A676" s="5" t="s">
        <v>1791</v>
      </c>
      <c r="B676" s="5">
        <v>6.0021391E7</v>
      </c>
      <c r="C676" s="5" t="s">
        <v>1792</v>
      </c>
      <c r="D676" s="5" t="s">
        <v>10</v>
      </c>
      <c r="E676" s="5" t="s">
        <v>1719</v>
      </c>
      <c r="F676" s="5" t="s">
        <v>12</v>
      </c>
      <c r="G676" s="5" t="s">
        <v>36</v>
      </c>
    </row>
    <row r="677">
      <c r="A677" s="5" t="s">
        <v>1793</v>
      </c>
      <c r="B677" s="5">
        <v>6.0021418E7</v>
      </c>
      <c r="C677" s="5" t="s">
        <v>1794</v>
      </c>
      <c r="D677" s="5" t="s">
        <v>10</v>
      </c>
      <c r="E677" s="5" t="s">
        <v>1719</v>
      </c>
      <c r="F677" s="5" t="s">
        <v>12</v>
      </c>
      <c r="G677" s="5" t="s">
        <v>36</v>
      </c>
    </row>
    <row r="678">
      <c r="A678" s="5" t="s">
        <v>1795</v>
      </c>
      <c r="B678" s="5">
        <v>6.0021419E7</v>
      </c>
      <c r="C678" s="5" t="s">
        <v>1796</v>
      </c>
      <c r="D678" s="5" t="s">
        <v>10</v>
      </c>
      <c r="E678" s="5" t="s">
        <v>1719</v>
      </c>
      <c r="F678" s="5" t="s">
        <v>12</v>
      </c>
      <c r="G678" s="5" t="s">
        <v>36</v>
      </c>
    </row>
    <row r="679">
      <c r="A679" s="5" t="s">
        <v>1797</v>
      </c>
      <c r="B679" s="5">
        <v>6.002142E7</v>
      </c>
      <c r="C679" s="5" t="s">
        <v>1798</v>
      </c>
      <c r="D679" s="5" t="s">
        <v>10</v>
      </c>
      <c r="E679" s="5" t="s">
        <v>1719</v>
      </c>
      <c r="F679" s="5" t="s">
        <v>12</v>
      </c>
      <c r="G679" s="5" t="s">
        <v>36</v>
      </c>
    </row>
    <row r="680">
      <c r="A680" s="5" t="s">
        <v>1799</v>
      </c>
      <c r="B680" s="5">
        <v>6.0021421E7</v>
      </c>
      <c r="C680" s="5" t="s">
        <v>1800</v>
      </c>
      <c r="D680" s="5" t="s">
        <v>10</v>
      </c>
      <c r="E680" s="5" t="s">
        <v>1719</v>
      </c>
      <c r="F680" s="5" t="s">
        <v>12</v>
      </c>
      <c r="G680" s="5" t="s">
        <v>36</v>
      </c>
    </row>
    <row r="681">
      <c r="A681" s="5" t="s">
        <v>1801</v>
      </c>
      <c r="B681" s="5">
        <v>6.0021282E7</v>
      </c>
      <c r="C681" s="5" t="s">
        <v>1802</v>
      </c>
      <c r="D681" s="5" t="s">
        <v>10</v>
      </c>
      <c r="E681" s="5" t="s">
        <v>1719</v>
      </c>
      <c r="F681" s="5" t="s">
        <v>12</v>
      </c>
      <c r="G681" s="5" t="s">
        <v>36</v>
      </c>
    </row>
    <row r="682">
      <c r="A682" s="7" t="s">
        <v>1803</v>
      </c>
      <c r="B682" s="7">
        <v>6.0022262E7</v>
      </c>
      <c r="C682" s="7" t="s">
        <v>1804</v>
      </c>
      <c r="D682" s="7" t="s">
        <v>10</v>
      </c>
      <c r="E682" s="7" t="s">
        <v>1805</v>
      </c>
      <c r="F682" s="7" t="s">
        <v>12</v>
      </c>
      <c r="G682" s="7" t="s">
        <v>13</v>
      </c>
    </row>
    <row r="683">
      <c r="A683" s="7" t="s">
        <v>1806</v>
      </c>
      <c r="B683" s="7">
        <v>6.0022263E7</v>
      </c>
      <c r="C683" s="7" t="s">
        <v>1807</v>
      </c>
      <c r="D683" s="7" t="s">
        <v>10</v>
      </c>
      <c r="E683" s="7" t="s">
        <v>1805</v>
      </c>
      <c r="F683" s="7" t="s">
        <v>12</v>
      </c>
      <c r="G683" s="7" t="s">
        <v>13</v>
      </c>
    </row>
    <row r="684">
      <c r="A684" s="7" t="s">
        <v>1808</v>
      </c>
      <c r="B684" s="7">
        <v>6.0022264E7</v>
      </c>
      <c r="C684" s="7" t="s">
        <v>1809</v>
      </c>
      <c r="D684" s="7" t="s">
        <v>10</v>
      </c>
      <c r="E684" s="7" t="s">
        <v>1805</v>
      </c>
      <c r="F684" s="7" t="s">
        <v>12</v>
      </c>
      <c r="G684" s="7" t="s">
        <v>13</v>
      </c>
    </row>
    <row r="685">
      <c r="A685" s="7" t="s">
        <v>1810</v>
      </c>
      <c r="B685" s="7">
        <v>6.0022265E7</v>
      </c>
      <c r="C685" s="7" t="s">
        <v>1811</v>
      </c>
      <c r="D685" s="7" t="s">
        <v>10</v>
      </c>
      <c r="E685" s="7" t="s">
        <v>1805</v>
      </c>
      <c r="F685" s="7" t="s">
        <v>12</v>
      </c>
      <c r="G685" s="7" t="s">
        <v>13</v>
      </c>
    </row>
    <row r="686">
      <c r="A686" s="7" t="s">
        <v>1812</v>
      </c>
      <c r="B686" s="7">
        <v>6.0022266E7</v>
      </c>
      <c r="C686" s="7" t="s">
        <v>1813</v>
      </c>
      <c r="D686" s="7" t="s">
        <v>10</v>
      </c>
      <c r="E686" s="7" t="s">
        <v>1805</v>
      </c>
      <c r="F686" s="7" t="s">
        <v>12</v>
      </c>
      <c r="G686" s="7" t="s">
        <v>13</v>
      </c>
    </row>
    <row r="687">
      <c r="A687" s="7" t="s">
        <v>1814</v>
      </c>
      <c r="B687" s="7">
        <v>6.0022267E7</v>
      </c>
      <c r="C687" s="7" t="s">
        <v>1815</v>
      </c>
      <c r="D687" s="7" t="s">
        <v>10</v>
      </c>
      <c r="E687" s="7" t="s">
        <v>1805</v>
      </c>
      <c r="F687" s="7" t="s">
        <v>12</v>
      </c>
      <c r="G687" s="7" t="s">
        <v>13</v>
      </c>
    </row>
    <row r="688">
      <c r="A688" s="7" t="s">
        <v>1816</v>
      </c>
      <c r="B688" s="7">
        <v>6.0022268E7</v>
      </c>
      <c r="C688" s="7" t="s">
        <v>1817</v>
      </c>
      <c r="D688" s="7" t="s">
        <v>10</v>
      </c>
      <c r="E688" s="7" t="s">
        <v>1805</v>
      </c>
      <c r="F688" s="7" t="s">
        <v>12</v>
      </c>
      <c r="G688" s="7" t="s">
        <v>13</v>
      </c>
    </row>
    <row r="689">
      <c r="A689" s="7" t="s">
        <v>1818</v>
      </c>
      <c r="B689" s="7">
        <v>6.0022269E7</v>
      </c>
      <c r="C689" s="7" t="s">
        <v>1819</v>
      </c>
      <c r="D689" s="7" t="s">
        <v>10</v>
      </c>
      <c r="E689" s="7" t="s">
        <v>1805</v>
      </c>
      <c r="F689" s="7" t="s">
        <v>12</v>
      </c>
      <c r="G689" s="7" t="s">
        <v>13</v>
      </c>
    </row>
    <row r="690">
      <c r="A690" s="7" t="s">
        <v>1820</v>
      </c>
      <c r="B690" s="7">
        <v>6.002227E7</v>
      </c>
      <c r="C690" s="7" t="s">
        <v>1821</v>
      </c>
      <c r="D690" s="7" t="s">
        <v>10</v>
      </c>
      <c r="E690" s="7" t="s">
        <v>1805</v>
      </c>
      <c r="F690" s="7" t="s">
        <v>12</v>
      </c>
      <c r="G690" s="7" t="s">
        <v>13</v>
      </c>
    </row>
    <row r="691">
      <c r="A691" s="7" t="s">
        <v>1822</v>
      </c>
      <c r="B691" s="7">
        <v>6.0022271E7</v>
      </c>
      <c r="C691" s="7" t="s">
        <v>1823</v>
      </c>
      <c r="D691" s="7" t="s">
        <v>10</v>
      </c>
      <c r="E691" s="7" t="s">
        <v>1805</v>
      </c>
      <c r="F691" s="7" t="s">
        <v>12</v>
      </c>
      <c r="G691" s="7" t="s">
        <v>13</v>
      </c>
    </row>
    <row r="692">
      <c r="A692" s="7" t="s">
        <v>1824</v>
      </c>
      <c r="B692" s="7">
        <v>6.0022272E7</v>
      </c>
      <c r="C692" s="7" t="s">
        <v>1825</v>
      </c>
      <c r="D692" s="7" t="s">
        <v>10</v>
      </c>
      <c r="E692" s="7" t="s">
        <v>1805</v>
      </c>
      <c r="F692" s="7" t="s">
        <v>12</v>
      </c>
      <c r="G692" s="7" t="s">
        <v>13</v>
      </c>
    </row>
    <row r="693">
      <c r="A693" s="7" t="s">
        <v>1826</v>
      </c>
      <c r="B693" s="7">
        <v>6.0022273E7</v>
      </c>
      <c r="C693" s="7" t="s">
        <v>1827</v>
      </c>
      <c r="D693" s="7" t="s">
        <v>10</v>
      </c>
      <c r="E693" s="7" t="s">
        <v>1805</v>
      </c>
      <c r="F693" s="7" t="s">
        <v>12</v>
      </c>
      <c r="G693" s="7" t="s">
        <v>13</v>
      </c>
    </row>
    <row r="694">
      <c r="A694" s="7" t="s">
        <v>1828</v>
      </c>
      <c r="B694" s="7">
        <v>6.0022274E7</v>
      </c>
      <c r="C694" s="7" t="s">
        <v>1829</v>
      </c>
      <c r="D694" s="7" t="s">
        <v>10</v>
      </c>
      <c r="E694" s="7" t="s">
        <v>1805</v>
      </c>
      <c r="F694" s="7" t="s">
        <v>12</v>
      </c>
      <c r="G694" s="7" t="s">
        <v>13</v>
      </c>
    </row>
    <row r="695">
      <c r="A695" s="7" t="s">
        <v>1830</v>
      </c>
      <c r="B695" s="7">
        <v>6.0022275E7</v>
      </c>
      <c r="C695" s="7" t="s">
        <v>1831</v>
      </c>
      <c r="D695" s="7" t="s">
        <v>10</v>
      </c>
      <c r="E695" s="7" t="s">
        <v>1805</v>
      </c>
      <c r="F695" s="7" t="s">
        <v>12</v>
      </c>
      <c r="G695" s="7" t="s">
        <v>13</v>
      </c>
    </row>
    <row r="696">
      <c r="A696" s="5" t="s">
        <v>1832</v>
      </c>
      <c r="B696" s="5" t="s">
        <v>1833</v>
      </c>
      <c r="C696" s="5" t="s">
        <v>1834</v>
      </c>
      <c r="D696" s="5" t="s">
        <v>10</v>
      </c>
      <c r="E696" s="5" t="s">
        <v>93</v>
      </c>
      <c r="F696" s="5" t="s">
        <v>12</v>
      </c>
      <c r="G696" s="5" t="s">
        <v>13</v>
      </c>
    </row>
    <row r="697">
      <c r="A697" s="14"/>
      <c r="B697" s="5">
        <v>6.001977E7</v>
      </c>
      <c r="C697" s="5" t="s">
        <v>1835</v>
      </c>
      <c r="D697" s="5" t="s">
        <v>10</v>
      </c>
      <c r="E697" s="5" t="s">
        <v>214</v>
      </c>
      <c r="F697" s="5" t="s">
        <v>1836</v>
      </c>
      <c r="G697" s="5" t="s">
        <v>36</v>
      </c>
    </row>
    <row r="698">
      <c r="A698" s="14"/>
      <c r="B698" s="5">
        <v>6.0020897E7</v>
      </c>
      <c r="C698" s="5" t="s">
        <v>1837</v>
      </c>
      <c r="D698" s="5" t="s">
        <v>10</v>
      </c>
      <c r="E698" s="5" t="s">
        <v>1774</v>
      </c>
      <c r="F698" s="5" t="s">
        <v>12</v>
      </c>
      <c r="G698" s="5" t="s">
        <v>13</v>
      </c>
    </row>
    <row r="699">
      <c r="A699" s="14"/>
      <c r="B699" s="5" t="s">
        <v>1838</v>
      </c>
      <c r="C699" s="5" t="s">
        <v>1839</v>
      </c>
      <c r="D699" s="5" t="s">
        <v>10</v>
      </c>
      <c r="E699" s="5" t="s">
        <v>1746</v>
      </c>
      <c r="F699" s="5" t="s">
        <v>1476</v>
      </c>
      <c r="G699" s="5" t="s">
        <v>13</v>
      </c>
    </row>
    <row r="700">
      <c r="A700" s="14"/>
      <c r="B700" s="5" t="s">
        <v>1840</v>
      </c>
      <c r="C700" s="5" t="s">
        <v>1841</v>
      </c>
      <c r="D700" s="5" t="s">
        <v>10</v>
      </c>
      <c r="E700" s="5" t="s">
        <v>93</v>
      </c>
      <c r="F700" s="5" t="s">
        <v>1476</v>
      </c>
      <c r="G700" s="5" t="s">
        <v>13</v>
      </c>
    </row>
    <row r="701">
      <c r="A701" s="14"/>
      <c r="B701" s="5" t="s">
        <v>1842</v>
      </c>
      <c r="C701" s="5" t="s">
        <v>1843</v>
      </c>
      <c r="D701" s="5" t="s">
        <v>10</v>
      </c>
      <c r="E701" s="5" t="s">
        <v>1844</v>
      </c>
      <c r="F701" s="5" t="s">
        <v>1476</v>
      </c>
      <c r="G701" s="5" t="s">
        <v>13</v>
      </c>
    </row>
    <row r="702">
      <c r="A702" s="14"/>
      <c r="B702" s="5" t="s">
        <v>1845</v>
      </c>
      <c r="C702" s="5" t="s">
        <v>1846</v>
      </c>
      <c r="D702" s="5" t="s">
        <v>10</v>
      </c>
      <c r="E702" s="5" t="s">
        <v>1746</v>
      </c>
      <c r="F702" s="5" t="s">
        <v>1476</v>
      </c>
      <c r="G702" s="5" t="s">
        <v>13</v>
      </c>
    </row>
    <row r="703">
      <c r="A703" s="14"/>
      <c r="B703" s="5" t="s">
        <v>1847</v>
      </c>
      <c r="C703" s="5" t="s">
        <v>1848</v>
      </c>
      <c r="D703" s="5" t="s">
        <v>10</v>
      </c>
      <c r="E703" s="5" t="s">
        <v>1849</v>
      </c>
      <c r="F703" s="5" t="s">
        <v>1476</v>
      </c>
      <c r="G703" s="5" t="s">
        <v>13</v>
      </c>
    </row>
    <row r="704">
      <c r="A704" s="14"/>
      <c r="B704" s="5" t="s">
        <v>1850</v>
      </c>
      <c r="C704" s="5" t="s">
        <v>1851</v>
      </c>
      <c r="D704" s="5" t="s">
        <v>10</v>
      </c>
      <c r="E704" s="5" t="s">
        <v>11</v>
      </c>
      <c r="F704" s="5" t="s">
        <v>1476</v>
      </c>
      <c r="G704" s="5" t="s">
        <v>13</v>
      </c>
    </row>
    <row r="705">
      <c r="A705" s="14"/>
      <c r="B705" s="5" t="s">
        <v>1852</v>
      </c>
      <c r="C705" s="5" t="s">
        <v>1853</v>
      </c>
      <c r="D705" s="5" t="s">
        <v>10</v>
      </c>
      <c r="E705" s="5" t="s">
        <v>11</v>
      </c>
      <c r="F705" s="5" t="s">
        <v>1476</v>
      </c>
      <c r="G705" s="5" t="s">
        <v>13</v>
      </c>
    </row>
    <row r="706">
      <c r="A706" s="14"/>
      <c r="B706" s="5">
        <v>6.0020898E7</v>
      </c>
      <c r="C706" s="5" t="s">
        <v>1854</v>
      </c>
      <c r="D706" s="5" t="s">
        <v>10</v>
      </c>
      <c r="E706" s="5" t="s">
        <v>1855</v>
      </c>
      <c r="F706" s="5" t="s">
        <v>12</v>
      </c>
      <c r="G706" s="5" t="s">
        <v>13</v>
      </c>
    </row>
    <row r="707">
      <c r="A707" s="14"/>
      <c r="B707" s="5">
        <v>6.0020899E7</v>
      </c>
      <c r="C707" s="5" t="s">
        <v>1856</v>
      </c>
      <c r="D707" s="5" t="s">
        <v>10</v>
      </c>
      <c r="E707" s="5" t="s">
        <v>1855</v>
      </c>
      <c r="F707" s="5" t="s">
        <v>1836</v>
      </c>
      <c r="G707" s="5" t="s">
        <v>13</v>
      </c>
    </row>
    <row r="708">
      <c r="A708" s="14"/>
      <c r="B708" s="5">
        <v>6.00209E7</v>
      </c>
      <c r="C708" s="5" t="s">
        <v>1857</v>
      </c>
      <c r="D708" s="5" t="s">
        <v>10</v>
      </c>
      <c r="E708" s="5" t="s">
        <v>1855</v>
      </c>
      <c r="F708" s="5" t="s">
        <v>12</v>
      </c>
      <c r="G708" s="5" t="s">
        <v>13</v>
      </c>
    </row>
    <row r="709">
      <c r="A709" s="7" t="s">
        <v>1858</v>
      </c>
      <c r="B709" s="7">
        <v>6.0020914E7</v>
      </c>
      <c r="C709" s="7" t="s">
        <v>1859</v>
      </c>
      <c r="D709" s="7" t="s">
        <v>10</v>
      </c>
      <c r="E709" s="7" t="s">
        <v>1855</v>
      </c>
      <c r="F709" s="7" t="s">
        <v>12</v>
      </c>
      <c r="G709" s="7" t="s">
        <v>13</v>
      </c>
    </row>
    <row r="710">
      <c r="A710" s="7" t="s">
        <v>1860</v>
      </c>
      <c r="B710" s="7">
        <v>6.0020915E7</v>
      </c>
      <c r="C710" s="7" t="s">
        <v>1861</v>
      </c>
      <c r="D710" s="7" t="s">
        <v>10</v>
      </c>
      <c r="E710" s="7" t="s">
        <v>1855</v>
      </c>
      <c r="F710" s="7" t="s">
        <v>12</v>
      </c>
      <c r="G710" s="7" t="s">
        <v>13</v>
      </c>
    </row>
    <row r="711">
      <c r="A711" s="7" t="s">
        <v>1862</v>
      </c>
      <c r="B711" s="7">
        <v>6.0020916E7</v>
      </c>
      <c r="C711" s="7" t="s">
        <v>1863</v>
      </c>
      <c r="D711" s="7" t="s">
        <v>10</v>
      </c>
      <c r="E711" s="7" t="s">
        <v>1855</v>
      </c>
      <c r="F711" s="7" t="s">
        <v>12</v>
      </c>
      <c r="G711" s="7" t="s">
        <v>13</v>
      </c>
    </row>
    <row r="712">
      <c r="A712" s="15"/>
      <c r="B712" s="7">
        <v>6.0021411E7</v>
      </c>
      <c r="C712" s="7" t="s">
        <v>1864</v>
      </c>
      <c r="D712" s="7" t="s">
        <v>10</v>
      </c>
      <c r="E712" s="7" t="s">
        <v>1719</v>
      </c>
      <c r="F712" s="7" t="s">
        <v>12</v>
      </c>
      <c r="G712" s="7" t="s">
        <v>36</v>
      </c>
    </row>
    <row r="713">
      <c r="A713" s="15"/>
      <c r="B713" s="7">
        <v>6.0021416E7</v>
      </c>
      <c r="C713" s="7" t="s">
        <v>1865</v>
      </c>
      <c r="D713" s="7" t="s">
        <v>10</v>
      </c>
      <c r="E713" s="7" t="s">
        <v>1719</v>
      </c>
      <c r="F713" s="7" t="s">
        <v>12</v>
      </c>
      <c r="G713" s="7" t="s">
        <v>36</v>
      </c>
    </row>
    <row r="714">
      <c r="A714" s="15"/>
      <c r="B714" s="7">
        <v>6.0021417E7</v>
      </c>
      <c r="C714" s="7" t="s">
        <v>1866</v>
      </c>
      <c r="D714" s="7" t="s">
        <v>10</v>
      </c>
      <c r="E714" s="7" t="s">
        <v>1719</v>
      </c>
      <c r="F714" s="7" t="s">
        <v>12</v>
      </c>
      <c r="G714" s="7" t="s">
        <v>36</v>
      </c>
    </row>
    <row r="715">
      <c r="A715" s="8"/>
      <c r="B715" s="6">
        <v>6.0021425E7</v>
      </c>
      <c r="C715" s="6" t="s">
        <v>1867</v>
      </c>
      <c r="D715" s="6" t="s">
        <v>10</v>
      </c>
      <c r="E715" s="6" t="s">
        <v>1719</v>
      </c>
      <c r="F715" s="6" t="s">
        <v>17</v>
      </c>
      <c r="G715" s="6" t="s">
        <v>36</v>
      </c>
    </row>
    <row r="716">
      <c r="A716" s="8"/>
      <c r="B716" s="6">
        <v>6.0021426E7</v>
      </c>
      <c r="C716" s="6" t="s">
        <v>1868</v>
      </c>
      <c r="D716" s="6" t="s">
        <v>10</v>
      </c>
      <c r="E716" s="6" t="s">
        <v>1719</v>
      </c>
      <c r="F716" s="6" t="s">
        <v>17</v>
      </c>
      <c r="G716" s="6" t="s">
        <v>36</v>
      </c>
    </row>
    <row r="717">
      <c r="A717" s="8"/>
      <c r="B717" s="6">
        <v>6.0021427E7</v>
      </c>
      <c r="C717" s="6" t="s">
        <v>1869</v>
      </c>
      <c r="D717" s="6" t="s">
        <v>10</v>
      </c>
      <c r="E717" s="6" t="s">
        <v>1719</v>
      </c>
      <c r="F717" s="6" t="s">
        <v>17</v>
      </c>
      <c r="G717" s="6" t="s">
        <v>36</v>
      </c>
    </row>
    <row r="718">
      <c r="A718" s="15"/>
      <c r="B718" s="7">
        <v>6.0021777E7</v>
      </c>
      <c r="C718" s="7" t="s">
        <v>1870</v>
      </c>
      <c r="D718" s="7" t="s">
        <v>10</v>
      </c>
      <c r="E718" s="7" t="s">
        <v>1855</v>
      </c>
      <c r="F718" s="7" t="s">
        <v>12</v>
      </c>
      <c r="G718" s="7" t="s">
        <v>13</v>
      </c>
    </row>
    <row r="719">
      <c r="A719" s="15"/>
      <c r="B719" s="7">
        <v>6.0021778E7</v>
      </c>
      <c r="C719" s="7" t="s">
        <v>1871</v>
      </c>
      <c r="D719" s="7" t="s">
        <v>10</v>
      </c>
      <c r="E719" s="7" t="s">
        <v>1855</v>
      </c>
      <c r="F719" s="7" t="s">
        <v>12</v>
      </c>
      <c r="G719" s="7" t="s">
        <v>13</v>
      </c>
    </row>
    <row r="720">
      <c r="A720" s="15"/>
      <c r="B720" s="7">
        <v>6.0021779E7</v>
      </c>
      <c r="C720" s="7" t="s">
        <v>1872</v>
      </c>
      <c r="D720" s="7" t="s">
        <v>10</v>
      </c>
      <c r="E720" s="7" t="s">
        <v>1855</v>
      </c>
      <c r="F720" s="7" t="s">
        <v>12</v>
      </c>
      <c r="G720" s="7" t="s">
        <v>13</v>
      </c>
    </row>
    <row r="721">
      <c r="A721" s="15"/>
      <c r="B721" s="7">
        <v>6.002178E7</v>
      </c>
      <c r="C721" s="7" t="s">
        <v>1873</v>
      </c>
      <c r="D721" s="7" t="s">
        <v>10</v>
      </c>
      <c r="E721" s="7" t="s">
        <v>1855</v>
      </c>
      <c r="F721" s="7" t="s">
        <v>12</v>
      </c>
      <c r="G721" s="7" t="s">
        <v>13</v>
      </c>
    </row>
    <row r="722">
      <c r="A722" s="14"/>
      <c r="B722" s="5">
        <v>6.0021781E7</v>
      </c>
      <c r="C722" s="5" t="s">
        <v>1874</v>
      </c>
      <c r="D722" s="5" t="s">
        <v>10</v>
      </c>
      <c r="E722" s="5" t="s">
        <v>1855</v>
      </c>
      <c r="F722" s="5" t="s">
        <v>12</v>
      </c>
      <c r="G722" s="5" t="s">
        <v>13</v>
      </c>
    </row>
    <row r="723">
      <c r="A723" s="14"/>
      <c r="B723" s="5">
        <v>6.0021782E7</v>
      </c>
      <c r="C723" s="5" t="s">
        <v>1875</v>
      </c>
      <c r="D723" s="5" t="s">
        <v>10</v>
      </c>
      <c r="E723" s="5" t="s">
        <v>1855</v>
      </c>
      <c r="F723" s="5" t="s">
        <v>12</v>
      </c>
      <c r="G723" s="5" t="s">
        <v>13</v>
      </c>
    </row>
    <row r="724">
      <c r="A724" s="14"/>
      <c r="B724" s="5">
        <v>6.0021783E7</v>
      </c>
      <c r="C724" s="5" t="s">
        <v>1876</v>
      </c>
      <c r="D724" s="5" t="s">
        <v>10</v>
      </c>
      <c r="E724" s="5" t="s">
        <v>1855</v>
      </c>
      <c r="F724" s="5" t="s">
        <v>12</v>
      </c>
      <c r="G724" s="5" t="s">
        <v>13</v>
      </c>
    </row>
    <row r="725">
      <c r="A725" s="14"/>
      <c r="B725" s="5">
        <v>6.0021784E7</v>
      </c>
      <c r="C725" s="5" t="s">
        <v>1877</v>
      </c>
      <c r="D725" s="5" t="s">
        <v>10</v>
      </c>
      <c r="E725" s="5" t="s">
        <v>1855</v>
      </c>
      <c r="F725" s="5" t="s">
        <v>12</v>
      </c>
      <c r="G725" s="5" t="s">
        <v>13</v>
      </c>
    </row>
    <row r="726">
      <c r="A726" s="15"/>
      <c r="B726" s="7" t="s">
        <v>1878</v>
      </c>
      <c r="C726" s="7" t="s">
        <v>1879</v>
      </c>
      <c r="D726" s="7" t="s">
        <v>10</v>
      </c>
      <c r="E726" s="7" t="s">
        <v>775</v>
      </c>
      <c r="F726" s="7" t="s">
        <v>12</v>
      </c>
      <c r="G726" s="7" t="s">
        <v>79</v>
      </c>
    </row>
    <row r="727">
      <c r="A727" s="8"/>
      <c r="B727" s="6" t="s">
        <v>1880</v>
      </c>
      <c r="C727" s="6" t="s">
        <v>1881</v>
      </c>
      <c r="D727" s="6" t="s">
        <v>10</v>
      </c>
      <c r="E727" s="6" t="s">
        <v>93</v>
      </c>
      <c r="F727" s="6" t="s">
        <v>17</v>
      </c>
      <c r="G727" s="6" t="s">
        <v>13</v>
      </c>
    </row>
    <row r="728">
      <c r="A728" s="8"/>
      <c r="B728" s="6" t="s">
        <v>1882</v>
      </c>
      <c r="C728" s="6" t="s">
        <v>1883</v>
      </c>
      <c r="D728" s="6" t="s">
        <v>10</v>
      </c>
      <c r="E728" s="6" t="s">
        <v>93</v>
      </c>
      <c r="F728" s="6" t="s">
        <v>17</v>
      </c>
      <c r="G728" s="6" t="s">
        <v>13</v>
      </c>
    </row>
    <row r="729">
      <c r="A729" s="10" t="s">
        <v>1884</v>
      </c>
      <c r="B729" s="10" t="s">
        <v>1885</v>
      </c>
      <c r="C729" s="10" t="s">
        <v>1886</v>
      </c>
      <c r="D729" s="10" t="s">
        <v>10</v>
      </c>
      <c r="E729" s="10" t="s">
        <v>93</v>
      </c>
      <c r="F729" s="10" t="s">
        <v>12</v>
      </c>
      <c r="G729" s="10" t="s">
        <v>13</v>
      </c>
    </row>
    <row r="730">
      <c r="A730" s="16" t="s">
        <v>1887</v>
      </c>
      <c r="B730" s="17"/>
      <c r="C730" s="16" t="s">
        <v>1872</v>
      </c>
      <c r="D730" s="16" t="s">
        <v>10</v>
      </c>
      <c r="E730" s="16" t="s">
        <v>93</v>
      </c>
      <c r="F730" s="16" t="s">
        <v>12</v>
      </c>
      <c r="G730" s="16" t="s">
        <v>13</v>
      </c>
    </row>
    <row r="731">
      <c r="A731" s="16" t="s">
        <v>1888</v>
      </c>
      <c r="B731" s="17"/>
      <c r="C731" s="16" t="s">
        <v>1889</v>
      </c>
      <c r="D731" s="16" t="s">
        <v>10</v>
      </c>
      <c r="E731" s="17"/>
      <c r="F731" s="17"/>
      <c r="G731" s="17"/>
    </row>
    <row r="732">
      <c r="A732" s="16" t="s">
        <v>1890</v>
      </c>
      <c r="B732" s="17"/>
      <c r="C732" s="16" t="s">
        <v>1891</v>
      </c>
      <c r="D732" s="16" t="s">
        <v>10</v>
      </c>
      <c r="E732" s="17"/>
      <c r="F732" s="17"/>
      <c r="G732" s="17"/>
    </row>
    <row r="733">
      <c r="A733" s="16" t="s">
        <v>1892</v>
      </c>
      <c r="B733" s="17"/>
      <c r="C733" s="16" t="s">
        <v>1893</v>
      </c>
      <c r="D733" s="16" t="s">
        <v>10</v>
      </c>
      <c r="E733" s="17"/>
      <c r="F733" s="17"/>
      <c r="G733" s="17"/>
    </row>
    <row r="734">
      <c r="A734" s="16" t="s">
        <v>1894</v>
      </c>
      <c r="B734" s="17"/>
      <c r="C734" s="16" t="s">
        <v>1895</v>
      </c>
      <c r="D734" s="16" t="s">
        <v>10</v>
      </c>
      <c r="E734" s="17"/>
      <c r="F734" s="17"/>
      <c r="G734" s="17"/>
    </row>
    <row r="735">
      <c r="A735" s="16" t="s">
        <v>1896</v>
      </c>
      <c r="B735" s="17"/>
      <c r="C735" s="16" t="s">
        <v>1897</v>
      </c>
      <c r="D735" s="16" t="s">
        <v>10</v>
      </c>
      <c r="E735" s="17"/>
      <c r="F735" s="17"/>
      <c r="G735" s="17"/>
    </row>
    <row r="736">
      <c r="A736" s="16" t="s">
        <v>1898</v>
      </c>
      <c r="B736" s="17"/>
      <c r="C736" s="16" t="s">
        <v>1899</v>
      </c>
      <c r="D736" s="16" t="s">
        <v>10</v>
      </c>
      <c r="E736" s="17"/>
      <c r="F736" s="17"/>
      <c r="G736" s="17"/>
    </row>
    <row r="737">
      <c r="A737" s="16" t="s">
        <v>1900</v>
      </c>
      <c r="B737" s="17"/>
      <c r="C737" s="16" t="s">
        <v>1901</v>
      </c>
      <c r="D737" s="16" t="s">
        <v>10</v>
      </c>
      <c r="E737" s="17"/>
      <c r="F737" s="17"/>
      <c r="G737" s="17"/>
    </row>
    <row r="738">
      <c r="A738" s="16" t="s">
        <v>1902</v>
      </c>
      <c r="B738" s="17"/>
      <c r="C738" s="16" t="s">
        <v>1903</v>
      </c>
      <c r="D738" s="16" t="s">
        <v>10</v>
      </c>
      <c r="E738" s="17"/>
      <c r="F738" s="17"/>
      <c r="G738" s="17"/>
    </row>
    <row r="739">
      <c r="A739" s="16" t="s">
        <v>1803</v>
      </c>
      <c r="B739" s="17"/>
      <c r="C739" s="16" t="s">
        <v>1804</v>
      </c>
      <c r="D739" s="16" t="s">
        <v>10</v>
      </c>
      <c r="E739" s="17"/>
      <c r="F739" s="17"/>
      <c r="G739" s="17"/>
    </row>
    <row r="740">
      <c r="A740" s="16" t="s">
        <v>1806</v>
      </c>
      <c r="B740" s="17"/>
      <c r="C740" s="16" t="s">
        <v>1807</v>
      </c>
      <c r="D740" s="16" t="s">
        <v>10</v>
      </c>
      <c r="E740" s="17"/>
      <c r="F740" s="17"/>
      <c r="G740" s="17"/>
    </row>
    <row r="741">
      <c r="A741" s="16" t="s">
        <v>1808</v>
      </c>
      <c r="B741" s="17"/>
      <c r="C741" s="16" t="s">
        <v>1809</v>
      </c>
      <c r="D741" s="16" t="s">
        <v>10</v>
      </c>
      <c r="E741" s="17"/>
      <c r="F741" s="17"/>
      <c r="G741" s="17"/>
    </row>
    <row r="742">
      <c r="A742" s="16" t="s">
        <v>1810</v>
      </c>
      <c r="B742" s="17"/>
      <c r="C742" s="16" t="s">
        <v>1811</v>
      </c>
      <c r="D742" s="16" t="s">
        <v>10</v>
      </c>
      <c r="E742" s="17"/>
      <c r="F742" s="17"/>
      <c r="G742" s="17"/>
    </row>
    <row r="743">
      <c r="A743" s="16" t="s">
        <v>1812</v>
      </c>
      <c r="B743" s="17"/>
      <c r="C743" s="16" t="s">
        <v>1813</v>
      </c>
      <c r="D743" s="16" t="s">
        <v>10</v>
      </c>
      <c r="E743" s="17"/>
      <c r="F743" s="17"/>
      <c r="G743" s="17"/>
    </row>
    <row r="744">
      <c r="A744" s="16" t="s">
        <v>1814</v>
      </c>
      <c r="B744" s="17"/>
      <c r="C744" s="16" t="s">
        <v>1815</v>
      </c>
      <c r="D744" s="16" t="s">
        <v>10</v>
      </c>
      <c r="E744" s="17"/>
      <c r="F744" s="17"/>
      <c r="G744" s="17"/>
    </row>
    <row r="745">
      <c r="A745" s="16" t="s">
        <v>1816</v>
      </c>
      <c r="B745" s="17"/>
      <c r="C745" s="16" t="s">
        <v>1817</v>
      </c>
      <c r="D745" s="16" t="s">
        <v>10</v>
      </c>
      <c r="E745" s="17"/>
      <c r="F745" s="17"/>
      <c r="G745" s="17"/>
    </row>
    <row r="746">
      <c r="A746" s="16" t="s">
        <v>1818</v>
      </c>
      <c r="B746" s="17"/>
      <c r="C746" s="16" t="s">
        <v>1819</v>
      </c>
      <c r="D746" s="16" t="s">
        <v>10</v>
      </c>
      <c r="E746" s="17"/>
      <c r="F746" s="17"/>
      <c r="G746" s="17"/>
    </row>
    <row r="747">
      <c r="A747" s="16" t="s">
        <v>1820</v>
      </c>
      <c r="B747" s="17"/>
      <c r="C747" s="16" t="s">
        <v>1821</v>
      </c>
      <c r="D747" s="16" t="s">
        <v>10</v>
      </c>
      <c r="E747" s="17"/>
      <c r="F747" s="17"/>
      <c r="G747" s="17"/>
    </row>
    <row r="748">
      <c r="A748" s="16" t="s">
        <v>1822</v>
      </c>
      <c r="B748" s="17"/>
      <c r="C748" s="16" t="s">
        <v>1823</v>
      </c>
      <c r="D748" s="16" t="s">
        <v>10</v>
      </c>
      <c r="E748" s="17"/>
      <c r="F748" s="17"/>
      <c r="G748" s="17"/>
    </row>
    <row r="749">
      <c r="A749" s="16" t="s">
        <v>1824</v>
      </c>
      <c r="B749" s="17"/>
      <c r="C749" s="16" t="s">
        <v>1825</v>
      </c>
      <c r="D749" s="16" t="s">
        <v>10</v>
      </c>
      <c r="E749" s="17"/>
      <c r="F749" s="17"/>
      <c r="G749" s="17"/>
    </row>
    <row r="750">
      <c r="A750" s="16" t="s">
        <v>1826</v>
      </c>
      <c r="B750" s="17"/>
      <c r="C750" s="16" t="s">
        <v>1827</v>
      </c>
      <c r="D750" s="16" t="s">
        <v>10</v>
      </c>
      <c r="E750" s="17"/>
      <c r="F750" s="17"/>
      <c r="G750" s="17"/>
    </row>
    <row r="751">
      <c r="A751" s="16" t="s">
        <v>1828</v>
      </c>
      <c r="B751" s="17"/>
      <c r="C751" s="16" t="s">
        <v>1829</v>
      </c>
      <c r="D751" s="16" t="s">
        <v>10</v>
      </c>
      <c r="E751" s="17"/>
      <c r="F751" s="17"/>
      <c r="G751" s="17"/>
    </row>
    <row r="752">
      <c r="A752" s="16" t="s">
        <v>1830</v>
      </c>
      <c r="B752" s="17"/>
      <c r="C752" s="16" t="s">
        <v>1831</v>
      </c>
      <c r="D752" s="16" t="s">
        <v>10</v>
      </c>
      <c r="E752" s="17"/>
      <c r="F752" s="17"/>
      <c r="G752" s="17"/>
    </row>
    <row r="753">
      <c r="A753" s="16" t="s">
        <v>1904</v>
      </c>
      <c r="B753" s="17"/>
      <c r="C753" s="16" t="s">
        <v>1870</v>
      </c>
      <c r="D753" s="16" t="s">
        <v>10</v>
      </c>
      <c r="E753" s="17"/>
      <c r="F753" s="17"/>
      <c r="G753" s="17"/>
    </row>
    <row r="754">
      <c r="A754" s="16" t="s">
        <v>1905</v>
      </c>
      <c r="B754" s="17"/>
      <c r="C754" s="16" t="s">
        <v>1871</v>
      </c>
      <c r="D754" s="16" t="s">
        <v>10</v>
      </c>
      <c r="E754" s="17"/>
      <c r="F754" s="17"/>
      <c r="G754" s="17"/>
    </row>
    <row r="755">
      <c r="A755" s="16" t="s">
        <v>1887</v>
      </c>
      <c r="B755" s="17"/>
      <c r="C755" s="16" t="s">
        <v>1872</v>
      </c>
      <c r="D755" s="16" t="s">
        <v>10</v>
      </c>
      <c r="E755" s="17"/>
      <c r="F755" s="17"/>
      <c r="G755" s="17"/>
    </row>
    <row r="756">
      <c r="A756" s="16" t="s">
        <v>1906</v>
      </c>
      <c r="B756" s="17"/>
      <c r="C756" s="16" t="s">
        <v>1873</v>
      </c>
      <c r="D756" s="16" t="s">
        <v>10</v>
      </c>
      <c r="E756" s="17"/>
      <c r="F756" s="17"/>
      <c r="G756" s="17"/>
    </row>
    <row r="757">
      <c r="A757" s="16" t="s">
        <v>1907</v>
      </c>
      <c r="B757" s="17"/>
      <c r="C757" s="16" t="s">
        <v>1874</v>
      </c>
      <c r="D757" s="16" t="s">
        <v>10</v>
      </c>
      <c r="E757" s="17"/>
      <c r="F757" s="17"/>
      <c r="G757" s="17"/>
    </row>
    <row r="758">
      <c r="A758" s="16" t="s">
        <v>1908</v>
      </c>
      <c r="B758" s="17"/>
      <c r="C758" s="16" t="s">
        <v>1875</v>
      </c>
      <c r="D758" s="16" t="s">
        <v>10</v>
      </c>
      <c r="E758" s="17"/>
      <c r="F758" s="17"/>
      <c r="G758" s="17"/>
    </row>
    <row r="759">
      <c r="A759" s="16" t="s">
        <v>1909</v>
      </c>
      <c r="B759" s="17"/>
      <c r="C759" s="16" t="s">
        <v>1876</v>
      </c>
      <c r="D759" s="16" t="s">
        <v>10</v>
      </c>
      <c r="E759" s="17"/>
      <c r="F759" s="17"/>
      <c r="G759" s="17"/>
    </row>
    <row r="760">
      <c r="A760" s="16" t="s">
        <v>1910</v>
      </c>
      <c r="B760" s="17"/>
      <c r="C760" s="16" t="s">
        <v>1877</v>
      </c>
      <c r="D760" s="16" t="s">
        <v>10</v>
      </c>
      <c r="E760" s="17"/>
      <c r="F760" s="17"/>
      <c r="G760" s="17"/>
    </row>
    <row r="761">
      <c r="A761" s="16" t="s">
        <v>1911</v>
      </c>
      <c r="B761" s="17"/>
      <c r="C761" s="16" t="s">
        <v>1912</v>
      </c>
      <c r="D761" s="16" t="s">
        <v>10</v>
      </c>
      <c r="E761" s="17"/>
      <c r="F761" s="17"/>
      <c r="G761" s="17"/>
    </row>
    <row r="762">
      <c r="A762" s="16" t="s">
        <v>1913</v>
      </c>
      <c r="B762" s="17"/>
      <c r="C762" s="16" t="s">
        <v>1914</v>
      </c>
      <c r="D762" s="16" t="s">
        <v>10</v>
      </c>
      <c r="E762" s="17"/>
      <c r="F762" s="17"/>
      <c r="G762" s="17"/>
    </row>
    <row r="763">
      <c r="A763" s="16" t="s">
        <v>1915</v>
      </c>
      <c r="B763" s="17"/>
      <c r="C763" s="16" t="s">
        <v>1916</v>
      </c>
      <c r="D763" s="16" t="s">
        <v>10</v>
      </c>
      <c r="E763" s="17"/>
      <c r="F763" s="17"/>
      <c r="G763" s="17"/>
    </row>
    <row r="764">
      <c r="A764" s="16" t="s">
        <v>1917</v>
      </c>
      <c r="B764" s="17"/>
      <c r="C764" s="16" t="s">
        <v>1918</v>
      </c>
      <c r="D764" s="16" t="s">
        <v>10</v>
      </c>
      <c r="E764" s="17"/>
      <c r="F764" s="17"/>
      <c r="G764" s="17"/>
    </row>
    <row r="765">
      <c r="A765" s="16" t="s">
        <v>1919</v>
      </c>
      <c r="B765" s="17"/>
      <c r="C765" s="16" t="s">
        <v>1920</v>
      </c>
      <c r="D765" s="16" t="s">
        <v>10</v>
      </c>
      <c r="E765" s="17"/>
      <c r="F765" s="17"/>
      <c r="G765" s="17"/>
    </row>
    <row r="766">
      <c r="A766" s="16" t="s">
        <v>1921</v>
      </c>
      <c r="B766" s="17"/>
      <c r="C766" s="16" t="s">
        <v>1922</v>
      </c>
      <c r="D766" s="16" t="s">
        <v>10</v>
      </c>
      <c r="E766" s="17"/>
      <c r="F766" s="17"/>
      <c r="G766" s="17"/>
    </row>
    <row r="767">
      <c r="A767" s="16" t="s">
        <v>1923</v>
      </c>
      <c r="B767" s="17"/>
      <c r="C767" s="16" t="s">
        <v>1924</v>
      </c>
      <c r="D767" s="16" t="s">
        <v>10</v>
      </c>
      <c r="E767" s="17"/>
      <c r="F767" s="17"/>
      <c r="G767" s="17"/>
    </row>
    <row r="768">
      <c r="A768" s="16" t="s">
        <v>1925</v>
      </c>
      <c r="B768" s="17"/>
      <c r="C768" s="16" t="s">
        <v>1926</v>
      </c>
      <c r="D768" s="16" t="s">
        <v>10</v>
      </c>
      <c r="E768" s="17"/>
      <c r="F768" s="17"/>
      <c r="G768" s="17"/>
    </row>
    <row r="769">
      <c r="A769" s="16" t="s">
        <v>1927</v>
      </c>
      <c r="B769" s="17"/>
      <c r="C769" s="16" t="s">
        <v>1928</v>
      </c>
      <c r="D769" s="16" t="s">
        <v>10</v>
      </c>
      <c r="E769" s="17"/>
      <c r="F769" s="17"/>
      <c r="G769" s="17"/>
    </row>
    <row r="770">
      <c r="A770" s="16" t="s">
        <v>1929</v>
      </c>
      <c r="B770" s="17"/>
      <c r="C770" s="16" t="s">
        <v>1930</v>
      </c>
      <c r="D770" s="16" t="s">
        <v>10</v>
      </c>
      <c r="E770" s="17"/>
      <c r="F770" s="17"/>
      <c r="G770" s="17"/>
    </row>
    <row r="771">
      <c r="A771" s="16" t="s">
        <v>1931</v>
      </c>
      <c r="B771" s="17"/>
      <c r="C771" s="16" t="s">
        <v>1932</v>
      </c>
      <c r="D771" s="16" t="s">
        <v>10</v>
      </c>
      <c r="E771" s="17"/>
      <c r="F771" s="17"/>
      <c r="G771" s="17"/>
    </row>
    <row r="772">
      <c r="A772" s="16" t="s">
        <v>1933</v>
      </c>
      <c r="B772" s="17"/>
      <c r="C772" s="16" t="s">
        <v>1934</v>
      </c>
      <c r="D772" s="16" t="s">
        <v>10</v>
      </c>
      <c r="E772" s="17"/>
      <c r="F772" s="17"/>
      <c r="G772" s="17"/>
    </row>
    <row r="773">
      <c r="A773" s="16" t="s">
        <v>1935</v>
      </c>
      <c r="B773" s="17"/>
      <c r="C773" s="16" t="s">
        <v>1936</v>
      </c>
      <c r="D773" s="16" t="s">
        <v>10</v>
      </c>
      <c r="E773" s="17"/>
      <c r="F773" s="17"/>
      <c r="G773" s="17"/>
    </row>
    <row r="774">
      <c r="A774" s="16" t="s">
        <v>1937</v>
      </c>
      <c r="B774" s="17"/>
      <c r="C774" s="16" t="s">
        <v>1938</v>
      </c>
      <c r="D774" s="16" t="s">
        <v>10</v>
      </c>
      <c r="E774" s="17"/>
      <c r="F774" s="17"/>
      <c r="G774" s="17"/>
    </row>
    <row r="775">
      <c r="A775" s="16" t="s">
        <v>1939</v>
      </c>
      <c r="B775" s="17"/>
      <c r="C775" s="16" t="s">
        <v>1940</v>
      </c>
      <c r="D775" s="16" t="s">
        <v>10</v>
      </c>
      <c r="E775" s="17"/>
      <c r="F775" s="17"/>
      <c r="G775" s="17"/>
    </row>
    <row r="776">
      <c r="A776" s="16" t="s">
        <v>1941</v>
      </c>
      <c r="B776" s="17"/>
      <c r="C776" s="16" t="s">
        <v>1942</v>
      </c>
      <c r="D776" s="16" t="s">
        <v>10</v>
      </c>
      <c r="E776" s="17"/>
      <c r="F776" s="17"/>
      <c r="G776" s="17"/>
    </row>
    <row r="777">
      <c r="A777" s="16" t="s">
        <v>1943</v>
      </c>
      <c r="B777" s="17"/>
      <c r="C777" s="16" t="s">
        <v>1944</v>
      </c>
      <c r="D777" s="16" t="s">
        <v>10</v>
      </c>
      <c r="E777" s="17"/>
      <c r="F777" s="17"/>
      <c r="G777" s="17"/>
    </row>
    <row r="778">
      <c r="A778" s="16" t="s">
        <v>1945</v>
      </c>
      <c r="B778" s="17"/>
      <c r="C778" s="16" t="s">
        <v>1946</v>
      </c>
      <c r="D778" s="16" t="s">
        <v>10</v>
      </c>
      <c r="E778" s="17"/>
      <c r="F778" s="17"/>
      <c r="G778" s="17"/>
    </row>
    <row r="779">
      <c r="A779" s="16" t="s">
        <v>1789</v>
      </c>
      <c r="B779" s="17"/>
      <c r="C779" s="16" t="s">
        <v>1790</v>
      </c>
      <c r="D779" s="16" t="s">
        <v>10</v>
      </c>
      <c r="E779" s="17"/>
      <c r="F779" s="17"/>
      <c r="G779" s="17"/>
    </row>
    <row r="780">
      <c r="A780" s="16" t="s">
        <v>1791</v>
      </c>
      <c r="B780" s="17"/>
      <c r="C780" s="16" t="s">
        <v>1792</v>
      </c>
      <c r="D780" s="16" t="s">
        <v>10</v>
      </c>
      <c r="E780" s="17"/>
      <c r="F780" s="17"/>
      <c r="G780" s="17"/>
    </row>
    <row r="781">
      <c r="A781" s="16" t="s">
        <v>1732</v>
      </c>
      <c r="B781" s="17"/>
      <c r="C781" s="16" t="s">
        <v>1733</v>
      </c>
      <c r="D781" s="16" t="s">
        <v>10</v>
      </c>
      <c r="E781" s="17"/>
      <c r="F781" s="17"/>
      <c r="G781" s="17"/>
    </row>
    <row r="782">
      <c r="A782" s="16" t="s">
        <v>1734</v>
      </c>
      <c r="B782" s="17"/>
      <c r="C782" s="16" t="s">
        <v>1735</v>
      </c>
      <c r="D782" s="16" t="s">
        <v>10</v>
      </c>
      <c r="E782" s="17"/>
      <c r="F782" s="17"/>
      <c r="G782" s="17"/>
    </row>
    <row r="783">
      <c r="A783" s="16" t="s">
        <v>1736</v>
      </c>
      <c r="B783" s="17"/>
      <c r="C783" s="16" t="s">
        <v>1737</v>
      </c>
      <c r="D783" s="16" t="s">
        <v>10</v>
      </c>
      <c r="E783" s="17"/>
      <c r="F783" s="17"/>
      <c r="G783" s="17"/>
    </row>
    <row r="784">
      <c r="A784" s="16" t="s">
        <v>1738</v>
      </c>
      <c r="B784" s="17"/>
      <c r="C784" s="16" t="s">
        <v>1739</v>
      </c>
      <c r="D784" s="16" t="s">
        <v>10</v>
      </c>
      <c r="E784" s="17"/>
      <c r="F784" s="17"/>
      <c r="G784" s="17"/>
    </row>
    <row r="785">
      <c r="A785" s="16" t="s">
        <v>1740</v>
      </c>
      <c r="B785" s="17"/>
      <c r="C785" s="16" t="s">
        <v>1741</v>
      </c>
      <c r="D785" s="16" t="s">
        <v>10</v>
      </c>
      <c r="E785" s="17"/>
      <c r="F785" s="17"/>
      <c r="G785" s="17"/>
    </row>
    <row r="786">
      <c r="A786" s="16" t="s">
        <v>1742</v>
      </c>
      <c r="B786" s="17"/>
      <c r="C786" s="16" t="s">
        <v>1743</v>
      </c>
      <c r="D786" s="16" t="s">
        <v>10</v>
      </c>
      <c r="E786" s="17"/>
      <c r="F786" s="17"/>
      <c r="G786" s="17"/>
    </row>
    <row r="787">
      <c r="A787" s="16" t="s">
        <v>1717</v>
      </c>
      <c r="B787" s="17"/>
      <c r="C787" s="16" t="s">
        <v>1718</v>
      </c>
      <c r="D787" s="16" t="s">
        <v>10</v>
      </c>
      <c r="E787" s="17"/>
      <c r="F787" s="17"/>
      <c r="G787" s="17"/>
    </row>
    <row r="788">
      <c r="A788" s="16" t="s">
        <v>1720</v>
      </c>
      <c r="B788" s="17"/>
      <c r="C788" s="16" t="s">
        <v>1721</v>
      </c>
      <c r="D788" s="16" t="s">
        <v>10</v>
      </c>
      <c r="E788" s="17"/>
      <c r="F788" s="17"/>
      <c r="G788" s="17"/>
    </row>
    <row r="789">
      <c r="A789" s="16" t="s">
        <v>1722</v>
      </c>
      <c r="B789" s="17"/>
      <c r="C789" s="16" t="s">
        <v>1723</v>
      </c>
      <c r="D789" s="16" t="s">
        <v>10</v>
      </c>
      <c r="E789" s="17"/>
      <c r="F789" s="17"/>
      <c r="G789" s="17"/>
    </row>
    <row r="790">
      <c r="A790" s="16" t="s">
        <v>1724</v>
      </c>
      <c r="B790" s="17"/>
      <c r="C790" s="16" t="s">
        <v>1725</v>
      </c>
      <c r="D790" s="16" t="s">
        <v>10</v>
      </c>
      <c r="E790" s="17"/>
      <c r="F790" s="17"/>
      <c r="G790" s="17"/>
    </row>
    <row r="791">
      <c r="A791" s="16" t="s">
        <v>1726</v>
      </c>
      <c r="B791" s="17"/>
      <c r="C791" s="16" t="s">
        <v>1727</v>
      </c>
      <c r="D791" s="16" t="s">
        <v>10</v>
      </c>
      <c r="E791" s="17"/>
      <c r="F791" s="17"/>
      <c r="G791" s="17"/>
    </row>
    <row r="792">
      <c r="A792" s="16" t="s">
        <v>1728</v>
      </c>
      <c r="B792" s="17"/>
      <c r="C792" s="16" t="s">
        <v>1729</v>
      </c>
      <c r="D792" s="16" t="s">
        <v>10</v>
      </c>
      <c r="E792" s="17"/>
      <c r="F792" s="17"/>
      <c r="G792" s="17"/>
    </row>
    <row r="793">
      <c r="A793" s="16" t="s">
        <v>1730</v>
      </c>
      <c r="B793" s="17"/>
      <c r="C793" s="16" t="s">
        <v>1731</v>
      </c>
      <c r="D793" s="16" t="s">
        <v>10</v>
      </c>
      <c r="E793" s="17"/>
      <c r="F793" s="17"/>
      <c r="G793" s="17"/>
    </row>
    <row r="794">
      <c r="A794" s="16" t="s">
        <v>1947</v>
      </c>
      <c r="B794" s="17"/>
      <c r="C794" s="16" t="s">
        <v>1864</v>
      </c>
      <c r="D794" s="16" t="s">
        <v>10</v>
      </c>
      <c r="E794" s="17"/>
      <c r="F794" s="17"/>
      <c r="G794" s="17"/>
    </row>
    <row r="795">
      <c r="A795" s="16" t="s">
        <v>1768</v>
      </c>
      <c r="B795" s="17"/>
      <c r="C795" s="16" t="s">
        <v>1769</v>
      </c>
      <c r="D795" s="16" t="s">
        <v>10</v>
      </c>
      <c r="E795" s="17"/>
      <c r="F795" s="17"/>
      <c r="G795" s="17"/>
    </row>
    <row r="796">
      <c r="A796" s="16" t="s">
        <v>1770</v>
      </c>
      <c r="B796" s="17"/>
      <c r="C796" s="16" t="s">
        <v>1771</v>
      </c>
      <c r="D796" s="16" t="s">
        <v>10</v>
      </c>
      <c r="E796" s="17"/>
      <c r="F796" s="17"/>
      <c r="G796" s="17"/>
    </row>
    <row r="797">
      <c r="A797" s="16" t="s">
        <v>1787</v>
      </c>
      <c r="B797" s="17"/>
      <c r="C797" s="16" t="s">
        <v>1788</v>
      </c>
      <c r="D797" s="16" t="s">
        <v>10</v>
      </c>
      <c r="E797" s="17"/>
      <c r="F797" s="17"/>
      <c r="G797" s="17"/>
    </row>
    <row r="798">
      <c r="A798" s="16" t="s">
        <v>1785</v>
      </c>
      <c r="B798" s="17"/>
      <c r="C798" s="16" t="s">
        <v>1786</v>
      </c>
      <c r="D798" s="16" t="s">
        <v>10</v>
      </c>
      <c r="E798" s="17"/>
      <c r="F798" s="17"/>
      <c r="G798" s="17"/>
    </row>
    <row r="799">
      <c r="A799" s="16" t="s">
        <v>1948</v>
      </c>
      <c r="B799" s="17"/>
      <c r="C799" s="16" t="s">
        <v>1865</v>
      </c>
      <c r="D799" s="16" t="s">
        <v>10</v>
      </c>
      <c r="E799" s="17"/>
      <c r="F799" s="17"/>
      <c r="G799" s="17"/>
    </row>
    <row r="800">
      <c r="A800" s="16" t="s">
        <v>1949</v>
      </c>
      <c r="B800" s="17"/>
      <c r="C800" s="16" t="s">
        <v>1866</v>
      </c>
      <c r="D800" s="16" t="s">
        <v>10</v>
      </c>
      <c r="E800" s="17"/>
      <c r="F800" s="17"/>
      <c r="G800" s="17"/>
    </row>
    <row r="801">
      <c r="A801" s="16" t="s">
        <v>1793</v>
      </c>
      <c r="B801" s="17"/>
      <c r="C801" s="16" t="s">
        <v>1794</v>
      </c>
      <c r="D801" s="16" t="s">
        <v>10</v>
      </c>
      <c r="E801" s="17"/>
      <c r="F801" s="17"/>
      <c r="G801" s="17"/>
    </row>
    <row r="802">
      <c r="A802" s="16" t="s">
        <v>1795</v>
      </c>
      <c r="B802" s="17"/>
      <c r="C802" s="16" t="s">
        <v>1796</v>
      </c>
      <c r="D802" s="16" t="s">
        <v>10</v>
      </c>
      <c r="E802" s="17"/>
      <c r="F802" s="17"/>
      <c r="G802" s="17"/>
    </row>
    <row r="803">
      <c r="A803" s="16" t="s">
        <v>1797</v>
      </c>
      <c r="B803" s="17"/>
      <c r="C803" s="16" t="s">
        <v>1798</v>
      </c>
      <c r="D803" s="16" t="s">
        <v>10</v>
      </c>
      <c r="E803" s="17"/>
      <c r="F803" s="17"/>
      <c r="G803" s="17"/>
    </row>
    <row r="804">
      <c r="A804" s="16" t="s">
        <v>1799</v>
      </c>
      <c r="B804" s="17"/>
      <c r="C804" s="16" t="s">
        <v>1800</v>
      </c>
      <c r="D804" s="16" t="s">
        <v>10</v>
      </c>
      <c r="E804" s="17"/>
      <c r="F804" s="17"/>
      <c r="G804" s="17"/>
    </row>
    <row r="805">
      <c r="A805" s="16" t="s">
        <v>1760</v>
      </c>
      <c r="B805" s="17"/>
      <c r="C805" s="16" t="s">
        <v>1761</v>
      </c>
      <c r="D805" s="16" t="s">
        <v>10</v>
      </c>
      <c r="E805" s="17"/>
      <c r="F805" s="17"/>
      <c r="G805" s="17"/>
    </row>
    <row r="806">
      <c r="A806" s="16" t="s">
        <v>1762</v>
      </c>
      <c r="B806" s="17"/>
      <c r="C806" s="16" t="s">
        <v>1763</v>
      </c>
      <c r="D806" s="16" t="s">
        <v>10</v>
      </c>
      <c r="E806" s="17"/>
      <c r="F806" s="17"/>
      <c r="G806" s="17"/>
    </row>
    <row r="807">
      <c r="A807" s="16" t="s">
        <v>1764</v>
      </c>
      <c r="B807" s="17"/>
      <c r="C807" s="16" t="s">
        <v>1765</v>
      </c>
      <c r="D807" s="16" t="s">
        <v>10</v>
      </c>
      <c r="E807" s="17"/>
      <c r="F807" s="17"/>
      <c r="G807" s="17"/>
    </row>
    <row r="808">
      <c r="A808" s="16" t="s">
        <v>1950</v>
      </c>
      <c r="B808" s="17"/>
      <c r="C808" s="16" t="s">
        <v>1867</v>
      </c>
      <c r="D808" s="16" t="s">
        <v>10</v>
      </c>
      <c r="E808" s="17"/>
      <c r="F808" s="17"/>
      <c r="G808" s="17"/>
    </row>
    <row r="809">
      <c r="A809" s="16" t="s">
        <v>1951</v>
      </c>
      <c r="B809" s="17"/>
      <c r="C809" s="16" t="s">
        <v>1868</v>
      </c>
      <c r="D809" s="16" t="s">
        <v>10</v>
      </c>
      <c r="E809" s="17"/>
      <c r="F809" s="17"/>
      <c r="G809" s="17"/>
    </row>
    <row r="810">
      <c r="A810" s="16" t="s">
        <v>1952</v>
      </c>
      <c r="B810" s="17"/>
      <c r="C810" s="16" t="s">
        <v>1869</v>
      </c>
      <c r="D810" s="16" t="s">
        <v>10</v>
      </c>
      <c r="E810" s="17"/>
      <c r="F810" s="17"/>
      <c r="G810" s="17"/>
    </row>
    <row r="811">
      <c r="A811" s="16" t="s">
        <v>1772</v>
      </c>
      <c r="B811" s="17"/>
      <c r="C811" s="16" t="s">
        <v>1773</v>
      </c>
      <c r="D811" s="16" t="s">
        <v>10</v>
      </c>
      <c r="E811" s="17"/>
      <c r="F811" s="17"/>
      <c r="G811" s="17"/>
    </row>
    <row r="812">
      <c r="A812" s="16" t="s">
        <v>1775</v>
      </c>
      <c r="B812" s="17"/>
      <c r="C812" s="16" t="s">
        <v>1776</v>
      </c>
      <c r="D812" s="16" t="s">
        <v>10</v>
      </c>
      <c r="E812" s="17"/>
      <c r="F812" s="17"/>
      <c r="G812" s="17"/>
    </row>
    <row r="813">
      <c r="A813" s="16" t="s">
        <v>1777</v>
      </c>
      <c r="B813" s="17"/>
      <c r="C813" s="16" t="s">
        <v>1778</v>
      </c>
      <c r="D813" s="16" t="s">
        <v>10</v>
      </c>
      <c r="E813" s="17"/>
      <c r="F813" s="17"/>
      <c r="G813" s="17"/>
    </row>
    <row r="814">
      <c r="A814" s="16" t="s">
        <v>1781</v>
      </c>
      <c r="B814" s="17"/>
      <c r="C814" s="16" t="s">
        <v>1782</v>
      </c>
      <c r="D814" s="16" t="s">
        <v>10</v>
      </c>
      <c r="E814" s="17"/>
      <c r="F814" s="17"/>
      <c r="G814" s="17"/>
    </row>
    <row r="815">
      <c r="A815" s="16" t="s">
        <v>1779</v>
      </c>
      <c r="B815" s="17"/>
      <c r="C815" s="16" t="s">
        <v>1780</v>
      </c>
      <c r="D815" s="16" t="s">
        <v>10</v>
      </c>
      <c r="E815" s="17"/>
      <c r="F815" s="17"/>
      <c r="G815" s="17"/>
    </row>
    <row r="816">
      <c r="A816" s="16" t="s">
        <v>1783</v>
      </c>
      <c r="B816" s="17"/>
      <c r="C816" s="16" t="s">
        <v>1784</v>
      </c>
      <c r="D816" s="16" t="s">
        <v>10</v>
      </c>
      <c r="E816" s="17"/>
      <c r="F816" s="17"/>
      <c r="G816" s="17"/>
    </row>
    <row r="817">
      <c r="A817" s="16" t="s">
        <v>1953</v>
      </c>
      <c r="B817" s="18">
        <v>6.0022519E7</v>
      </c>
      <c r="C817" s="16" t="s">
        <v>1954</v>
      </c>
      <c r="D817" s="16" t="s">
        <v>10</v>
      </c>
      <c r="E817" s="16" t="s">
        <v>1955</v>
      </c>
      <c r="F817" s="16" t="s">
        <v>12</v>
      </c>
      <c r="G817" s="16" t="s">
        <v>13</v>
      </c>
    </row>
    <row r="818">
      <c r="A818" s="6" t="s">
        <v>1956</v>
      </c>
      <c r="B818" s="6" t="s">
        <v>1957</v>
      </c>
      <c r="C818" s="6" t="s">
        <v>1048</v>
      </c>
      <c r="D818" s="6" t="s">
        <v>10</v>
      </c>
      <c r="E818" s="6" t="s">
        <v>93</v>
      </c>
      <c r="F818" s="6" t="s">
        <v>12</v>
      </c>
      <c r="G818" s="6" t="s">
        <v>13</v>
      </c>
    </row>
    <row r="819">
      <c r="A819" s="19" t="s">
        <v>1958</v>
      </c>
      <c r="B819" s="19" t="s">
        <v>1958</v>
      </c>
      <c r="C819" s="19" t="s">
        <v>1959</v>
      </c>
      <c r="D819" s="19" t="s">
        <v>1960</v>
      </c>
      <c r="E819" s="19" t="s">
        <v>1961</v>
      </c>
      <c r="F819" s="20" t="s">
        <v>1962</v>
      </c>
      <c r="G819" s="20" t="s">
        <v>13</v>
      </c>
    </row>
    <row r="820">
      <c r="A820" s="19" t="s">
        <v>1963</v>
      </c>
      <c r="B820" s="19" t="s">
        <v>1963</v>
      </c>
      <c r="C820" s="19" t="s">
        <v>1964</v>
      </c>
      <c r="D820" s="19" t="s">
        <v>1960</v>
      </c>
      <c r="E820" s="19" t="s">
        <v>1965</v>
      </c>
      <c r="F820" s="20" t="s">
        <v>1962</v>
      </c>
      <c r="G820" s="20" t="s">
        <v>13</v>
      </c>
    </row>
    <row r="821">
      <c r="A821" s="19" t="s">
        <v>1966</v>
      </c>
      <c r="B821" s="19" t="s">
        <v>1966</v>
      </c>
      <c r="C821" s="19" t="s">
        <v>1967</v>
      </c>
      <c r="D821" s="19" t="s">
        <v>1960</v>
      </c>
      <c r="E821" s="19" t="s">
        <v>1968</v>
      </c>
      <c r="F821" s="20" t="s">
        <v>1962</v>
      </c>
      <c r="G821" s="20" t="s">
        <v>13</v>
      </c>
    </row>
    <row r="822">
      <c r="A822" s="19" t="s">
        <v>1969</v>
      </c>
      <c r="B822" s="19" t="s">
        <v>1969</v>
      </c>
      <c r="C822" s="19" t="s">
        <v>1970</v>
      </c>
      <c r="D822" s="19" t="s">
        <v>1960</v>
      </c>
      <c r="E822" s="19" t="s">
        <v>1968</v>
      </c>
      <c r="F822" s="20" t="s">
        <v>1962</v>
      </c>
      <c r="G822" s="20" t="s">
        <v>13</v>
      </c>
    </row>
    <row r="823">
      <c r="A823" s="19" t="s">
        <v>1971</v>
      </c>
      <c r="B823" s="19" t="s">
        <v>1971</v>
      </c>
      <c r="C823" s="19" t="s">
        <v>1972</v>
      </c>
      <c r="D823" s="19" t="s">
        <v>1960</v>
      </c>
      <c r="E823" s="19" t="s">
        <v>1973</v>
      </c>
      <c r="F823" s="20" t="s">
        <v>1962</v>
      </c>
      <c r="G823" s="20" t="s">
        <v>79</v>
      </c>
    </row>
    <row r="824">
      <c r="A824" s="19">
        <v>2.130000387E9</v>
      </c>
      <c r="B824" s="19">
        <v>2.130000387E9</v>
      </c>
      <c r="C824" s="19" t="s">
        <v>1974</v>
      </c>
      <c r="D824" s="19" t="s">
        <v>1960</v>
      </c>
      <c r="E824" s="19" t="s">
        <v>1975</v>
      </c>
      <c r="F824" s="20" t="s">
        <v>1962</v>
      </c>
      <c r="G824" s="20" t="s">
        <v>36</v>
      </c>
    </row>
    <row r="825">
      <c r="A825" s="19" t="s">
        <v>1976</v>
      </c>
      <c r="B825" s="19" t="s">
        <v>1976</v>
      </c>
      <c r="C825" s="19" t="s">
        <v>1977</v>
      </c>
      <c r="D825" s="19" t="s">
        <v>1960</v>
      </c>
      <c r="E825" s="19" t="s">
        <v>1978</v>
      </c>
      <c r="F825" s="20" t="s">
        <v>1962</v>
      </c>
      <c r="G825" s="20" t="s">
        <v>36</v>
      </c>
    </row>
    <row r="826">
      <c r="A826" s="19" t="s">
        <v>1979</v>
      </c>
      <c r="B826" s="19" t="s">
        <v>1979</v>
      </c>
      <c r="C826" s="19" t="s">
        <v>1980</v>
      </c>
      <c r="D826" s="19" t="s">
        <v>1960</v>
      </c>
      <c r="E826" s="19" t="s">
        <v>1978</v>
      </c>
      <c r="F826" s="20" t="s">
        <v>1962</v>
      </c>
      <c r="G826" s="20" t="s">
        <v>36</v>
      </c>
    </row>
    <row r="827">
      <c r="A827" s="19" t="s">
        <v>1981</v>
      </c>
      <c r="B827" s="19" t="s">
        <v>1981</v>
      </c>
      <c r="C827" s="19">
        <v>4.00558042E9</v>
      </c>
      <c r="D827" s="19" t="s">
        <v>1960</v>
      </c>
      <c r="E827" s="19" t="s">
        <v>1982</v>
      </c>
      <c r="F827" s="20" t="s">
        <v>1962</v>
      </c>
      <c r="G827" s="20" t="s">
        <v>1983</v>
      </c>
    </row>
    <row r="828">
      <c r="A828" s="19" t="s">
        <v>1984</v>
      </c>
      <c r="B828" s="19" t="s">
        <v>1984</v>
      </c>
      <c r="C828" s="19" t="s">
        <v>1985</v>
      </c>
      <c r="D828" s="19" t="s">
        <v>1960</v>
      </c>
      <c r="E828" s="19" t="s">
        <v>1986</v>
      </c>
      <c r="F828" s="20" t="s">
        <v>1962</v>
      </c>
      <c r="G828" s="20" t="s">
        <v>13</v>
      </c>
    </row>
    <row r="829">
      <c r="A829" s="19" t="s">
        <v>1987</v>
      </c>
      <c r="B829" s="19" t="s">
        <v>1987</v>
      </c>
      <c r="C829" s="19" t="s">
        <v>1988</v>
      </c>
      <c r="D829" s="19" t="s">
        <v>1960</v>
      </c>
      <c r="E829" s="19" t="s">
        <v>1986</v>
      </c>
      <c r="F829" s="20" t="s">
        <v>1962</v>
      </c>
      <c r="G829" s="20" t="s">
        <v>13</v>
      </c>
    </row>
    <row r="830">
      <c r="A830" s="19" t="s">
        <v>1989</v>
      </c>
      <c r="B830" s="19" t="s">
        <v>1989</v>
      </c>
      <c r="C830" s="19" t="s">
        <v>1990</v>
      </c>
      <c r="D830" s="19" t="s">
        <v>1960</v>
      </c>
      <c r="E830" s="19" t="s">
        <v>1965</v>
      </c>
      <c r="F830" s="20" t="s">
        <v>1962</v>
      </c>
      <c r="G830" s="20" t="s">
        <v>13</v>
      </c>
    </row>
    <row r="831">
      <c r="A831" s="19" t="s">
        <v>1991</v>
      </c>
      <c r="B831" s="19" t="s">
        <v>1991</v>
      </c>
      <c r="C831" s="19" t="s">
        <v>1992</v>
      </c>
      <c r="D831" s="19" t="s">
        <v>1960</v>
      </c>
      <c r="E831" s="19" t="s">
        <v>1993</v>
      </c>
      <c r="F831" s="20" t="s">
        <v>1962</v>
      </c>
      <c r="G831" s="20" t="s">
        <v>13</v>
      </c>
    </row>
    <row r="832">
      <c r="A832" s="19" t="s">
        <v>1994</v>
      </c>
      <c r="B832" s="19" t="s">
        <v>1994</v>
      </c>
      <c r="C832" s="19" t="s">
        <v>1995</v>
      </c>
      <c r="D832" s="19" t="s">
        <v>1960</v>
      </c>
      <c r="E832" s="19" t="s">
        <v>1996</v>
      </c>
      <c r="F832" s="20" t="s">
        <v>1962</v>
      </c>
      <c r="G832" s="20" t="s">
        <v>1997</v>
      </c>
    </row>
    <row r="833">
      <c r="A833" s="19" t="s">
        <v>1998</v>
      </c>
      <c r="B833" s="19" t="s">
        <v>1998</v>
      </c>
      <c r="C833" s="19" t="s">
        <v>1999</v>
      </c>
      <c r="D833" s="19" t="s">
        <v>1960</v>
      </c>
      <c r="E833" s="19" t="s">
        <v>1996</v>
      </c>
      <c r="F833" s="20" t="s">
        <v>1962</v>
      </c>
      <c r="G833" s="20" t="s">
        <v>1997</v>
      </c>
    </row>
    <row r="834">
      <c r="A834" s="19" t="s">
        <v>2000</v>
      </c>
      <c r="B834" s="19" t="s">
        <v>2000</v>
      </c>
      <c r="C834" s="19" t="s">
        <v>2001</v>
      </c>
      <c r="D834" s="19" t="s">
        <v>1960</v>
      </c>
      <c r="E834" s="19" t="s">
        <v>1996</v>
      </c>
      <c r="F834" s="20" t="s">
        <v>1962</v>
      </c>
      <c r="G834" s="20" t="s">
        <v>1997</v>
      </c>
    </row>
    <row r="835">
      <c r="A835" s="19" t="s">
        <v>2002</v>
      </c>
      <c r="B835" s="19" t="s">
        <v>2002</v>
      </c>
      <c r="C835" s="19" t="s">
        <v>2003</v>
      </c>
      <c r="D835" s="19" t="s">
        <v>1960</v>
      </c>
      <c r="E835" s="19" t="s">
        <v>1996</v>
      </c>
      <c r="F835" s="20" t="s">
        <v>1962</v>
      </c>
      <c r="G835" s="20" t="s">
        <v>1997</v>
      </c>
    </row>
    <row r="836">
      <c r="A836" s="19" t="s">
        <v>2004</v>
      </c>
      <c r="B836" s="19" t="s">
        <v>2004</v>
      </c>
      <c r="C836" s="19" t="s">
        <v>2005</v>
      </c>
      <c r="D836" s="19" t="s">
        <v>1960</v>
      </c>
      <c r="E836" s="19" t="s">
        <v>2006</v>
      </c>
      <c r="F836" s="20" t="s">
        <v>1962</v>
      </c>
      <c r="G836" s="20" t="s">
        <v>36</v>
      </c>
    </row>
    <row r="837">
      <c r="A837" s="19" t="s">
        <v>2007</v>
      </c>
      <c r="B837" s="19" t="s">
        <v>2007</v>
      </c>
      <c r="C837" s="19" t="s">
        <v>2008</v>
      </c>
      <c r="D837" s="19" t="s">
        <v>1960</v>
      </c>
      <c r="E837" s="19" t="s">
        <v>1993</v>
      </c>
      <c r="F837" s="20" t="s">
        <v>1962</v>
      </c>
      <c r="G837" s="20" t="s">
        <v>13</v>
      </c>
    </row>
    <row r="838">
      <c r="A838" s="19" t="s">
        <v>2009</v>
      </c>
      <c r="B838" s="19" t="s">
        <v>2009</v>
      </c>
      <c r="C838" s="19" t="s">
        <v>2010</v>
      </c>
      <c r="D838" s="19" t="s">
        <v>1960</v>
      </c>
      <c r="E838" s="19" t="s">
        <v>1968</v>
      </c>
      <c r="F838" s="20" t="s">
        <v>1962</v>
      </c>
      <c r="G838" s="20" t="s">
        <v>13</v>
      </c>
    </row>
    <row r="839">
      <c r="A839" s="19" t="s">
        <v>2011</v>
      </c>
      <c r="B839" s="19" t="s">
        <v>2011</v>
      </c>
      <c r="C839" s="19" t="s">
        <v>2012</v>
      </c>
      <c r="D839" s="19" t="s">
        <v>1960</v>
      </c>
      <c r="E839" s="19" t="s">
        <v>1968</v>
      </c>
      <c r="F839" s="20" t="s">
        <v>1962</v>
      </c>
      <c r="G839" s="20" t="s">
        <v>13</v>
      </c>
    </row>
    <row r="840">
      <c r="A840" s="19" t="s">
        <v>2013</v>
      </c>
      <c r="B840" s="19" t="s">
        <v>2013</v>
      </c>
      <c r="C840" s="19" t="s">
        <v>2014</v>
      </c>
      <c r="D840" s="19" t="s">
        <v>1960</v>
      </c>
      <c r="E840" s="19" t="s">
        <v>2015</v>
      </c>
      <c r="F840" s="20" t="s">
        <v>1962</v>
      </c>
      <c r="G840" s="20" t="s">
        <v>36</v>
      </c>
    </row>
    <row r="841">
      <c r="A841" s="21" t="s">
        <v>2016</v>
      </c>
      <c r="B841" s="21" t="s">
        <v>2016</v>
      </c>
      <c r="C841" s="22"/>
      <c r="D841" s="21" t="s">
        <v>1960</v>
      </c>
      <c r="E841" s="21" t="s">
        <v>2017</v>
      </c>
      <c r="F841" s="6" t="s">
        <v>1962</v>
      </c>
      <c r="G841" s="21" t="s">
        <v>79</v>
      </c>
    </row>
    <row r="842">
      <c r="A842" s="23" t="s">
        <v>2018</v>
      </c>
      <c r="B842" s="23" t="s">
        <v>2018</v>
      </c>
      <c r="C842" s="23" t="s">
        <v>2019</v>
      </c>
      <c r="D842" s="23" t="s">
        <v>1960</v>
      </c>
      <c r="E842" s="23" t="s">
        <v>2020</v>
      </c>
      <c r="F842" s="24" t="s">
        <v>1962</v>
      </c>
      <c r="G842" s="24" t="s">
        <v>79</v>
      </c>
    </row>
    <row r="843">
      <c r="A843" s="23" t="s">
        <v>2021</v>
      </c>
      <c r="B843" s="23" t="s">
        <v>2022</v>
      </c>
      <c r="C843" s="23" t="s">
        <v>2023</v>
      </c>
      <c r="D843" s="23" t="s">
        <v>1960</v>
      </c>
      <c r="E843" s="23" t="s">
        <v>2024</v>
      </c>
      <c r="F843" s="24" t="s">
        <v>1962</v>
      </c>
      <c r="G843" s="24" t="s">
        <v>79</v>
      </c>
    </row>
    <row r="844">
      <c r="A844" s="23" t="s">
        <v>2025</v>
      </c>
      <c r="B844" s="23" t="s">
        <v>2025</v>
      </c>
      <c r="C844" s="23" t="s">
        <v>2026</v>
      </c>
      <c r="D844" s="23" t="s">
        <v>1960</v>
      </c>
      <c r="E844" s="25" t="s">
        <v>2020</v>
      </c>
      <c r="F844" s="24" t="s">
        <v>1962</v>
      </c>
      <c r="G844" s="24" t="s">
        <v>79</v>
      </c>
    </row>
    <row r="845">
      <c r="A845" s="23" t="s">
        <v>2027</v>
      </c>
      <c r="B845" s="23" t="s">
        <v>2027</v>
      </c>
      <c r="C845" s="23" t="e">
        <v>#N/A</v>
      </c>
      <c r="D845" s="23" t="s">
        <v>1960</v>
      </c>
      <c r="E845" s="23" t="s">
        <v>1973</v>
      </c>
      <c r="F845" s="24" t="s">
        <v>1962</v>
      </c>
      <c r="G845" s="24" t="s">
        <v>79</v>
      </c>
    </row>
    <row r="846">
      <c r="A846" s="23" t="s">
        <v>2028</v>
      </c>
      <c r="B846" s="26" t="s">
        <v>2028</v>
      </c>
      <c r="C846" s="23" t="e">
        <v>#N/A</v>
      </c>
      <c r="D846" s="23" t="s">
        <v>1960</v>
      </c>
      <c r="E846" s="23" t="s">
        <v>1973</v>
      </c>
      <c r="F846" s="24" t="s">
        <v>1962</v>
      </c>
      <c r="G846" s="24" t="s">
        <v>79</v>
      </c>
    </row>
    <row r="847">
      <c r="A847" s="23" t="s">
        <v>2029</v>
      </c>
      <c r="B847" s="23" t="s">
        <v>2029</v>
      </c>
      <c r="C847" s="23" t="s">
        <v>2030</v>
      </c>
      <c r="D847" s="23" t="s">
        <v>1960</v>
      </c>
      <c r="E847" s="25" t="s">
        <v>2020</v>
      </c>
      <c r="F847" s="24" t="s">
        <v>1962</v>
      </c>
      <c r="G847" s="24" t="s">
        <v>79</v>
      </c>
    </row>
    <row r="848">
      <c r="A848" s="23" t="s">
        <v>2031</v>
      </c>
      <c r="B848" s="23" t="s">
        <v>2031</v>
      </c>
      <c r="C848" s="23" t="e">
        <v>#N/A</v>
      </c>
      <c r="D848" s="23" t="s">
        <v>1960</v>
      </c>
      <c r="E848" s="23" t="s">
        <v>1968</v>
      </c>
      <c r="F848" s="24" t="s">
        <v>1962</v>
      </c>
      <c r="G848" s="24" t="s">
        <v>13</v>
      </c>
    </row>
    <row r="849">
      <c r="A849" s="23" t="s">
        <v>2032</v>
      </c>
      <c r="B849" s="23" t="s">
        <v>2032</v>
      </c>
      <c r="C849" s="23" t="e">
        <v>#N/A</v>
      </c>
      <c r="D849" s="23" t="s">
        <v>1960</v>
      </c>
      <c r="E849" s="23" t="s">
        <v>1986</v>
      </c>
      <c r="F849" s="24" t="s">
        <v>1962</v>
      </c>
      <c r="G849" s="24" t="s">
        <v>13</v>
      </c>
    </row>
    <row r="850">
      <c r="A850" s="23" t="s">
        <v>2033</v>
      </c>
      <c r="B850" s="26" t="s">
        <v>2033</v>
      </c>
      <c r="C850" s="23" t="e">
        <v>#N/A</v>
      </c>
      <c r="D850" s="23" t="s">
        <v>1960</v>
      </c>
      <c r="E850" s="23" t="s">
        <v>2034</v>
      </c>
      <c r="F850" s="24" t="s">
        <v>1962</v>
      </c>
      <c r="G850" s="24" t="s">
        <v>13</v>
      </c>
    </row>
    <row r="851">
      <c r="A851" s="23" t="s">
        <v>2035</v>
      </c>
      <c r="B851" s="23" t="s">
        <v>2035</v>
      </c>
      <c r="C851" s="23" t="e">
        <v>#N/A</v>
      </c>
      <c r="D851" s="23" t="s">
        <v>1960</v>
      </c>
      <c r="E851" s="23" t="s">
        <v>2034</v>
      </c>
      <c r="F851" s="24" t="s">
        <v>1962</v>
      </c>
      <c r="G851" s="24" t="s">
        <v>13</v>
      </c>
    </row>
    <row r="852">
      <c r="A852" s="23" t="s">
        <v>2036</v>
      </c>
      <c r="B852" s="23" t="s">
        <v>2036</v>
      </c>
      <c r="C852" s="23" t="e">
        <v>#N/A</v>
      </c>
      <c r="D852" s="23" t="s">
        <v>1960</v>
      </c>
      <c r="E852" s="23" t="s">
        <v>1968</v>
      </c>
      <c r="F852" s="24" t="s">
        <v>1962</v>
      </c>
      <c r="G852" s="24" t="s">
        <v>13</v>
      </c>
    </row>
    <row r="853">
      <c r="A853" s="23" t="s">
        <v>2037</v>
      </c>
      <c r="B853" s="23" t="s">
        <v>2037</v>
      </c>
      <c r="C853" s="23" t="s">
        <v>2038</v>
      </c>
      <c r="D853" s="23" t="s">
        <v>1960</v>
      </c>
      <c r="E853" s="23" t="s">
        <v>2024</v>
      </c>
      <c r="F853" s="24" t="s">
        <v>1962</v>
      </c>
      <c r="G853" s="24" t="s">
        <v>79</v>
      </c>
    </row>
    <row r="854">
      <c r="A854" s="23" t="s">
        <v>2039</v>
      </c>
      <c r="B854" s="23" t="s">
        <v>2039</v>
      </c>
      <c r="C854" s="23" t="s">
        <v>2040</v>
      </c>
      <c r="D854" s="23" t="s">
        <v>1960</v>
      </c>
      <c r="E854" s="23" t="s">
        <v>2020</v>
      </c>
      <c r="F854" s="24" t="s">
        <v>1962</v>
      </c>
      <c r="G854" s="24" t="s">
        <v>79</v>
      </c>
    </row>
    <row r="855">
      <c r="A855" s="23" t="s">
        <v>2041</v>
      </c>
      <c r="B855" s="23" t="s">
        <v>2041</v>
      </c>
      <c r="C855" s="23" t="e">
        <v>#N/A</v>
      </c>
      <c r="D855" s="23" t="s">
        <v>1960</v>
      </c>
      <c r="E855" s="23" t="s">
        <v>1973</v>
      </c>
      <c r="F855" s="24" t="s">
        <v>1962</v>
      </c>
      <c r="G855" s="24" t="s">
        <v>79</v>
      </c>
    </row>
    <row r="856">
      <c r="A856" s="23" t="s">
        <v>2042</v>
      </c>
      <c r="B856" s="23" t="s">
        <v>2042</v>
      </c>
      <c r="C856" s="23" t="s">
        <v>2043</v>
      </c>
      <c r="D856" s="23" t="s">
        <v>1960</v>
      </c>
      <c r="E856" s="23" t="s">
        <v>1973</v>
      </c>
      <c r="F856" s="24" t="s">
        <v>1962</v>
      </c>
      <c r="G856" s="24" t="s">
        <v>79</v>
      </c>
    </row>
    <row r="857">
      <c r="A857" s="23" t="s">
        <v>2044</v>
      </c>
      <c r="B857" s="23" t="s">
        <v>2044</v>
      </c>
      <c r="C857" s="23" t="s">
        <v>2045</v>
      </c>
      <c r="D857" s="23" t="s">
        <v>1960</v>
      </c>
      <c r="E857" s="23" t="s">
        <v>2020</v>
      </c>
      <c r="F857" s="24" t="s">
        <v>1962</v>
      </c>
      <c r="G857" s="24" t="s">
        <v>79</v>
      </c>
    </row>
    <row r="858">
      <c r="A858" s="23" t="s">
        <v>2046</v>
      </c>
      <c r="B858" s="23" t="s">
        <v>2046</v>
      </c>
      <c r="C858" s="23" t="e">
        <v>#N/A</v>
      </c>
      <c r="D858" s="23" t="s">
        <v>1960</v>
      </c>
      <c r="E858" s="23" t="s">
        <v>2020</v>
      </c>
      <c r="F858" s="24" t="s">
        <v>1962</v>
      </c>
      <c r="G858" s="24" t="s">
        <v>79</v>
      </c>
    </row>
    <row r="859">
      <c r="A859" s="23" t="s">
        <v>2047</v>
      </c>
      <c r="B859" s="23" t="s">
        <v>2047</v>
      </c>
      <c r="C859" s="23" t="e">
        <v>#N/A</v>
      </c>
      <c r="D859" s="23" t="s">
        <v>1960</v>
      </c>
      <c r="E859" s="23" t="s">
        <v>1973</v>
      </c>
      <c r="F859" s="24" t="s">
        <v>1962</v>
      </c>
      <c r="G859" s="24" t="s">
        <v>79</v>
      </c>
    </row>
    <row r="860">
      <c r="A860" s="23" t="s">
        <v>2048</v>
      </c>
      <c r="B860" s="23" t="s">
        <v>2048</v>
      </c>
      <c r="C860" s="23" t="e">
        <v>#N/A</v>
      </c>
      <c r="D860" s="23" t="s">
        <v>1960</v>
      </c>
      <c r="E860" s="23" t="s">
        <v>1973</v>
      </c>
      <c r="F860" s="24" t="s">
        <v>1962</v>
      </c>
      <c r="G860" s="24" t="s">
        <v>79</v>
      </c>
    </row>
    <row r="861">
      <c r="A861" s="23" t="s">
        <v>2049</v>
      </c>
      <c r="B861" s="23" t="s">
        <v>2049</v>
      </c>
      <c r="C861" s="23" t="s">
        <v>2050</v>
      </c>
      <c r="D861" s="23" t="s">
        <v>1960</v>
      </c>
      <c r="E861" s="25" t="s">
        <v>2051</v>
      </c>
      <c r="F861" s="24" t="s">
        <v>1962</v>
      </c>
      <c r="G861" s="24" t="s">
        <v>79</v>
      </c>
    </row>
    <row r="862">
      <c r="A862" s="23" t="s">
        <v>2052</v>
      </c>
      <c r="B862" s="23" t="s">
        <v>2052</v>
      </c>
      <c r="C862" s="23" t="e">
        <v>#N/A</v>
      </c>
      <c r="D862" s="23" t="s">
        <v>1960</v>
      </c>
      <c r="E862" s="25" t="s">
        <v>2053</v>
      </c>
      <c r="F862" s="24" t="s">
        <v>1962</v>
      </c>
      <c r="G862" s="24" t="s">
        <v>2054</v>
      </c>
    </row>
    <row r="863">
      <c r="A863" s="23" t="s">
        <v>2055</v>
      </c>
      <c r="B863" s="23" t="s">
        <v>2055</v>
      </c>
      <c r="C863" s="23" t="e">
        <v>#N/A</v>
      </c>
      <c r="D863" s="23" t="s">
        <v>1960</v>
      </c>
      <c r="E863" s="25" t="s">
        <v>2056</v>
      </c>
      <c r="F863" s="24" t="s">
        <v>1962</v>
      </c>
      <c r="G863" s="24" t="s">
        <v>2054</v>
      </c>
    </row>
    <row r="864">
      <c r="A864" s="23" t="s">
        <v>2057</v>
      </c>
      <c r="B864" s="23" t="s">
        <v>2057</v>
      </c>
      <c r="C864" s="23" t="s">
        <v>2058</v>
      </c>
      <c r="D864" s="23" t="s">
        <v>1960</v>
      </c>
      <c r="E864" s="25" t="s">
        <v>2020</v>
      </c>
      <c r="F864" s="24" t="s">
        <v>1962</v>
      </c>
      <c r="G864" s="24" t="s">
        <v>79</v>
      </c>
    </row>
    <row r="865">
      <c r="A865" s="23" t="s">
        <v>2059</v>
      </c>
      <c r="B865" s="23" t="s">
        <v>2059</v>
      </c>
      <c r="C865" s="23" t="e">
        <v>#N/A</v>
      </c>
      <c r="D865" s="23" t="s">
        <v>1960</v>
      </c>
      <c r="E865" s="23" t="s">
        <v>2060</v>
      </c>
      <c r="F865" s="24" t="s">
        <v>1962</v>
      </c>
      <c r="G865" s="24" t="s">
        <v>13</v>
      </c>
    </row>
    <row r="866">
      <c r="A866" s="23" t="s">
        <v>2061</v>
      </c>
      <c r="B866" s="23" t="s">
        <v>2061</v>
      </c>
      <c r="C866" s="23" t="e">
        <v>#N/A</v>
      </c>
      <c r="D866" s="23" t="s">
        <v>1960</v>
      </c>
      <c r="E866" s="23" t="s">
        <v>1973</v>
      </c>
      <c r="F866" s="24" t="s">
        <v>1962</v>
      </c>
      <c r="G866" s="24" t="s">
        <v>79</v>
      </c>
    </row>
    <row r="867">
      <c r="A867" s="23" t="s">
        <v>2062</v>
      </c>
      <c r="B867" s="23" t="s">
        <v>2062</v>
      </c>
      <c r="C867" s="23" t="e">
        <v>#N/A</v>
      </c>
      <c r="D867" s="23" t="s">
        <v>1960</v>
      </c>
      <c r="E867" s="23" t="s">
        <v>2053</v>
      </c>
      <c r="F867" s="24" t="s">
        <v>1962</v>
      </c>
      <c r="G867" s="24" t="s">
        <v>13</v>
      </c>
    </row>
    <row r="868">
      <c r="A868" s="23" t="s">
        <v>2063</v>
      </c>
      <c r="B868" s="23" t="s">
        <v>2063</v>
      </c>
      <c r="C868" s="23" t="e">
        <v>#N/A</v>
      </c>
      <c r="D868" s="23" t="s">
        <v>1960</v>
      </c>
      <c r="E868" s="23" t="s">
        <v>2056</v>
      </c>
      <c r="F868" s="24" t="s">
        <v>1962</v>
      </c>
      <c r="G868" s="24" t="s">
        <v>13</v>
      </c>
    </row>
    <row r="869">
      <c r="A869" s="23" t="s">
        <v>2064</v>
      </c>
      <c r="B869" s="23" t="s">
        <v>2064</v>
      </c>
      <c r="C869" s="23" t="e">
        <v>#N/A</v>
      </c>
      <c r="D869" s="23" t="s">
        <v>1960</v>
      </c>
      <c r="E869" s="23" t="s">
        <v>1973</v>
      </c>
      <c r="F869" s="24" t="s">
        <v>2065</v>
      </c>
      <c r="G869" s="24" t="s">
        <v>79</v>
      </c>
    </row>
    <row r="870">
      <c r="A870" s="23" t="s">
        <v>2066</v>
      </c>
      <c r="B870" s="23" t="s">
        <v>2067</v>
      </c>
      <c r="C870" s="23" t="s">
        <v>2068</v>
      </c>
      <c r="D870" s="23" t="s">
        <v>1960</v>
      </c>
      <c r="E870" s="23" t="s">
        <v>1973</v>
      </c>
      <c r="F870" s="24" t="s">
        <v>1962</v>
      </c>
      <c r="G870" s="24" t="s">
        <v>79</v>
      </c>
    </row>
    <row r="871">
      <c r="A871" s="23" t="s">
        <v>2069</v>
      </c>
      <c r="B871" s="23" t="s">
        <v>2067</v>
      </c>
      <c r="C871" s="23" t="s">
        <v>2070</v>
      </c>
      <c r="D871" s="23" t="s">
        <v>1960</v>
      </c>
      <c r="E871" s="23" t="s">
        <v>1973</v>
      </c>
      <c r="F871" s="24" t="s">
        <v>1962</v>
      </c>
      <c r="G871" s="24" t="s">
        <v>79</v>
      </c>
    </row>
    <row r="872">
      <c r="A872" s="23" t="s">
        <v>2071</v>
      </c>
      <c r="B872" s="23" t="s">
        <v>2071</v>
      </c>
      <c r="C872" s="23" t="e">
        <v>#N/A</v>
      </c>
      <c r="D872" s="23" t="s">
        <v>1960</v>
      </c>
      <c r="E872" s="23" t="s">
        <v>2072</v>
      </c>
      <c r="F872" s="24" t="s">
        <v>1962</v>
      </c>
      <c r="G872" s="24" t="s">
        <v>79</v>
      </c>
    </row>
    <row r="873">
      <c r="A873" s="23" t="s">
        <v>2073</v>
      </c>
      <c r="B873" s="23" t="s">
        <v>2073</v>
      </c>
      <c r="C873" s="23" t="s">
        <v>2074</v>
      </c>
      <c r="D873" s="23" t="s">
        <v>1960</v>
      </c>
      <c r="E873" s="23" t="s">
        <v>2020</v>
      </c>
      <c r="F873" s="24" t="s">
        <v>1962</v>
      </c>
      <c r="G873" s="24" t="s">
        <v>79</v>
      </c>
    </row>
    <row r="874">
      <c r="A874" s="23" t="s">
        <v>2075</v>
      </c>
      <c r="B874" s="23" t="s">
        <v>2075</v>
      </c>
      <c r="C874" s="23" t="e">
        <v>#N/A</v>
      </c>
      <c r="D874" s="23" t="s">
        <v>1960</v>
      </c>
      <c r="E874" s="23" t="s">
        <v>1973</v>
      </c>
      <c r="F874" s="24" t="s">
        <v>2076</v>
      </c>
      <c r="G874" s="24" t="s">
        <v>79</v>
      </c>
    </row>
    <row r="875">
      <c r="A875" s="23" t="s">
        <v>2077</v>
      </c>
      <c r="B875" s="23" t="s">
        <v>2077</v>
      </c>
      <c r="C875" s="23" t="s">
        <v>2078</v>
      </c>
      <c r="D875" s="23" t="s">
        <v>1960</v>
      </c>
      <c r="E875" s="23" t="s">
        <v>2024</v>
      </c>
      <c r="F875" s="24" t="s">
        <v>2076</v>
      </c>
      <c r="G875" s="24" t="s">
        <v>79</v>
      </c>
    </row>
    <row r="876">
      <c r="A876" s="23" t="s">
        <v>2079</v>
      </c>
      <c r="B876" s="23" t="s">
        <v>2079</v>
      </c>
      <c r="C876" s="23" t="e">
        <v>#N/A</v>
      </c>
      <c r="D876" s="23" t="s">
        <v>1960</v>
      </c>
      <c r="E876" s="25" t="s">
        <v>2056</v>
      </c>
      <c r="F876" s="24" t="s">
        <v>2076</v>
      </c>
      <c r="G876" s="24" t="s">
        <v>2054</v>
      </c>
    </row>
    <row r="877">
      <c r="A877" s="23" t="s">
        <v>2080</v>
      </c>
      <c r="B877" s="23" t="s">
        <v>2080</v>
      </c>
      <c r="C877" s="23" t="e">
        <v>#N/A</v>
      </c>
      <c r="D877" s="23" t="s">
        <v>1960</v>
      </c>
      <c r="E877" s="23" t="s">
        <v>1973</v>
      </c>
      <c r="F877" s="24" t="s">
        <v>2076</v>
      </c>
      <c r="G877" s="24" t="s">
        <v>79</v>
      </c>
    </row>
    <row r="878">
      <c r="A878" s="23" t="s">
        <v>2081</v>
      </c>
      <c r="B878" s="23" t="s">
        <v>2081</v>
      </c>
      <c r="C878" s="23" t="e">
        <v>#N/A</v>
      </c>
      <c r="D878" s="23" t="s">
        <v>1960</v>
      </c>
      <c r="E878" s="23" t="s">
        <v>2082</v>
      </c>
      <c r="F878" s="24" t="s">
        <v>1962</v>
      </c>
      <c r="G878" s="24" t="s">
        <v>13</v>
      </c>
    </row>
    <row r="879">
      <c r="A879" s="23" t="s">
        <v>2083</v>
      </c>
      <c r="B879" s="23" t="s">
        <v>2083</v>
      </c>
      <c r="C879" s="23" t="e">
        <v>#N/A</v>
      </c>
      <c r="D879" s="23" t="s">
        <v>1960</v>
      </c>
      <c r="E879" s="23" t="s">
        <v>2084</v>
      </c>
      <c r="F879" s="24" t="s">
        <v>2076</v>
      </c>
      <c r="G879" s="24" t="s">
        <v>2085</v>
      </c>
    </row>
    <row r="880">
      <c r="A880" s="23" t="s">
        <v>2086</v>
      </c>
      <c r="B880" s="23" t="s">
        <v>2086</v>
      </c>
      <c r="C880" s="23" t="e">
        <v>#N/A</v>
      </c>
      <c r="D880" s="23" t="s">
        <v>1960</v>
      </c>
      <c r="E880" s="23" t="s">
        <v>2087</v>
      </c>
      <c r="F880" s="24" t="s">
        <v>2076</v>
      </c>
      <c r="G880" s="24" t="s">
        <v>13</v>
      </c>
    </row>
    <row r="881">
      <c r="A881" s="23" t="s">
        <v>2088</v>
      </c>
      <c r="B881" s="23" t="s">
        <v>2088</v>
      </c>
      <c r="C881" s="23" t="s">
        <v>2089</v>
      </c>
      <c r="D881" s="23" t="s">
        <v>1960</v>
      </c>
      <c r="E881" s="23" t="s">
        <v>2090</v>
      </c>
      <c r="F881" s="24" t="s">
        <v>1962</v>
      </c>
      <c r="G881" s="24" t="s">
        <v>79</v>
      </c>
    </row>
    <row r="882">
      <c r="A882" s="23" t="s">
        <v>2091</v>
      </c>
      <c r="B882" s="23" t="s">
        <v>2091</v>
      </c>
      <c r="C882" s="23" t="s">
        <v>2092</v>
      </c>
      <c r="D882" s="23" t="s">
        <v>1960</v>
      </c>
      <c r="E882" s="23" t="s">
        <v>2024</v>
      </c>
      <c r="F882" s="24" t="s">
        <v>1962</v>
      </c>
      <c r="G882" s="24" t="s">
        <v>79</v>
      </c>
    </row>
    <row r="883">
      <c r="A883" s="27" t="s">
        <v>2093</v>
      </c>
      <c r="B883" s="27" t="s">
        <v>2093</v>
      </c>
      <c r="C883" s="27" t="s">
        <v>2094</v>
      </c>
      <c r="D883" s="27" t="s">
        <v>1960</v>
      </c>
      <c r="E883" s="27" t="s">
        <v>2095</v>
      </c>
      <c r="F883" s="5" t="s">
        <v>2076</v>
      </c>
      <c r="G883" s="5" t="s">
        <v>79</v>
      </c>
    </row>
    <row r="884">
      <c r="A884" s="23" t="s">
        <v>2096</v>
      </c>
      <c r="B884" s="23" t="s">
        <v>2096</v>
      </c>
      <c r="C884" s="23" t="e">
        <v>#N/A</v>
      </c>
      <c r="D884" s="23" t="s">
        <v>1960</v>
      </c>
      <c r="E884" s="23" t="s">
        <v>1973</v>
      </c>
      <c r="F884" s="24" t="s">
        <v>1962</v>
      </c>
      <c r="G884" s="24" t="s">
        <v>79</v>
      </c>
    </row>
    <row r="885">
      <c r="A885" s="23" t="s">
        <v>2097</v>
      </c>
      <c r="B885" s="23" t="s">
        <v>2098</v>
      </c>
      <c r="C885" s="23" t="s">
        <v>2099</v>
      </c>
      <c r="D885" s="23" t="s">
        <v>1960</v>
      </c>
      <c r="E885" s="23" t="s">
        <v>2100</v>
      </c>
      <c r="F885" s="24" t="s">
        <v>2076</v>
      </c>
      <c r="G885" s="28"/>
    </row>
    <row r="886">
      <c r="A886" s="23" t="s">
        <v>2101</v>
      </c>
      <c r="B886" s="23" t="s">
        <v>2102</v>
      </c>
      <c r="C886" s="23" t="s">
        <v>2103</v>
      </c>
      <c r="D886" s="23" t="s">
        <v>1960</v>
      </c>
      <c r="E886" s="23" t="s">
        <v>2020</v>
      </c>
      <c r="F886" s="24" t="s">
        <v>2104</v>
      </c>
      <c r="G886" s="24" t="s">
        <v>79</v>
      </c>
    </row>
    <row r="887">
      <c r="A887" s="23" t="s">
        <v>2105</v>
      </c>
      <c r="B887" s="23" t="s">
        <v>2106</v>
      </c>
      <c r="C887" s="23" t="s">
        <v>2107</v>
      </c>
      <c r="D887" s="23" t="s">
        <v>1960</v>
      </c>
      <c r="E887" s="23" t="s">
        <v>2024</v>
      </c>
      <c r="F887" s="24" t="s">
        <v>1962</v>
      </c>
      <c r="G887" s="24" t="s">
        <v>79</v>
      </c>
    </row>
    <row r="888">
      <c r="A888" s="23" t="s">
        <v>2108</v>
      </c>
      <c r="B888" s="23">
        <v>3.13000144E9</v>
      </c>
      <c r="C888" s="23" t="s">
        <v>2109</v>
      </c>
      <c r="D888" s="23" t="s">
        <v>2110</v>
      </c>
      <c r="E888" s="23" t="s">
        <v>2111</v>
      </c>
      <c r="F888" s="24" t="s">
        <v>2112</v>
      </c>
      <c r="G888" s="24" t="s">
        <v>2085</v>
      </c>
    </row>
    <row r="889">
      <c r="A889" s="23" t="s">
        <v>2113</v>
      </c>
      <c r="B889" s="23" t="s">
        <v>2114</v>
      </c>
      <c r="C889" s="23" t="s">
        <v>2115</v>
      </c>
      <c r="D889" s="23" t="s">
        <v>1960</v>
      </c>
      <c r="E889" s="23" t="s">
        <v>2116</v>
      </c>
      <c r="F889" s="24" t="s">
        <v>1962</v>
      </c>
      <c r="G889" s="24" t="s">
        <v>79</v>
      </c>
    </row>
    <row r="890">
      <c r="A890" s="23" t="s">
        <v>2117</v>
      </c>
      <c r="B890" s="23" t="s">
        <v>2118</v>
      </c>
      <c r="C890" s="23" t="s">
        <v>2119</v>
      </c>
      <c r="D890" s="23" t="s">
        <v>1960</v>
      </c>
      <c r="E890" s="23" t="s">
        <v>2020</v>
      </c>
      <c r="F890" s="24" t="s">
        <v>1962</v>
      </c>
      <c r="G890" s="24" t="s">
        <v>79</v>
      </c>
    </row>
    <row r="891">
      <c r="A891" s="29"/>
      <c r="B891" s="23" t="s">
        <v>2120</v>
      </c>
      <c r="C891" s="23" t="s">
        <v>2121</v>
      </c>
      <c r="D891" s="23" t="s">
        <v>1960</v>
      </c>
      <c r="E891" s="23" t="s">
        <v>2020</v>
      </c>
      <c r="F891" s="24" t="s">
        <v>1962</v>
      </c>
      <c r="G891" s="24" t="s">
        <v>79</v>
      </c>
    </row>
    <row r="892">
      <c r="A892" s="30" t="s">
        <v>2122</v>
      </c>
      <c r="B892" s="30" t="s">
        <v>2123</v>
      </c>
      <c r="C892" s="30" t="s">
        <v>2094</v>
      </c>
      <c r="D892" s="30" t="s">
        <v>1960</v>
      </c>
      <c r="E892" s="30" t="s">
        <v>2020</v>
      </c>
      <c r="F892" s="9" t="s">
        <v>2124</v>
      </c>
      <c r="G892" s="9" t="s">
        <v>79</v>
      </c>
    </row>
    <row r="893">
      <c r="A893" s="30" t="s">
        <v>2125</v>
      </c>
      <c r="B893" s="30" t="s">
        <v>2126</v>
      </c>
      <c r="C893" s="30" t="s">
        <v>2127</v>
      </c>
      <c r="D893" s="30" t="s">
        <v>1960</v>
      </c>
      <c r="E893" s="30" t="s">
        <v>2020</v>
      </c>
      <c r="F893" s="9" t="s">
        <v>2065</v>
      </c>
      <c r="G893" s="9" t="s">
        <v>79</v>
      </c>
    </row>
    <row r="894">
      <c r="A894" s="27" t="s">
        <v>2128</v>
      </c>
      <c r="B894" s="27" t="s">
        <v>2129</v>
      </c>
      <c r="C894" s="27" t="s">
        <v>2130</v>
      </c>
      <c r="D894" s="27" t="s">
        <v>1960</v>
      </c>
      <c r="E894" s="27" t="s">
        <v>2131</v>
      </c>
      <c r="F894" s="5" t="s">
        <v>12</v>
      </c>
      <c r="G894" s="5" t="s">
        <v>13</v>
      </c>
    </row>
    <row r="895">
      <c r="A895" s="27" t="s">
        <v>2132</v>
      </c>
      <c r="B895" s="27" t="s">
        <v>2133</v>
      </c>
      <c r="C895" s="27" t="s">
        <v>2134</v>
      </c>
      <c r="D895" s="27" t="s">
        <v>1960</v>
      </c>
      <c r="E895" s="27" t="s">
        <v>2131</v>
      </c>
      <c r="F895" s="5" t="s">
        <v>12</v>
      </c>
      <c r="G895" s="5" t="s">
        <v>13</v>
      </c>
    </row>
    <row r="896">
      <c r="A896" s="27" t="s">
        <v>2135</v>
      </c>
      <c r="B896" s="27" t="s">
        <v>2136</v>
      </c>
      <c r="C896" s="27" t="s">
        <v>2137</v>
      </c>
      <c r="D896" s="27" t="s">
        <v>1960</v>
      </c>
      <c r="E896" s="27" t="s">
        <v>2131</v>
      </c>
      <c r="F896" s="5" t="s">
        <v>12</v>
      </c>
      <c r="G896" s="5" t="s">
        <v>13</v>
      </c>
    </row>
    <row r="897">
      <c r="A897" s="27" t="s">
        <v>2138</v>
      </c>
      <c r="B897" s="27" t="s">
        <v>2139</v>
      </c>
      <c r="C897" s="27" t="s">
        <v>2140</v>
      </c>
      <c r="D897" s="27" t="s">
        <v>1960</v>
      </c>
      <c r="E897" s="27" t="s">
        <v>2116</v>
      </c>
      <c r="F897" s="5" t="s">
        <v>12</v>
      </c>
      <c r="G897" s="5" t="s">
        <v>79</v>
      </c>
    </row>
    <row r="898">
      <c r="A898" s="27" t="s">
        <v>2141</v>
      </c>
      <c r="B898" s="27" t="s">
        <v>2142</v>
      </c>
      <c r="C898" s="27" t="s">
        <v>2143</v>
      </c>
      <c r="D898" s="27" t="s">
        <v>1960</v>
      </c>
      <c r="E898" s="27" t="s">
        <v>2131</v>
      </c>
      <c r="F898" s="5" t="s">
        <v>12</v>
      </c>
      <c r="G898" s="5" t="s">
        <v>13</v>
      </c>
    </row>
    <row r="899">
      <c r="A899" s="27" t="s">
        <v>2144</v>
      </c>
      <c r="B899" s="27" t="s">
        <v>2145</v>
      </c>
      <c r="C899" s="27" t="s">
        <v>2146</v>
      </c>
      <c r="D899" s="27" t="s">
        <v>1960</v>
      </c>
      <c r="E899" s="27" t="s">
        <v>2131</v>
      </c>
      <c r="F899" s="5" t="s">
        <v>12</v>
      </c>
      <c r="G899" s="5" t="s">
        <v>13</v>
      </c>
    </row>
    <row r="900">
      <c r="A900" s="27" t="s">
        <v>2147</v>
      </c>
      <c r="B900" s="27" t="s">
        <v>2148</v>
      </c>
      <c r="C900" s="27" t="s">
        <v>2149</v>
      </c>
      <c r="D900" s="27" t="s">
        <v>1960</v>
      </c>
      <c r="E900" s="27" t="s">
        <v>2131</v>
      </c>
      <c r="F900" s="5" t="s">
        <v>12</v>
      </c>
      <c r="G900" s="5" t="s">
        <v>13</v>
      </c>
    </row>
    <row r="901">
      <c r="A901" s="27" t="s">
        <v>2150</v>
      </c>
      <c r="B901" s="27" t="s">
        <v>2151</v>
      </c>
      <c r="C901" s="27" t="s">
        <v>2152</v>
      </c>
      <c r="D901" s="27" t="s">
        <v>1960</v>
      </c>
      <c r="E901" s="27" t="s">
        <v>2131</v>
      </c>
      <c r="F901" s="5" t="s">
        <v>12</v>
      </c>
      <c r="G901" s="5" t="s">
        <v>13</v>
      </c>
    </row>
    <row r="902">
      <c r="A902" s="27" t="s">
        <v>2153</v>
      </c>
      <c r="B902" s="27" t="s">
        <v>2154</v>
      </c>
      <c r="C902" s="27" t="s">
        <v>2155</v>
      </c>
      <c r="D902" s="27" t="s">
        <v>1960</v>
      </c>
      <c r="E902" s="27" t="s">
        <v>2131</v>
      </c>
      <c r="F902" s="5" t="s">
        <v>12</v>
      </c>
      <c r="G902" s="5" t="s">
        <v>13</v>
      </c>
    </row>
    <row r="903">
      <c r="A903" s="27" t="s">
        <v>2156</v>
      </c>
      <c r="B903" s="27" t="s">
        <v>2157</v>
      </c>
      <c r="C903" s="27" t="s">
        <v>2158</v>
      </c>
      <c r="D903" s="27" t="s">
        <v>1960</v>
      </c>
      <c r="E903" s="27" t="s">
        <v>2159</v>
      </c>
      <c r="F903" s="5" t="s">
        <v>12</v>
      </c>
      <c r="G903" s="5" t="s">
        <v>36</v>
      </c>
    </row>
    <row r="904">
      <c r="A904" s="27" t="s">
        <v>2160</v>
      </c>
      <c r="B904" s="27" t="s">
        <v>2161</v>
      </c>
      <c r="C904" s="27" t="s">
        <v>2162</v>
      </c>
      <c r="D904" s="27" t="s">
        <v>1960</v>
      </c>
      <c r="E904" s="27" t="s">
        <v>2131</v>
      </c>
      <c r="F904" s="5" t="s">
        <v>12</v>
      </c>
      <c r="G904" s="5" t="s">
        <v>13</v>
      </c>
    </row>
    <row r="905">
      <c r="A905" s="27" t="s">
        <v>2163</v>
      </c>
      <c r="B905" s="27" t="s">
        <v>2164</v>
      </c>
      <c r="C905" s="27" t="s">
        <v>2165</v>
      </c>
      <c r="D905" s="27" t="s">
        <v>1960</v>
      </c>
      <c r="E905" s="27" t="s">
        <v>2131</v>
      </c>
      <c r="F905" s="5" t="s">
        <v>12</v>
      </c>
      <c r="G905" s="5" t="s">
        <v>13</v>
      </c>
    </row>
    <row r="906">
      <c r="A906" s="30" t="s">
        <v>2166</v>
      </c>
      <c r="B906" s="30" t="s">
        <v>2166</v>
      </c>
      <c r="C906" s="30" t="s">
        <v>2167</v>
      </c>
      <c r="D906" s="30" t="s">
        <v>1960</v>
      </c>
      <c r="E906" s="30" t="s">
        <v>2168</v>
      </c>
      <c r="F906" s="9" t="s">
        <v>2169</v>
      </c>
      <c r="G906" s="9" t="s">
        <v>13</v>
      </c>
    </row>
    <row r="907">
      <c r="A907" s="30" t="s">
        <v>2170</v>
      </c>
      <c r="B907" s="30" t="s">
        <v>2171</v>
      </c>
      <c r="C907" s="30" t="s">
        <v>2172</v>
      </c>
      <c r="D907" s="30" t="s">
        <v>1960</v>
      </c>
      <c r="E907" s="30" t="s">
        <v>2020</v>
      </c>
      <c r="F907" s="9" t="s">
        <v>2173</v>
      </c>
      <c r="G907" s="9" t="s">
        <v>79</v>
      </c>
    </row>
    <row r="908">
      <c r="A908" s="30" t="s">
        <v>2174</v>
      </c>
      <c r="B908" s="30" t="s">
        <v>2175</v>
      </c>
      <c r="C908" s="30" t="s">
        <v>2176</v>
      </c>
      <c r="D908" s="30" t="s">
        <v>1960</v>
      </c>
      <c r="E908" s="30" t="s">
        <v>2020</v>
      </c>
      <c r="F908" s="9" t="s">
        <v>2173</v>
      </c>
      <c r="G908" s="9" t="s">
        <v>79</v>
      </c>
    </row>
    <row r="909">
      <c r="A909" s="30" t="s">
        <v>2177</v>
      </c>
      <c r="B909" s="30" t="s">
        <v>2178</v>
      </c>
      <c r="C909" s="30" t="s">
        <v>2179</v>
      </c>
      <c r="D909" s="30" t="s">
        <v>1960</v>
      </c>
      <c r="E909" s="30" t="s">
        <v>2020</v>
      </c>
      <c r="F909" s="9" t="s">
        <v>2180</v>
      </c>
      <c r="G909" s="9" t="s">
        <v>79</v>
      </c>
    </row>
    <row r="910">
      <c r="A910" s="30" t="s">
        <v>2181</v>
      </c>
      <c r="B910" s="30" t="s">
        <v>2182</v>
      </c>
      <c r="C910" s="30" t="s">
        <v>2183</v>
      </c>
      <c r="D910" s="30" t="s">
        <v>1960</v>
      </c>
      <c r="E910" s="30" t="s">
        <v>2020</v>
      </c>
      <c r="F910" s="9" t="s">
        <v>2169</v>
      </c>
      <c r="G910" s="9" t="s">
        <v>79</v>
      </c>
    </row>
    <row r="911">
      <c r="A911" s="27" t="s">
        <v>2184</v>
      </c>
      <c r="B911" s="27" t="s">
        <v>2185</v>
      </c>
      <c r="C911" s="27" t="s">
        <v>2186</v>
      </c>
      <c r="D911" s="27" t="s">
        <v>1960</v>
      </c>
      <c r="E911" s="27" t="s">
        <v>2187</v>
      </c>
      <c r="F911" s="5" t="s">
        <v>12</v>
      </c>
      <c r="G911" s="5" t="s">
        <v>36</v>
      </c>
    </row>
    <row r="912">
      <c r="A912" s="27" t="s">
        <v>2188</v>
      </c>
      <c r="B912" s="27" t="s">
        <v>2189</v>
      </c>
      <c r="C912" s="27" t="s">
        <v>2190</v>
      </c>
      <c r="D912" s="27" t="s">
        <v>1960</v>
      </c>
      <c r="E912" s="27" t="s">
        <v>2187</v>
      </c>
      <c r="F912" s="5" t="s">
        <v>12</v>
      </c>
      <c r="G912" s="5" t="s">
        <v>36</v>
      </c>
    </row>
    <row r="913">
      <c r="A913" s="27" t="s">
        <v>2191</v>
      </c>
      <c r="B913" s="27" t="s">
        <v>2192</v>
      </c>
      <c r="C913" s="27" t="s">
        <v>2193</v>
      </c>
      <c r="D913" s="27" t="s">
        <v>1960</v>
      </c>
      <c r="E913" s="27" t="s">
        <v>2187</v>
      </c>
      <c r="F913" s="5" t="s">
        <v>12</v>
      </c>
      <c r="G913" s="5" t="s">
        <v>36</v>
      </c>
    </row>
    <row r="914">
      <c r="A914" s="27" t="s">
        <v>2194</v>
      </c>
      <c r="B914" s="27" t="s">
        <v>2195</v>
      </c>
      <c r="C914" s="27" t="s">
        <v>2196</v>
      </c>
      <c r="D914" s="27" t="s">
        <v>1960</v>
      </c>
      <c r="E914" s="27" t="s">
        <v>2197</v>
      </c>
      <c r="F914" s="5" t="s">
        <v>12</v>
      </c>
      <c r="G914" s="5" t="s">
        <v>13</v>
      </c>
    </row>
    <row r="915">
      <c r="A915" s="27" t="s">
        <v>2198</v>
      </c>
      <c r="B915" s="27" t="s">
        <v>2199</v>
      </c>
      <c r="C915" s="27" t="s">
        <v>2200</v>
      </c>
      <c r="D915" s="27" t="s">
        <v>1960</v>
      </c>
      <c r="E915" s="27" t="s">
        <v>2197</v>
      </c>
      <c r="F915" s="5" t="s">
        <v>12</v>
      </c>
      <c r="G915" s="5" t="s">
        <v>13</v>
      </c>
    </row>
    <row r="916">
      <c r="A916" s="27" t="s">
        <v>2201</v>
      </c>
      <c r="B916" s="27" t="s">
        <v>2202</v>
      </c>
      <c r="C916" s="27" t="s">
        <v>2203</v>
      </c>
      <c r="D916" s="27" t="s">
        <v>1960</v>
      </c>
      <c r="E916" s="27" t="s">
        <v>2197</v>
      </c>
      <c r="F916" s="5" t="s">
        <v>12</v>
      </c>
      <c r="G916" s="5" t="s">
        <v>13</v>
      </c>
    </row>
    <row r="917">
      <c r="A917" s="27" t="s">
        <v>2204</v>
      </c>
      <c r="B917" s="27" t="s">
        <v>2205</v>
      </c>
      <c r="C917" s="27" t="s">
        <v>2206</v>
      </c>
      <c r="D917" s="27" t="s">
        <v>1960</v>
      </c>
      <c r="E917" s="27" t="s">
        <v>2197</v>
      </c>
      <c r="F917" s="5" t="s">
        <v>12</v>
      </c>
      <c r="G917" s="5" t="s">
        <v>13</v>
      </c>
    </row>
    <row r="918">
      <c r="A918" s="27" t="s">
        <v>2207</v>
      </c>
      <c r="B918" s="27" t="s">
        <v>2208</v>
      </c>
      <c r="C918" s="27" t="s">
        <v>2209</v>
      </c>
      <c r="D918" s="27" t="s">
        <v>1960</v>
      </c>
      <c r="E918" s="27" t="s">
        <v>2197</v>
      </c>
      <c r="F918" s="5" t="s">
        <v>12</v>
      </c>
      <c r="G918" s="5" t="s">
        <v>13</v>
      </c>
    </row>
    <row r="919">
      <c r="A919" s="27" t="s">
        <v>2210</v>
      </c>
      <c r="B919" s="27" t="s">
        <v>2211</v>
      </c>
      <c r="C919" s="27" t="s">
        <v>2212</v>
      </c>
      <c r="D919" s="27" t="s">
        <v>1960</v>
      </c>
      <c r="E919" s="27" t="s">
        <v>2197</v>
      </c>
      <c r="F919" s="5" t="s">
        <v>12</v>
      </c>
      <c r="G919" s="5" t="s">
        <v>13</v>
      </c>
    </row>
    <row r="920">
      <c r="A920" s="30" t="s">
        <v>2213</v>
      </c>
      <c r="B920" s="30" t="s">
        <v>2214</v>
      </c>
      <c r="C920" s="30" t="s">
        <v>2215</v>
      </c>
      <c r="D920" s="30" t="s">
        <v>1960</v>
      </c>
      <c r="E920" s="30" t="s">
        <v>2216</v>
      </c>
      <c r="F920" s="9" t="s">
        <v>2173</v>
      </c>
      <c r="G920" s="9" t="s">
        <v>13</v>
      </c>
    </row>
    <row r="921">
      <c r="A921" s="27" t="s">
        <v>2217</v>
      </c>
      <c r="B921" s="27" t="s">
        <v>2218</v>
      </c>
      <c r="C921" s="27" t="s">
        <v>2219</v>
      </c>
      <c r="D921" s="27" t="s">
        <v>1960</v>
      </c>
      <c r="E921" s="27" t="s">
        <v>2220</v>
      </c>
      <c r="F921" s="5" t="s">
        <v>12</v>
      </c>
      <c r="G921" s="5" t="s">
        <v>36</v>
      </c>
    </row>
    <row r="922">
      <c r="A922" s="27" t="s">
        <v>2221</v>
      </c>
      <c r="B922" s="27" t="s">
        <v>2222</v>
      </c>
      <c r="C922" s="27" t="s">
        <v>2223</v>
      </c>
      <c r="D922" s="27" t="s">
        <v>1960</v>
      </c>
      <c r="E922" s="27" t="s">
        <v>2224</v>
      </c>
      <c r="F922" s="5" t="s">
        <v>12</v>
      </c>
      <c r="G922" s="5" t="s">
        <v>13</v>
      </c>
    </row>
    <row r="923">
      <c r="A923" s="27" t="s">
        <v>2225</v>
      </c>
      <c r="B923" s="27">
        <v>6.0019854E7</v>
      </c>
      <c r="C923" s="27" t="s">
        <v>2226</v>
      </c>
      <c r="D923" s="27" t="s">
        <v>1960</v>
      </c>
      <c r="E923" s="27" t="s">
        <v>2227</v>
      </c>
      <c r="F923" s="5" t="s">
        <v>12</v>
      </c>
      <c r="G923" s="5" t="s">
        <v>36</v>
      </c>
    </row>
    <row r="924">
      <c r="A924" s="27" t="s">
        <v>2228</v>
      </c>
      <c r="B924" s="27" t="s">
        <v>2229</v>
      </c>
      <c r="C924" s="27" t="s">
        <v>2230</v>
      </c>
      <c r="D924" s="27" t="s">
        <v>1960</v>
      </c>
      <c r="E924" s="27" t="s">
        <v>2131</v>
      </c>
      <c r="F924" s="5" t="s">
        <v>12</v>
      </c>
      <c r="G924" s="5" t="s">
        <v>13</v>
      </c>
    </row>
    <row r="925">
      <c r="A925" s="27" t="s">
        <v>2231</v>
      </c>
      <c r="B925" s="27">
        <v>6.001986E7</v>
      </c>
      <c r="C925" s="27" t="s">
        <v>2232</v>
      </c>
      <c r="D925" s="27" t="s">
        <v>1960</v>
      </c>
      <c r="E925" s="27" t="s">
        <v>2233</v>
      </c>
      <c r="F925" s="5" t="s">
        <v>12</v>
      </c>
      <c r="G925" s="5" t="s">
        <v>36</v>
      </c>
    </row>
    <row r="926">
      <c r="A926" s="27" t="s">
        <v>2234</v>
      </c>
      <c r="B926" s="27" t="s">
        <v>2235</v>
      </c>
      <c r="C926" s="27" t="s">
        <v>2236</v>
      </c>
      <c r="D926" s="27" t="s">
        <v>1960</v>
      </c>
      <c r="E926" s="27" t="s">
        <v>2131</v>
      </c>
      <c r="F926" s="5" t="s">
        <v>12</v>
      </c>
      <c r="G926" s="5" t="s">
        <v>13</v>
      </c>
    </row>
    <row r="927">
      <c r="A927" s="27" t="s">
        <v>2237</v>
      </c>
      <c r="B927" s="27" t="s">
        <v>2238</v>
      </c>
      <c r="C927" s="27" t="s">
        <v>2239</v>
      </c>
      <c r="D927" s="27" t="s">
        <v>1960</v>
      </c>
      <c r="E927" s="27" t="s">
        <v>2220</v>
      </c>
      <c r="F927" s="5" t="s">
        <v>12</v>
      </c>
      <c r="G927" s="5" t="s">
        <v>36</v>
      </c>
    </row>
    <row r="928">
      <c r="A928" s="27" t="s">
        <v>2240</v>
      </c>
      <c r="B928" s="27">
        <v>6.002008E7</v>
      </c>
      <c r="C928" s="27" t="s">
        <v>2241</v>
      </c>
      <c r="D928" s="27" t="s">
        <v>1960</v>
      </c>
      <c r="E928" s="27" t="s">
        <v>2242</v>
      </c>
      <c r="F928" s="5" t="s">
        <v>12</v>
      </c>
      <c r="G928" s="5" t="s">
        <v>13</v>
      </c>
    </row>
    <row r="929">
      <c r="A929" s="27" t="s">
        <v>2243</v>
      </c>
      <c r="B929" s="27">
        <v>6.0020081E7</v>
      </c>
      <c r="C929" s="27" t="s">
        <v>2244</v>
      </c>
      <c r="D929" s="27" t="s">
        <v>1960</v>
      </c>
      <c r="E929" s="27" t="s">
        <v>2242</v>
      </c>
      <c r="F929" s="5" t="s">
        <v>12</v>
      </c>
      <c r="G929" s="5" t="s">
        <v>13</v>
      </c>
    </row>
    <row r="930">
      <c r="A930" s="27" t="s">
        <v>2245</v>
      </c>
      <c r="B930" s="27">
        <v>6.0020082E7</v>
      </c>
      <c r="C930" s="27" t="s">
        <v>2246</v>
      </c>
      <c r="D930" s="27" t="s">
        <v>1960</v>
      </c>
      <c r="E930" s="27" t="s">
        <v>2242</v>
      </c>
      <c r="F930" s="5" t="s">
        <v>12</v>
      </c>
      <c r="G930" s="5" t="s">
        <v>13</v>
      </c>
    </row>
    <row r="931">
      <c r="A931" s="27" t="s">
        <v>2247</v>
      </c>
      <c r="B931" s="27">
        <v>6.0020083E7</v>
      </c>
      <c r="C931" s="27" t="s">
        <v>2248</v>
      </c>
      <c r="D931" s="27" t="s">
        <v>1960</v>
      </c>
      <c r="E931" s="27" t="s">
        <v>2242</v>
      </c>
      <c r="F931" s="5" t="s">
        <v>12</v>
      </c>
      <c r="G931" s="5" t="s">
        <v>13</v>
      </c>
    </row>
    <row r="932">
      <c r="A932" s="27" t="s">
        <v>2249</v>
      </c>
      <c r="B932" s="27" t="s">
        <v>2250</v>
      </c>
      <c r="C932" s="27" t="s">
        <v>2251</v>
      </c>
      <c r="D932" s="27" t="s">
        <v>1960</v>
      </c>
      <c r="E932" s="27" t="s">
        <v>2252</v>
      </c>
      <c r="F932" s="5" t="s">
        <v>12</v>
      </c>
      <c r="G932" s="5" t="s">
        <v>36</v>
      </c>
    </row>
    <row r="933">
      <c r="A933" s="27" t="s">
        <v>2253</v>
      </c>
      <c r="B933" s="27">
        <v>6.0019856E7</v>
      </c>
      <c r="C933" s="27" t="s">
        <v>2254</v>
      </c>
      <c r="D933" s="27" t="s">
        <v>1960</v>
      </c>
      <c r="E933" s="27" t="s">
        <v>2233</v>
      </c>
      <c r="F933" s="5" t="s">
        <v>12</v>
      </c>
      <c r="G933" s="5" t="s">
        <v>36</v>
      </c>
    </row>
    <row r="934">
      <c r="A934" s="27" t="s">
        <v>2255</v>
      </c>
      <c r="B934" s="27" t="s">
        <v>2256</v>
      </c>
      <c r="C934" s="27" t="s">
        <v>2257</v>
      </c>
      <c r="D934" s="27" t="s">
        <v>1960</v>
      </c>
      <c r="E934" s="27" t="s">
        <v>2220</v>
      </c>
      <c r="F934" s="5" t="s">
        <v>12</v>
      </c>
      <c r="G934" s="5" t="s">
        <v>36</v>
      </c>
    </row>
    <row r="935">
      <c r="A935" s="27" t="s">
        <v>2258</v>
      </c>
      <c r="B935" s="27" t="s">
        <v>2259</v>
      </c>
      <c r="C935" s="27" t="s">
        <v>2260</v>
      </c>
      <c r="D935" s="27" t="s">
        <v>1960</v>
      </c>
      <c r="E935" s="27" t="s">
        <v>2261</v>
      </c>
      <c r="F935" s="5" t="s">
        <v>12</v>
      </c>
      <c r="G935" s="5" t="s">
        <v>79</v>
      </c>
    </row>
    <row r="936">
      <c r="A936" s="27" t="s">
        <v>2262</v>
      </c>
      <c r="B936" s="27" t="s">
        <v>2263</v>
      </c>
      <c r="C936" s="27" t="s">
        <v>2264</v>
      </c>
      <c r="D936" s="27" t="s">
        <v>1960</v>
      </c>
      <c r="E936" s="27" t="s">
        <v>2159</v>
      </c>
      <c r="F936" s="5" t="s">
        <v>12</v>
      </c>
      <c r="G936" s="5" t="s">
        <v>36</v>
      </c>
    </row>
    <row r="937">
      <c r="A937" s="27" t="s">
        <v>2265</v>
      </c>
      <c r="B937" s="27" t="s">
        <v>2266</v>
      </c>
      <c r="C937" s="27" t="s">
        <v>2267</v>
      </c>
      <c r="D937" s="27" t="s">
        <v>1960</v>
      </c>
      <c r="E937" s="27" t="s">
        <v>2131</v>
      </c>
      <c r="F937" s="5" t="s">
        <v>12</v>
      </c>
      <c r="G937" s="5" t="s">
        <v>13</v>
      </c>
    </row>
    <row r="938">
      <c r="A938" s="27" t="s">
        <v>2268</v>
      </c>
      <c r="B938" s="27">
        <v>6.0019815E7</v>
      </c>
      <c r="C938" s="27" t="s">
        <v>2269</v>
      </c>
      <c r="D938" s="27" t="s">
        <v>1960</v>
      </c>
      <c r="E938" s="27" t="s">
        <v>2233</v>
      </c>
      <c r="F938" s="5" t="s">
        <v>12</v>
      </c>
      <c r="G938" s="5" t="s">
        <v>36</v>
      </c>
    </row>
    <row r="939">
      <c r="A939" s="27" t="s">
        <v>2270</v>
      </c>
      <c r="B939" s="27">
        <v>6.0019829E7</v>
      </c>
      <c r="C939" s="27" t="s">
        <v>2271</v>
      </c>
      <c r="D939" s="27" t="s">
        <v>1960</v>
      </c>
      <c r="E939" s="27" t="s">
        <v>2233</v>
      </c>
      <c r="F939" s="5" t="s">
        <v>12</v>
      </c>
      <c r="G939" s="5" t="s">
        <v>36</v>
      </c>
    </row>
    <row r="940">
      <c r="A940" s="27" t="s">
        <v>2272</v>
      </c>
      <c r="B940" s="27" t="s">
        <v>2273</v>
      </c>
      <c r="C940" s="27" t="s">
        <v>2274</v>
      </c>
      <c r="D940" s="27" t="s">
        <v>1960</v>
      </c>
      <c r="E940" s="27" t="s">
        <v>2131</v>
      </c>
      <c r="F940" s="5" t="s">
        <v>12</v>
      </c>
      <c r="G940" s="5" t="s">
        <v>13</v>
      </c>
    </row>
    <row r="941">
      <c r="A941" s="27" t="s">
        <v>2275</v>
      </c>
      <c r="B941" s="27">
        <v>6.0019825E7</v>
      </c>
      <c r="C941" s="27" t="s">
        <v>2276</v>
      </c>
      <c r="D941" s="27" t="s">
        <v>1960</v>
      </c>
      <c r="E941" s="27" t="s">
        <v>2233</v>
      </c>
      <c r="F941" s="5" t="s">
        <v>12</v>
      </c>
      <c r="G941" s="5" t="s">
        <v>36</v>
      </c>
    </row>
    <row r="942">
      <c r="A942" s="27" t="s">
        <v>2277</v>
      </c>
      <c r="B942" s="27">
        <v>6.001987E7</v>
      </c>
      <c r="C942" s="27" t="s">
        <v>2278</v>
      </c>
      <c r="D942" s="27" t="s">
        <v>1960</v>
      </c>
      <c r="E942" s="27" t="s">
        <v>2233</v>
      </c>
      <c r="F942" s="5" t="s">
        <v>12</v>
      </c>
      <c r="G942" s="5" t="s">
        <v>36</v>
      </c>
    </row>
    <row r="943">
      <c r="A943" s="27" t="s">
        <v>2279</v>
      </c>
      <c r="B943" s="27" t="s">
        <v>2279</v>
      </c>
      <c r="C943" s="27" t="s">
        <v>2280</v>
      </c>
      <c r="D943" s="27" t="s">
        <v>1960</v>
      </c>
      <c r="E943" s="27" t="s">
        <v>2281</v>
      </c>
      <c r="F943" s="5" t="s">
        <v>12</v>
      </c>
      <c r="G943" s="5" t="s">
        <v>13</v>
      </c>
    </row>
    <row r="944">
      <c r="A944" s="27" t="s">
        <v>2282</v>
      </c>
      <c r="B944" s="27">
        <v>6.0019824E7</v>
      </c>
      <c r="C944" s="27" t="s">
        <v>2283</v>
      </c>
      <c r="D944" s="27" t="s">
        <v>1960</v>
      </c>
      <c r="E944" s="27" t="s">
        <v>2227</v>
      </c>
      <c r="F944" s="5" t="s">
        <v>12</v>
      </c>
      <c r="G944" s="5" t="s">
        <v>36</v>
      </c>
    </row>
    <row r="945">
      <c r="A945" s="27" t="s">
        <v>2284</v>
      </c>
      <c r="B945" s="27" t="s">
        <v>2285</v>
      </c>
      <c r="C945" s="27" t="s">
        <v>2286</v>
      </c>
      <c r="D945" s="27" t="s">
        <v>1960</v>
      </c>
      <c r="E945" s="27" t="s">
        <v>2131</v>
      </c>
      <c r="F945" s="5" t="s">
        <v>12</v>
      </c>
      <c r="G945" s="5" t="s">
        <v>13</v>
      </c>
    </row>
    <row r="946">
      <c r="A946" s="27" t="s">
        <v>2287</v>
      </c>
      <c r="B946" s="27" t="s">
        <v>2288</v>
      </c>
      <c r="C946" s="27" t="s">
        <v>2289</v>
      </c>
      <c r="D946" s="27" t="s">
        <v>1960</v>
      </c>
      <c r="E946" s="27" t="s">
        <v>2220</v>
      </c>
      <c r="F946" s="5" t="s">
        <v>12</v>
      </c>
      <c r="G946" s="5" t="s">
        <v>36</v>
      </c>
    </row>
    <row r="947">
      <c r="A947" s="27" t="s">
        <v>2290</v>
      </c>
      <c r="B947" s="27">
        <v>6.0019827E7</v>
      </c>
      <c r="C947" s="27" t="s">
        <v>2291</v>
      </c>
      <c r="D947" s="27" t="s">
        <v>1960</v>
      </c>
      <c r="E947" s="27" t="s">
        <v>2233</v>
      </c>
      <c r="F947" s="5" t="s">
        <v>12</v>
      </c>
      <c r="G947" s="5" t="s">
        <v>36</v>
      </c>
    </row>
    <row r="948">
      <c r="A948" s="27" t="s">
        <v>2292</v>
      </c>
      <c r="B948" s="27">
        <v>6.0019843E7</v>
      </c>
      <c r="C948" s="27" t="s">
        <v>2293</v>
      </c>
      <c r="D948" s="27" t="s">
        <v>1960</v>
      </c>
      <c r="E948" s="27" t="s">
        <v>2233</v>
      </c>
      <c r="F948" s="5" t="s">
        <v>12</v>
      </c>
      <c r="G948" s="5" t="s">
        <v>36</v>
      </c>
    </row>
    <row r="949">
      <c r="A949" s="27" t="s">
        <v>2294</v>
      </c>
      <c r="B949" s="27">
        <v>6.0019842E7</v>
      </c>
      <c r="C949" s="27" t="s">
        <v>2295</v>
      </c>
      <c r="D949" s="27" t="s">
        <v>1960</v>
      </c>
      <c r="E949" s="27" t="s">
        <v>2233</v>
      </c>
      <c r="F949" s="5" t="s">
        <v>12</v>
      </c>
      <c r="G949" s="5" t="s">
        <v>36</v>
      </c>
    </row>
    <row r="950">
      <c r="A950" s="27" t="s">
        <v>2296</v>
      </c>
      <c r="B950" s="27">
        <v>6.0019869E7</v>
      </c>
      <c r="C950" s="27" t="s">
        <v>2297</v>
      </c>
      <c r="D950" s="27" t="s">
        <v>1960</v>
      </c>
      <c r="E950" s="27" t="s">
        <v>2233</v>
      </c>
      <c r="F950" s="5" t="s">
        <v>12</v>
      </c>
      <c r="G950" s="5" t="s">
        <v>36</v>
      </c>
    </row>
    <row r="951">
      <c r="A951" s="27" t="s">
        <v>2298</v>
      </c>
      <c r="B951" s="27">
        <v>6.0019875E7</v>
      </c>
      <c r="C951" s="27" t="s">
        <v>2299</v>
      </c>
      <c r="D951" s="27" t="s">
        <v>1960</v>
      </c>
      <c r="E951" s="27" t="s">
        <v>2233</v>
      </c>
      <c r="F951" s="5" t="s">
        <v>12</v>
      </c>
      <c r="G951" s="5" t="s">
        <v>36</v>
      </c>
    </row>
    <row r="952">
      <c r="A952" s="27" t="s">
        <v>2300</v>
      </c>
      <c r="B952" s="27" t="s">
        <v>2301</v>
      </c>
      <c r="C952" s="27" t="s">
        <v>2302</v>
      </c>
      <c r="D952" s="27" t="s">
        <v>1960</v>
      </c>
      <c r="E952" s="27" t="s">
        <v>2116</v>
      </c>
      <c r="F952" s="5" t="s">
        <v>2303</v>
      </c>
      <c r="G952" s="5" t="s">
        <v>79</v>
      </c>
    </row>
    <row r="953">
      <c r="A953" s="27" t="s">
        <v>2304</v>
      </c>
      <c r="B953" s="27" t="s">
        <v>2305</v>
      </c>
      <c r="C953" s="27" t="s">
        <v>2306</v>
      </c>
      <c r="D953" s="27" t="s">
        <v>1960</v>
      </c>
      <c r="E953" s="27" t="s">
        <v>2220</v>
      </c>
      <c r="F953" s="5" t="s">
        <v>12</v>
      </c>
      <c r="G953" s="5" t="s">
        <v>36</v>
      </c>
    </row>
    <row r="954">
      <c r="A954" s="27" t="s">
        <v>2307</v>
      </c>
      <c r="B954" s="27">
        <v>6.0019828E7</v>
      </c>
      <c r="C954" s="27" t="s">
        <v>2308</v>
      </c>
      <c r="D954" s="27" t="s">
        <v>1960</v>
      </c>
      <c r="E954" s="27" t="s">
        <v>2233</v>
      </c>
      <c r="F954" s="5" t="s">
        <v>12</v>
      </c>
      <c r="G954" s="5" t="s">
        <v>36</v>
      </c>
    </row>
    <row r="955">
      <c r="A955" s="27" t="s">
        <v>2309</v>
      </c>
      <c r="B955" s="27">
        <v>6.0019874E7</v>
      </c>
      <c r="C955" s="27" t="s">
        <v>2310</v>
      </c>
      <c r="D955" s="27" t="s">
        <v>1960</v>
      </c>
      <c r="E955" s="27" t="s">
        <v>2233</v>
      </c>
      <c r="F955" s="5" t="s">
        <v>12</v>
      </c>
      <c r="G955" s="5" t="s">
        <v>36</v>
      </c>
    </row>
    <row r="956">
      <c r="A956" s="27" t="s">
        <v>2311</v>
      </c>
      <c r="B956" s="27">
        <v>6.0019864E7</v>
      </c>
      <c r="C956" s="27" t="s">
        <v>2312</v>
      </c>
      <c r="D956" s="27" t="s">
        <v>1960</v>
      </c>
      <c r="E956" s="27" t="s">
        <v>2313</v>
      </c>
      <c r="F956" s="5" t="s">
        <v>12</v>
      </c>
      <c r="G956" s="5" t="s">
        <v>36</v>
      </c>
    </row>
    <row r="957">
      <c r="A957" s="27" t="s">
        <v>2314</v>
      </c>
      <c r="B957" s="27">
        <v>6.0019065E7</v>
      </c>
      <c r="C957" s="27" t="s">
        <v>2315</v>
      </c>
      <c r="D957" s="27" t="s">
        <v>1960</v>
      </c>
      <c r="E957" s="27" t="s">
        <v>2131</v>
      </c>
      <c r="F957" s="5" t="s">
        <v>12</v>
      </c>
      <c r="G957" s="5" t="s">
        <v>13</v>
      </c>
    </row>
    <row r="958">
      <c r="A958" s="27" t="s">
        <v>2316</v>
      </c>
      <c r="B958" s="27">
        <v>6.0019868E7</v>
      </c>
      <c r="C958" s="27" t="s">
        <v>2317</v>
      </c>
      <c r="D958" s="27" t="s">
        <v>1960</v>
      </c>
      <c r="E958" s="27" t="s">
        <v>2233</v>
      </c>
      <c r="F958" s="5" t="s">
        <v>12</v>
      </c>
      <c r="G958" s="5" t="s">
        <v>36</v>
      </c>
    </row>
    <row r="959">
      <c r="A959" s="27" t="s">
        <v>2318</v>
      </c>
      <c r="B959" s="27">
        <v>6.0019832E7</v>
      </c>
      <c r="C959" s="27" t="s">
        <v>2319</v>
      </c>
      <c r="D959" s="27" t="s">
        <v>1960</v>
      </c>
      <c r="E959" s="27" t="s">
        <v>2227</v>
      </c>
      <c r="F959" s="5" t="s">
        <v>12</v>
      </c>
      <c r="G959" s="5" t="s">
        <v>36</v>
      </c>
    </row>
    <row r="960">
      <c r="A960" s="27" t="s">
        <v>2320</v>
      </c>
      <c r="B960" s="27" t="s">
        <v>2321</v>
      </c>
      <c r="C960" s="27" t="s">
        <v>2322</v>
      </c>
      <c r="D960" s="27" t="s">
        <v>1960</v>
      </c>
      <c r="E960" s="27" t="s">
        <v>2100</v>
      </c>
      <c r="F960" s="5" t="s">
        <v>12</v>
      </c>
      <c r="G960" s="5" t="s">
        <v>79</v>
      </c>
    </row>
    <row r="961">
      <c r="A961" s="27" t="s">
        <v>2323</v>
      </c>
      <c r="B961" s="27">
        <v>6.0019859E7</v>
      </c>
      <c r="C961" s="27" t="s">
        <v>2324</v>
      </c>
      <c r="D961" s="27" t="s">
        <v>1960</v>
      </c>
      <c r="E961" s="27" t="s">
        <v>2233</v>
      </c>
      <c r="F961" s="5" t="s">
        <v>12</v>
      </c>
      <c r="G961" s="5" t="s">
        <v>36</v>
      </c>
    </row>
    <row r="962">
      <c r="A962" s="27" t="s">
        <v>2325</v>
      </c>
      <c r="B962" s="27" t="s">
        <v>2326</v>
      </c>
      <c r="C962" s="27" t="s">
        <v>2327</v>
      </c>
      <c r="D962" s="27" t="s">
        <v>1960</v>
      </c>
      <c r="E962" s="27" t="s">
        <v>2131</v>
      </c>
      <c r="F962" s="5" t="s">
        <v>12</v>
      </c>
      <c r="G962" s="5" t="s">
        <v>13</v>
      </c>
    </row>
    <row r="963">
      <c r="A963" s="27" t="s">
        <v>2328</v>
      </c>
      <c r="B963" s="27" t="s">
        <v>2329</v>
      </c>
      <c r="C963" s="27" t="s">
        <v>2330</v>
      </c>
      <c r="D963" s="27" t="s">
        <v>1960</v>
      </c>
      <c r="E963" s="27" t="s">
        <v>2197</v>
      </c>
      <c r="F963" s="5" t="s">
        <v>12</v>
      </c>
      <c r="G963" s="5" t="s">
        <v>13</v>
      </c>
    </row>
    <row r="964">
      <c r="A964" s="27" t="s">
        <v>2331</v>
      </c>
      <c r="B964" s="27">
        <v>6.001983E7</v>
      </c>
      <c r="C964" s="27" t="s">
        <v>2332</v>
      </c>
      <c r="D964" s="27" t="s">
        <v>1960</v>
      </c>
      <c r="E964" s="27" t="s">
        <v>2227</v>
      </c>
      <c r="F964" s="5" t="s">
        <v>12</v>
      </c>
      <c r="G964" s="5" t="s">
        <v>36</v>
      </c>
    </row>
    <row r="965">
      <c r="A965" s="27" t="s">
        <v>2333</v>
      </c>
      <c r="B965" s="27" t="s">
        <v>2334</v>
      </c>
      <c r="C965" s="27" t="s">
        <v>2335</v>
      </c>
      <c r="D965" s="27" t="s">
        <v>1960</v>
      </c>
      <c r="E965" s="27" t="s">
        <v>2220</v>
      </c>
      <c r="F965" s="5" t="s">
        <v>12</v>
      </c>
      <c r="G965" s="5" t="s">
        <v>36</v>
      </c>
    </row>
    <row r="966">
      <c r="A966" s="27" t="s">
        <v>2336</v>
      </c>
      <c r="B966" s="27" t="s">
        <v>2337</v>
      </c>
      <c r="C966" s="27" t="s">
        <v>2338</v>
      </c>
      <c r="D966" s="27" t="s">
        <v>1960</v>
      </c>
      <c r="E966" s="27" t="s">
        <v>2131</v>
      </c>
      <c r="F966" s="5" t="s">
        <v>12</v>
      </c>
      <c r="G966" s="5" t="s">
        <v>13</v>
      </c>
    </row>
    <row r="967">
      <c r="A967" s="27" t="s">
        <v>2339</v>
      </c>
      <c r="B967" s="27" t="s">
        <v>2340</v>
      </c>
      <c r="C967" s="27" t="s">
        <v>2341</v>
      </c>
      <c r="D967" s="27" t="s">
        <v>1960</v>
      </c>
      <c r="E967" s="27" t="s">
        <v>2131</v>
      </c>
      <c r="F967" s="5" t="s">
        <v>12</v>
      </c>
      <c r="G967" s="5" t="s">
        <v>13</v>
      </c>
    </row>
    <row r="968">
      <c r="A968" s="27" t="s">
        <v>2342</v>
      </c>
      <c r="B968" s="27" t="s">
        <v>2343</v>
      </c>
      <c r="C968" s="27" t="s">
        <v>2344</v>
      </c>
      <c r="D968" s="27" t="s">
        <v>1960</v>
      </c>
      <c r="E968" s="27" t="s">
        <v>2220</v>
      </c>
      <c r="F968" s="5" t="s">
        <v>12</v>
      </c>
      <c r="G968" s="5" t="s">
        <v>36</v>
      </c>
    </row>
    <row r="969">
      <c r="A969" s="27" t="s">
        <v>2345</v>
      </c>
      <c r="B969" s="27">
        <v>6.0019823E7</v>
      </c>
      <c r="C969" s="27" t="s">
        <v>2346</v>
      </c>
      <c r="D969" s="27" t="s">
        <v>1960</v>
      </c>
      <c r="E969" s="27" t="s">
        <v>2227</v>
      </c>
      <c r="F969" s="5" t="s">
        <v>12</v>
      </c>
      <c r="G969" s="5" t="s">
        <v>36</v>
      </c>
    </row>
    <row r="970">
      <c r="A970" s="27" t="s">
        <v>2347</v>
      </c>
      <c r="B970" s="27">
        <v>6.0019883E7</v>
      </c>
      <c r="C970" s="27" t="s">
        <v>2348</v>
      </c>
      <c r="D970" s="27" t="s">
        <v>1960</v>
      </c>
      <c r="E970" s="27" t="s">
        <v>2349</v>
      </c>
      <c r="F970" s="5" t="s">
        <v>12</v>
      </c>
      <c r="G970" s="5" t="s">
        <v>36</v>
      </c>
    </row>
    <row r="971">
      <c r="A971" s="27" t="s">
        <v>2350</v>
      </c>
      <c r="B971" s="27">
        <v>6.0019884E7</v>
      </c>
      <c r="C971" s="27" t="s">
        <v>2351</v>
      </c>
      <c r="D971" s="27" t="s">
        <v>1960</v>
      </c>
      <c r="E971" s="27" t="s">
        <v>2349</v>
      </c>
      <c r="F971" s="5" t="s">
        <v>12</v>
      </c>
      <c r="G971" s="5" t="s">
        <v>36</v>
      </c>
    </row>
    <row r="972">
      <c r="A972" s="27" t="s">
        <v>2352</v>
      </c>
      <c r="B972" s="27">
        <v>6.0019831E7</v>
      </c>
      <c r="C972" s="27" t="s">
        <v>2353</v>
      </c>
      <c r="D972" s="27" t="s">
        <v>1960</v>
      </c>
      <c r="E972" s="27" t="s">
        <v>2233</v>
      </c>
      <c r="F972" s="5" t="s">
        <v>12</v>
      </c>
      <c r="G972" s="5" t="s">
        <v>36</v>
      </c>
    </row>
    <row r="973">
      <c r="A973" s="27" t="s">
        <v>2354</v>
      </c>
      <c r="B973" s="27" t="s">
        <v>2355</v>
      </c>
      <c r="C973" s="27" t="s">
        <v>2356</v>
      </c>
      <c r="D973" s="27" t="s">
        <v>1960</v>
      </c>
      <c r="E973" s="27" t="s">
        <v>2020</v>
      </c>
      <c r="F973" s="5" t="s">
        <v>12</v>
      </c>
      <c r="G973" s="5" t="s">
        <v>79</v>
      </c>
    </row>
    <row r="974">
      <c r="A974" s="27" t="s">
        <v>2357</v>
      </c>
      <c r="B974" s="27">
        <v>6.0020124E7</v>
      </c>
      <c r="C974" s="27" t="s">
        <v>2358</v>
      </c>
      <c r="D974" s="27" t="s">
        <v>1960</v>
      </c>
      <c r="E974" s="27" t="s">
        <v>2227</v>
      </c>
      <c r="F974" s="5" t="s">
        <v>12</v>
      </c>
      <c r="G974" s="5" t="s">
        <v>36</v>
      </c>
    </row>
    <row r="975">
      <c r="A975" s="27" t="s">
        <v>2359</v>
      </c>
      <c r="B975" s="27">
        <v>6.0020078E7</v>
      </c>
      <c r="C975" s="27" t="s">
        <v>2360</v>
      </c>
      <c r="D975" s="27" t="s">
        <v>1960</v>
      </c>
      <c r="E975" s="27" t="s">
        <v>2242</v>
      </c>
      <c r="F975" s="5" t="s">
        <v>12</v>
      </c>
      <c r="G975" s="5" t="s">
        <v>13</v>
      </c>
    </row>
    <row r="976">
      <c r="A976" s="27" t="s">
        <v>2361</v>
      </c>
      <c r="B976" s="27">
        <v>6.0019835E7</v>
      </c>
      <c r="C976" s="27" t="s">
        <v>2362</v>
      </c>
      <c r="D976" s="27" t="s">
        <v>1960</v>
      </c>
      <c r="E976" s="27" t="s">
        <v>2227</v>
      </c>
      <c r="F976" s="5" t="s">
        <v>2363</v>
      </c>
      <c r="G976" s="5" t="s">
        <v>36</v>
      </c>
    </row>
    <row r="977">
      <c r="A977" s="27" t="s">
        <v>2364</v>
      </c>
      <c r="B977" s="27" t="s">
        <v>2365</v>
      </c>
      <c r="C977" s="16" t="s">
        <v>2366</v>
      </c>
      <c r="D977" s="27" t="s">
        <v>1960</v>
      </c>
      <c r="E977" s="27" t="s">
        <v>2131</v>
      </c>
      <c r="F977" s="5" t="s">
        <v>2367</v>
      </c>
      <c r="G977" s="5" t="s">
        <v>13</v>
      </c>
    </row>
    <row r="978">
      <c r="A978" s="27" t="s">
        <v>2368</v>
      </c>
      <c r="B978" s="27">
        <v>6.0019871E7</v>
      </c>
      <c r="C978" s="27" t="s">
        <v>2369</v>
      </c>
      <c r="D978" s="27" t="s">
        <v>1960</v>
      </c>
      <c r="E978" s="27" t="s">
        <v>2233</v>
      </c>
      <c r="F978" s="5" t="s">
        <v>12</v>
      </c>
      <c r="G978" s="5" t="s">
        <v>36</v>
      </c>
    </row>
    <row r="979">
      <c r="A979" s="27" t="s">
        <v>2370</v>
      </c>
      <c r="B979" s="27" t="s">
        <v>2371</v>
      </c>
      <c r="C979" s="27" t="s">
        <v>2372</v>
      </c>
      <c r="D979" s="27" t="s">
        <v>1960</v>
      </c>
      <c r="E979" s="27" t="s">
        <v>2220</v>
      </c>
      <c r="F979" s="5" t="s">
        <v>12</v>
      </c>
      <c r="G979" s="5" t="s">
        <v>36</v>
      </c>
    </row>
    <row r="980">
      <c r="A980" s="27" t="s">
        <v>2373</v>
      </c>
      <c r="B980" s="27" t="s">
        <v>2374</v>
      </c>
      <c r="C980" s="27" t="s">
        <v>2375</v>
      </c>
      <c r="D980" s="27" t="s">
        <v>1960</v>
      </c>
      <c r="E980" s="27" t="s">
        <v>2131</v>
      </c>
      <c r="F980" s="5" t="s">
        <v>12</v>
      </c>
      <c r="G980" s="5" t="s">
        <v>13</v>
      </c>
    </row>
    <row r="981">
      <c r="A981" s="27" t="s">
        <v>2376</v>
      </c>
      <c r="B981" s="27">
        <v>6.0019837E7</v>
      </c>
      <c r="C981" s="27" t="s">
        <v>2377</v>
      </c>
      <c r="D981" s="27" t="s">
        <v>1960</v>
      </c>
      <c r="E981" s="27" t="s">
        <v>2233</v>
      </c>
      <c r="F981" s="5" t="s">
        <v>12</v>
      </c>
      <c r="G981" s="5" t="s">
        <v>36</v>
      </c>
    </row>
    <row r="982">
      <c r="A982" s="27" t="s">
        <v>2378</v>
      </c>
      <c r="B982" s="27" t="s">
        <v>2379</v>
      </c>
      <c r="C982" s="27" t="s">
        <v>2380</v>
      </c>
      <c r="D982" s="27" t="s">
        <v>1960</v>
      </c>
      <c r="E982" s="27" t="s">
        <v>2131</v>
      </c>
      <c r="F982" s="5" t="s">
        <v>12</v>
      </c>
      <c r="G982" s="5" t="s">
        <v>13</v>
      </c>
    </row>
    <row r="983">
      <c r="A983" s="27" t="s">
        <v>2381</v>
      </c>
      <c r="B983" s="27" t="s">
        <v>2382</v>
      </c>
      <c r="C983" s="27" t="s">
        <v>2383</v>
      </c>
      <c r="D983" s="27" t="s">
        <v>1960</v>
      </c>
      <c r="E983" s="27" t="s">
        <v>2131</v>
      </c>
      <c r="F983" s="5" t="s">
        <v>2363</v>
      </c>
      <c r="G983" s="5" t="s">
        <v>13</v>
      </c>
    </row>
    <row r="984">
      <c r="A984" s="27" t="s">
        <v>2384</v>
      </c>
      <c r="B984" s="27">
        <v>6.001984E7</v>
      </c>
      <c r="C984" s="27" t="s">
        <v>2385</v>
      </c>
      <c r="D984" s="27" t="s">
        <v>1960</v>
      </c>
      <c r="E984" s="27" t="s">
        <v>2233</v>
      </c>
      <c r="F984" s="5" t="s">
        <v>12</v>
      </c>
      <c r="G984" s="5" t="s">
        <v>36</v>
      </c>
    </row>
    <row r="985">
      <c r="A985" s="27" t="s">
        <v>2386</v>
      </c>
      <c r="B985" s="27">
        <v>6.0019064E7</v>
      </c>
      <c r="C985" s="27" t="s">
        <v>2387</v>
      </c>
      <c r="D985" s="27" t="s">
        <v>1960</v>
      </c>
      <c r="E985" s="27" t="s">
        <v>2131</v>
      </c>
      <c r="F985" s="5" t="s">
        <v>12</v>
      </c>
      <c r="G985" s="5" t="s">
        <v>13</v>
      </c>
    </row>
    <row r="986">
      <c r="A986" s="27" t="s">
        <v>2388</v>
      </c>
      <c r="B986" s="27">
        <v>6.0019836E7</v>
      </c>
      <c r="C986" s="27" t="s">
        <v>2389</v>
      </c>
      <c r="D986" s="27" t="s">
        <v>1960</v>
      </c>
      <c r="E986" s="27" t="s">
        <v>2227</v>
      </c>
      <c r="F986" s="5" t="s">
        <v>12</v>
      </c>
      <c r="G986" s="5" t="s">
        <v>36</v>
      </c>
    </row>
    <row r="987">
      <c r="A987" s="27" t="s">
        <v>2390</v>
      </c>
      <c r="B987" s="27" t="s">
        <v>2391</v>
      </c>
      <c r="C987" s="27" t="s">
        <v>2392</v>
      </c>
      <c r="D987" s="27" t="s">
        <v>1960</v>
      </c>
      <c r="E987" s="27" t="s">
        <v>2131</v>
      </c>
      <c r="F987" s="5" t="s">
        <v>12</v>
      </c>
      <c r="G987" s="5" t="s">
        <v>13</v>
      </c>
    </row>
    <row r="988">
      <c r="A988" s="27" t="s">
        <v>2393</v>
      </c>
      <c r="B988" s="27">
        <v>6.001985E7</v>
      </c>
      <c r="C988" s="27" t="s">
        <v>2394</v>
      </c>
      <c r="D988" s="27" t="s">
        <v>1960</v>
      </c>
      <c r="E988" s="27" t="s">
        <v>2233</v>
      </c>
      <c r="F988" s="5" t="s">
        <v>12</v>
      </c>
      <c r="G988" s="5" t="s">
        <v>36</v>
      </c>
    </row>
    <row r="989">
      <c r="A989" s="27" t="s">
        <v>2395</v>
      </c>
      <c r="B989" s="27" t="s">
        <v>2396</v>
      </c>
      <c r="C989" s="27" t="s">
        <v>2397</v>
      </c>
      <c r="D989" s="27" t="s">
        <v>1960</v>
      </c>
      <c r="E989" s="27" t="s">
        <v>2131</v>
      </c>
      <c r="F989" s="5" t="s">
        <v>12</v>
      </c>
      <c r="G989" s="5" t="s">
        <v>13</v>
      </c>
    </row>
    <row r="990">
      <c r="A990" s="27" t="s">
        <v>2398</v>
      </c>
      <c r="B990" s="27" t="s">
        <v>2399</v>
      </c>
      <c r="C990" s="27" t="s">
        <v>2400</v>
      </c>
      <c r="D990" s="27" t="s">
        <v>1960</v>
      </c>
      <c r="E990" s="27" t="s">
        <v>2131</v>
      </c>
      <c r="F990" s="5" t="s">
        <v>12</v>
      </c>
      <c r="G990" s="5" t="s">
        <v>13</v>
      </c>
    </row>
    <row r="991">
      <c r="A991" s="30" t="s">
        <v>2401</v>
      </c>
      <c r="B991" s="30" t="s">
        <v>2402</v>
      </c>
      <c r="C991" s="30" t="s">
        <v>2403</v>
      </c>
      <c r="D991" s="30" t="s">
        <v>1960</v>
      </c>
      <c r="E991" s="30" t="s">
        <v>2220</v>
      </c>
      <c r="F991" s="9" t="s">
        <v>2173</v>
      </c>
      <c r="G991" s="9" t="s">
        <v>36</v>
      </c>
    </row>
    <row r="992">
      <c r="A992" s="27" t="s">
        <v>2404</v>
      </c>
      <c r="B992" s="27">
        <v>6.001982E7</v>
      </c>
      <c r="C992" s="27" t="s">
        <v>2405</v>
      </c>
      <c r="D992" s="27" t="s">
        <v>1960</v>
      </c>
      <c r="E992" s="27" t="s">
        <v>2233</v>
      </c>
      <c r="F992" s="5" t="s">
        <v>12</v>
      </c>
      <c r="G992" s="5" t="s">
        <v>36</v>
      </c>
    </row>
    <row r="993">
      <c r="A993" s="27" t="s">
        <v>2406</v>
      </c>
      <c r="B993" s="27" t="s">
        <v>2407</v>
      </c>
      <c r="C993" s="27" t="s">
        <v>2408</v>
      </c>
      <c r="D993" s="27" t="s">
        <v>1960</v>
      </c>
      <c r="E993" s="27" t="s">
        <v>2131</v>
      </c>
      <c r="F993" s="5" t="s">
        <v>12</v>
      </c>
      <c r="G993" s="5" t="s">
        <v>13</v>
      </c>
    </row>
    <row r="994">
      <c r="A994" s="27" t="s">
        <v>2409</v>
      </c>
      <c r="B994" s="27">
        <v>6.0019858E7</v>
      </c>
      <c r="C994" s="27" t="s">
        <v>2410</v>
      </c>
      <c r="D994" s="27" t="s">
        <v>1960</v>
      </c>
      <c r="E994" s="27" t="s">
        <v>2227</v>
      </c>
      <c r="F994" s="5" t="s">
        <v>12</v>
      </c>
      <c r="G994" s="5" t="s">
        <v>36</v>
      </c>
    </row>
    <row r="995">
      <c r="A995" s="27" t="s">
        <v>2411</v>
      </c>
      <c r="B995" s="27">
        <v>6.0019816E7</v>
      </c>
      <c r="C995" s="27" t="s">
        <v>2412</v>
      </c>
      <c r="D995" s="27" t="s">
        <v>1960</v>
      </c>
      <c r="E995" s="27" t="s">
        <v>2227</v>
      </c>
      <c r="F995" s="5" t="s">
        <v>12</v>
      </c>
      <c r="G995" s="5" t="s">
        <v>36</v>
      </c>
    </row>
    <row r="996">
      <c r="A996" s="27" t="s">
        <v>2413</v>
      </c>
      <c r="B996" s="27">
        <v>6.0019846E7</v>
      </c>
      <c r="C996" s="27" t="s">
        <v>2414</v>
      </c>
      <c r="D996" s="27" t="s">
        <v>1960</v>
      </c>
      <c r="E996" s="27" t="s">
        <v>2233</v>
      </c>
      <c r="F996" s="5" t="s">
        <v>12</v>
      </c>
      <c r="G996" s="5" t="s">
        <v>36</v>
      </c>
    </row>
    <row r="997">
      <c r="A997" s="27" t="s">
        <v>2415</v>
      </c>
      <c r="B997" s="27">
        <v>6.0019821E7</v>
      </c>
      <c r="C997" s="27" t="s">
        <v>2416</v>
      </c>
      <c r="D997" s="27" t="s">
        <v>1960</v>
      </c>
      <c r="E997" s="27" t="s">
        <v>2227</v>
      </c>
      <c r="F997" s="5" t="s">
        <v>12</v>
      </c>
      <c r="G997" s="5" t="s">
        <v>36</v>
      </c>
    </row>
    <row r="998">
      <c r="A998" s="27" t="s">
        <v>2417</v>
      </c>
      <c r="B998" s="27" t="s">
        <v>2418</v>
      </c>
      <c r="C998" s="27" t="s">
        <v>2419</v>
      </c>
      <c r="D998" s="27" t="s">
        <v>1960</v>
      </c>
      <c r="E998" s="27" t="s">
        <v>2131</v>
      </c>
      <c r="F998" s="5" t="s">
        <v>12</v>
      </c>
      <c r="G998" s="5" t="s">
        <v>13</v>
      </c>
    </row>
    <row r="999">
      <c r="A999" s="27" t="s">
        <v>2420</v>
      </c>
      <c r="B999" s="27">
        <v>6.0019847E7</v>
      </c>
      <c r="C999" s="27" t="s">
        <v>2421</v>
      </c>
      <c r="D999" s="27" t="s">
        <v>1960</v>
      </c>
      <c r="E999" s="27" t="s">
        <v>2233</v>
      </c>
      <c r="F999" s="5" t="s">
        <v>12</v>
      </c>
      <c r="G999" s="5" t="s">
        <v>36</v>
      </c>
    </row>
    <row r="1000">
      <c r="A1000" s="27" t="s">
        <v>2422</v>
      </c>
      <c r="B1000" s="27">
        <v>6.0019863E7</v>
      </c>
      <c r="C1000" s="27" t="s">
        <v>2423</v>
      </c>
      <c r="D1000" s="27" t="s">
        <v>1960</v>
      </c>
      <c r="E1000" s="27" t="s">
        <v>2227</v>
      </c>
      <c r="F1000" s="5" t="s">
        <v>12</v>
      </c>
      <c r="G1000" s="5" t="s">
        <v>36</v>
      </c>
    </row>
    <row r="1001">
      <c r="A1001" s="31" t="s">
        <v>2424</v>
      </c>
      <c r="B1001" s="31" t="s">
        <v>2425</v>
      </c>
      <c r="C1001" s="31" t="s">
        <v>2426</v>
      </c>
      <c r="D1001" s="31" t="s">
        <v>1960</v>
      </c>
      <c r="E1001" s="31" t="s">
        <v>2197</v>
      </c>
      <c r="F1001" s="32" t="s">
        <v>12</v>
      </c>
      <c r="G1001" s="32" t="s">
        <v>13</v>
      </c>
    </row>
    <row r="1002">
      <c r="A1002" s="27" t="s">
        <v>2427</v>
      </c>
      <c r="B1002" s="27">
        <v>6.0019826E7</v>
      </c>
      <c r="C1002" s="27" t="s">
        <v>2428</v>
      </c>
      <c r="D1002" s="27" t="s">
        <v>1960</v>
      </c>
      <c r="E1002" s="27" t="s">
        <v>2233</v>
      </c>
      <c r="F1002" s="5" t="s">
        <v>12</v>
      </c>
      <c r="G1002" s="5" t="s">
        <v>36</v>
      </c>
    </row>
    <row r="1003">
      <c r="A1003" s="27" t="s">
        <v>2429</v>
      </c>
      <c r="B1003" s="27">
        <v>6.0019853E7</v>
      </c>
      <c r="C1003" s="27" t="s">
        <v>2430</v>
      </c>
      <c r="D1003" s="27" t="s">
        <v>1960</v>
      </c>
      <c r="E1003" s="27" t="s">
        <v>2233</v>
      </c>
      <c r="F1003" s="5" t="s">
        <v>12</v>
      </c>
      <c r="G1003" s="5" t="s">
        <v>36</v>
      </c>
    </row>
    <row r="1004">
      <c r="A1004" s="27" t="s">
        <v>2431</v>
      </c>
      <c r="B1004" s="27">
        <v>6.0019844E7</v>
      </c>
      <c r="C1004" s="27" t="s">
        <v>2432</v>
      </c>
      <c r="D1004" s="27" t="s">
        <v>1960</v>
      </c>
      <c r="E1004" s="27" t="s">
        <v>2233</v>
      </c>
      <c r="F1004" s="5" t="s">
        <v>12</v>
      </c>
      <c r="G1004" s="5" t="s">
        <v>36</v>
      </c>
    </row>
    <row r="1005">
      <c r="A1005" s="27" t="s">
        <v>2433</v>
      </c>
      <c r="B1005" s="27">
        <v>6.0019876E7</v>
      </c>
      <c r="C1005" s="27" t="s">
        <v>2434</v>
      </c>
      <c r="D1005" s="27" t="s">
        <v>1960</v>
      </c>
      <c r="E1005" s="27" t="s">
        <v>2233</v>
      </c>
      <c r="F1005" s="5" t="s">
        <v>12</v>
      </c>
      <c r="G1005" s="5" t="s">
        <v>36</v>
      </c>
    </row>
    <row r="1006">
      <c r="A1006" s="27" t="s">
        <v>2435</v>
      </c>
      <c r="B1006" s="27">
        <v>6.0019818E7</v>
      </c>
      <c r="C1006" s="27" t="s">
        <v>2436</v>
      </c>
      <c r="D1006" s="27" t="s">
        <v>1960</v>
      </c>
      <c r="E1006" s="27" t="s">
        <v>2233</v>
      </c>
      <c r="F1006" s="5" t="s">
        <v>12</v>
      </c>
      <c r="G1006" s="5" t="s">
        <v>36</v>
      </c>
    </row>
    <row r="1007">
      <c r="A1007" s="27" t="s">
        <v>2437</v>
      </c>
      <c r="B1007" s="27">
        <v>6.0019845E7</v>
      </c>
      <c r="C1007" s="27" t="s">
        <v>2438</v>
      </c>
      <c r="D1007" s="27" t="s">
        <v>1960</v>
      </c>
      <c r="E1007" s="27" t="s">
        <v>2233</v>
      </c>
      <c r="F1007" s="5" t="s">
        <v>12</v>
      </c>
      <c r="G1007" s="5" t="s">
        <v>36</v>
      </c>
    </row>
    <row r="1008">
      <c r="A1008" s="27" t="s">
        <v>2439</v>
      </c>
      <c r="B1008" s="27" t="s">
        <v>2440</v>
      </c>
      <c r="C1008" s="27" t="s">
        <v>2441</v>
      </c>
      <c r="D1008" s="27" t="s">
        <v>1960</v>
      </c>
      <c r="E1008" s="27" t="s">
        <v>2442</v>
      </c>
      <c r="F1008" s="5" t="s">
        <v>12</v>
      </c>
      <c r="G1008" s="5" t="s">
        <v>36</v>
      </c>
    </row>
    <row r="1009">
      <c r="A1009" s="27" t="s">
        <v>2443</v>
      </c>
      <c r="B1009" s="27" t="s">
        <v>2444</v>
      </c>
      <c r="C1009" s="27" t="s">
        <v>2445</v>
      </c>
      <c r="D1009" s="27" t="s">
        <v>1960</v>
      </c>
      <c r="E1009" s="27" t="s">
        <v>2131</v>
      </c>
      <c r="F1009" s="5" t="s">
        <v>12</v>
      </c>
      <c r="G1009" s="5" t="s">
        <v>13</v>
      </c>
    </row>
    <row r="1010">
      <c r="A1010" s="27" t="s">
        <v>2446</v>
      </c>
      <c r="B1010" s="27" t="s">
        <v>2447</v>
      </c>
      <c r="C1010" s="27" t="s">
        <v>2448</v>
      </c>
      <c r="D1010" s="27" t="s">
        <v>1960</v>
      </c>
      <c r="E1010" s="27" t="s">
        <v>2131</v>
      </c>
      <c r="F1010" s="5" t="s">
        <v>12</v>
      </c>
      <c r="G1010" s="5" t="s">
        <v>13</v>
      </c>
    </row>
    <row r="1011">
      <c r="A1011" s="27" t="s">
        <v>2449</v>
      </c>
      <c r="B1011" s="27">
        <v>6.0019849E7</v>
      </c>
      <c r="C1011" s="27" t="s">
        <v>2450</v>
      </c>
      <c r="D1011" s="27" t="s">
        <v>1960</v>
      </c>
      <c r="E1011" s="27" t="s">
        <v>2233</v>
      </c>
      <c r="F1011" s="5" t="s">
        <v>12</v>
      </c>
      <c r="G1011" s="5" t="s">
        <v>36</v>
      </c>
    </row>
    <row r="1012">
      <c r="A1012" s="27" t="s">
        <v>2451</v>
      </c>
      <c r="B1012" s="27">
        <v>6.0019866E7</v>
      </c>
      <c r="C1012" s="27" t="s">
        <v>2452</v>
      </c>
      <c r="D1012" s="27" t="s">
        <v>1960</v>
      </c>
      <c r="E1012" s="27" t="s">
        <v>2233</v>
      </c>
      <c r="F1012" s="5" t="s">
        <v>12</v>
      </c>
      <c r="G1012" s="5" t="s">
        <v>36</v>
      </c>
    </row>
    <row r="1013">
      <c r="A1013" s="27" t="s">
        <v>2453</v>
      </c>
      <c r="B1013" s="27" t="s">
        <v>2454</v>
      </c>
      <c r="C1013" s="27" t="s">
        <v>2455</v>
      </c>
      <c r="D1013" s="27" t="s">
        <v>1960</v>
      </c>
      <c r="E1013" s="27" t="s">
        <v>2220</v>
      </c>
      <c r="F1013" s="5" t="s">
        <v>12</v>
      </c>
      <c r="G1013" s="5" t="s">
        <v>36</v>
      </c>
    </row>
    <row r="1014">
      <c r="A1014" s="27" t="s">
        <v>2456</v>
      </c>
      <c r="B1014" s="27" t="s">
        <v>2457</v>
      </c>
      <c r="C1014" s="27" t="s">
        <v>2458</v>
      </c>
      <c r="D1014" s="27" t="s">
        <v>1960</v>
      </c>
      <c r="E1014" s="27" t="s">
        <v>2020</v>
      </c>
      <c r="F1014" s="5" t="s">
        <v>12</v>
      </c>
      <c r="G1014" s="5" t="s">
        <v>79</v>
      </c>
    </row>
    <row r="1015">
      <c r="A1015" s="27" t="s">
        <v>2459</v>
      </c>
      <c r="B1015" s="27">
        <v>6.0019833E7</v>
      </c>
      <c r="C1015" s="27" t="s">
        <v>2460</v>
      </c>
      <c r="D1015" s="27" t="s">
        <v>1960</v>
      </c>
      <c r="E1015" s="27" t="s">
        <v>2233</v>
      </c>
      <c r="F1015" s="5" t="s">
        <v>12</v>
      </c>
      <c r="G1015" s="5" t="s">
        <v>36</v>
      </c>
    </row>
    <row r="1016">
      <c r="A1016" s="27" t="s">
        <v>2461</v>
      </c>
      <c r="B1016" s="27">
        <v>6.0019867E7</v>
      </c>
      <c r="C1016" s="27" t="s">
        <v>2462</v>
      </c>
      <c r="D1016" s="27" t="s">
        <v>1960</v>
      </c>
      <c r="E1016" s="27" t="s">
        <v>2233</v>
      </c>
      <c r="F1016" s="5" t="s">
        <v>12</v>
      </c>
      <c r="G1016" s="5" t="s">
        <v>36</v>
      </c>
    </row>
    <row r="1017">
      <c r="A1017" s="30" t="s">
        <v>2463</v>
      </c>
      <c r="B1017" s="30" t="s">
        <v>2464</v>
      </c>
      <c r="C1017" s="30" t="s">
        <v>2465</v>
      </c>
      <c r="D1017" s="30" t="s">
        <v>1960</v>
      </c>
      <c r="E1017" s="30" t="s">
        <v>2116</v>
      </c>
      <c r="F1017" s="9" t="s">
        <v>12</v>
      </c>
      <c r="G1017" s="9" t="s">
        <v>79</v>
      </c>
    </row>
    <row r="1018">
      <c r="A1018" s="27" t="s">
        <v>2466</v>
      </c>
      <c r="B1018" s="27" t="s">
        <v>2467</v>
      </c>
      <c r="C1018" s="27" t="s">
        <v>2468</v>
      </c>
      <c r="D1018" s="27" t="s">
        <v>1960</v>
      </c>
      <c r="E1018" s="27" t="s">
        <v>2220</v>
      </c>
      <c r="F1018" s="5" t="s">
        <v>12</v>
      </c>
      <c r="G1018" s="5" t="s">
        <v>36</v>
      </c>
    </row>
    <row r="1019">
      <c r="A1019" s="27" t="s">
        <v>2469</v>
      </c>
      <c r="B1019" s="27">
        <v>6.0019855E7</v>
      </c>
      <c r="C1019" s="27" t="s">
        <v>2470</v>
      </c>
      <c r="D1019" s="27" t="s">
        <v>1960</v>
      </c>
      <c r="E1019" s="27" t="s">
        <v>2233</v>
      </c>
      <c r="F1019" s="5" t="s">
        <v>12</v>
      </c>
      <c r="G1019" s="5" t="s">
        <v>36</v>
      </c>
    </row>
    <row r="1020">
      <c r="A1020" s="27" t="s">
        <v>2471</v>
      </c>
      <c r="B1020" s="27" t="s">
        <v>2472</v>
      </c>
      <c r="C1020" s="27" t="s">
        <v>2473</v>
      </c>
      <c r="D1020" s="27" t="s">
        <v>2303</v>
      </c>
      <c r="E1020" s="27" t="s">
        <v>2116</v>
      </c>
      <c r="F1020" s="5" t="s">
        <v>12</v>
      </c>
      <c r="G1020" s="5" t="s">
        <v>79</v>
      </c>
    </row>
    <row r="1021">
      <c r="A1021" s="27" t="s">
        <v>2474</v>
      </c>
      <c r="B1021" s="27">
        <v>6.0019857E7</v>
      </c>
      <c r="C1021" s="27" t="s">
        <v>2475</v>
      </c>
      <c r="D1021" s="27" t="s">
        <v>1960</v>
      </c>
      <c r="E1021" s="27" t="s">
        <v>2233</v>
      </c>
      <c r="F1021" s="5" t="s">
        <v>12</v>
      </c>
      <c r="G1021" s="5" t="s">
        <v>36</v>
      </c>
    </row>
    <row r="1022">
      <c r="A1022" s="27" t="s">
        <v>2476</v>
      </c>
      <c r="B1022" s="27">
        <v>6.0019879E7</v>
      </c>
      <c r="C1022" s="27" t="s">
        <v>2477</v>
      </c>
      <c r="D1022" s="27" t="s">
        <v>1960</v>
      </c>
      <c r="E1022" s="27" t="s">
        <v>2227</v>
      </c>
      <c r="F1022" s="5" t="s">
        <v>12</v>
      </c>
      <c r="G1022" s="5" t="s">
        <v>36</v>
      </c>
    </row>
    <row r="1023">
      <c r="A1023" s="27" t="s">
        <v>2478</v>
      </c>
      <c r="B1023" s="27" t="s">
        <v>2479</v>
      </c>
      <c r="C1023" s="27" t="s">
        <v>2480</v>
      </c>
      <c r="D1023" s="27" t="s">
        <v>1960</v>
      </c>
      <c r="E1023" s="27" t="s">
        <v>2131</v>
      </c>
      <c r="F1023" s="5" t="s">
        <v>12</v>
      </c>
      <c r="G1023" s="5" t="s">
        <v>13</v>
      </c>
    </row>
    <row r="1024">
      <c r="A1024" s="27" t="s">
        <v>2481</v>
      </c>
      <c r="B1024" s="27">
        <v>6.0019834E7</v>
      </c>
      <c r="C1024" s="27" t="s">
        <v>2482</v>
      </c>
      <c r="D1024" s="27" t="s">
        <v>1960</v>
      </c>
      <c r="E1024" s="27" t="s">
        <v>2233</v>
      </c>
      <c r="F1024" s="5" t="s">
        <v>12</v>
      </c>
      <c r="G1024" s="5" t="s">
        <v>36</v>
      </c>
    </row>
    <row r="1025">
      <c r="A1025" s="27" t="s">
        <v>2483</v>
      </c>
      <c r="B1025" s="27" t="s">
        <v>2484</v>
      </c>
      <c r="C1025" s="27" t="s">
        <v>2485</v>
      </c>
      <c r="D1025" s="27" t="s">
        <v>1960</v>
      </c>
      <c r="E1025" s="27" t="s">
        <v>2116</v>
      </c>
      <c r="F1025" s="5" t="s">
        <v>12</v>
      </c>
      <c r="G1025" s="5" t="s">
        <v>79</v>
      </c>
    </row>
    <row r="1026">
      <c r="A1026" s="27" t="s">
        <v>2486</v>
      </c>
      <c r="B1026" s="27">
        <v>6.0019881E7</v>
      </c>
      <c r="C1026" s="27" t="s">
        <v>2487</v>
      </c>
      <c r="D1026" s="27" t="s">
        <v>1960</v>
      </c>
      <c r="E1026" s="27" t="s">
        <v>2349</v>
      </c>
      <c r="F1026" s="5" t="s">
        <v>12</v>
      </c>
      <c r="G1026" s="5" t="s">
        <v>36</v>
      </c>
    </row>
    <row r="1027">
      <c r="A1027" s="27" t="s">
        <v>2488</v>
      </c>
      <c r="B1027" s="27" t="s">
        <v>2489</v>
      </c>
      <c r="C1027" s="27" t="s">
        <v>2490</v>
      </c>
      <c r="D1027" s="27" t="s">
        <v>1960</v>
      </c>
      <c r="E1027" s="27" t="s">
        <v>2131</v>
      </c>
      <c r="F1027" s="5" t="s">
        <v>2491</v>
      </c>
      <c r="G1027" s="5" t="s">
        <v>13</v>
      </c>
    </row>
    <row r="1028">
      <c r="A1028" s="27" t="s">
        <v>2492</v>
      </c>
      <c r="B1028" s="27">
        <v>6.0019882E7</v>
      </c>
      <c r="C1028" s="27" t="s">
        <v>2493</v>
      </c>
      <c r="D1028" s="27" t="s">
        <v>1960</v>
      </c>
      <c r="E1028" s="27" t="s">
        <v>2349</v>
      </c>
      <c r="F1028" s="5" t="s">
        <v>12</v>
      </c>
      <c r="G1028" s="5" t="s">
        <v>36</v>
      </c>
    </row>
    <row r="1029">
      <c r="A1029" s="27" t="s">
        <v>2494</v>
      </c>
      <c r="B1029" s="27">
        <v>6.0019841E7</v>
      </c>
      <c r="C1029" s="27" t="s">
        <v>2495</v>
      </c>
      <c r="D1029" s="27" t="s">
        <v>1960</v>
      </c>
      <c r="E1029" s="27" t="s">
        <v>2233</v>
      </c>
      <c r="F1029" s="5" t="s">
        <v>12</v>
      </c>
      <c r="G1029" s="5" t="s">
        <v>36</v>
      </c>
    </row>
    <row r="1030">
      <c r="A1030" s="27" t="s">
        <v>2496</v>
      </c>
      <c r="B1030" s="27">
        <v>6.0019865E7</v>
      </c>
      <c r="C1030" s="27" t="s">
        <v>2497</v>
      </c>
      <c r="D1030" s="27" t="s">
        <v>1960</v>
      </c>
      <c r="E1030" s="27" t="s">
        <v>2233</v>
      </c>
      <c r="F1030" s="5" t="s">
        <v>12</v>
      </c>
      <c r="G1030" s="5" t="s">
        <v>36</v>
      </c>
    </row>
    <row r="1031">
      <c r="A1031" s="27" t="s">
        <v>2498</v>
      </c>
      <c r="B1031" s="27">
        <v>6.0019862E7</v>
      </c>
      <c r="C1031" s="27" t="s">
        <v>2499</v>
      </c>
      <c r="D1031" s="27" t="s">
        <v>1960</v>
      </c>
      <c r="E1031" s="27" t="s">
        <v>2233</v>
      </c>
      <c r="F1031" s="5" t="s">
        <v>12</v>
      </c>
      <c r="G1031" s="5" t="s">
        <v>36</v>
      </c>
    </row>
    <row r="1032">
      <c r="A1032" s="27" t="s">
        <v>2500</v>
      </c>
      <c r="B1032" s="27" t="s">
        <v>2501</v>
      </c>
      <c r="C1032" s="27" t="s">
        <v>2502</v>
      </c>
      <c r="D1032" s="27" t="s">
        <v>1960</v>
      </c>
      <c r="E1032" s="27" t="s">
        <v>2131</v>
      </c>
      <c r="F1032" s="5" t="s">
        <v>12</v>
      </c>
      <c r="G1032" s="5" t="s">
        <v>13</v>
      </c>
    </row>
    <row r="1033">
      <c r="A1033" s="27" t="s">
        <v>2503</v>
      </c>
      <c r="B1033" s="27">
        <v>6.001988E7</v>
      </c>
      <c r="C1033" s="27" t="s">
        <v>2504</v>
      </c>
      <c r="D1033" s="27" t="s">
        <v>1960</v>
      </c>
      <c r="E1033" s="27" t="s">
        <v>2227</v>
      </c>
      <c r="F1033" s="5" t="s">
        <v>12</v>
      </c>
      <c r="G1033" s="5" t="s">
        <v>36</v>
      </c>
    </row>
    <row r="1034">
      <c r="A1034" s="27" t="s">
        <v>2505</v>
      </c>
      <c r="B1034" s="27">
        <v>6.0019838E7</v>
      </c>
      <c r="C1034" s="27" t="s">
        <v>2506</v>
      </c>
      <c r="D1034" s="27" t="s">
        <v>1960</v>
      </c>
      <c r="E1034" s="27" t="s">
        <v>2233</v>
      </c>
      <c r="F1034" s="5" t="s">
        <v>12</v>
      </c>
      <c r="G1034" s="5" t="s">
        <v>36</v>
      </c>
    </row>
    <row r="1035">
      <c r="A1035" s="27" t="s">
        <v>2507</v>
      </c>
      <c r="B1035" s="27" t="s">
        <v>2508</v>
      </c>
      <c r="C1035" s="27" t="s">
        <v>2509</v>
      </c>
      <c r="D1035" s="27" t="s">
        <v>1960</v>
      </c>
      <c r="E1035" s="27" t="s">
        <v>2131</v>
      </c>
      <c r="F1035" s="5" t="s">
        <v>12</v>
      </c>
      <c r="G1035" s="5" t="s">
        <v>13</v>
      </c>
    </row>
    <row r="1036">
      <c r="A1036" s="27" t="s">
        <v>2510</v>
      </c>
      <c r="B1036" s="27" t="s">
        <v>2511</v>
      </c>
      <c r="C1036" s="27" t="s">
        <v>2512</v>
      </c>
      <c r="D1036" s="27" t="s">
        <v>1960</v>
      </c>
      <c r="E1036" s="27" t="s">
        <v>2220</v>
      </c>
      <c r="F1036" s="5" t="s">
        <v>12</v>
      </c>
      <c r="G1036" s="5" t="s">
        <v>36</v>
      </c>
    </row>
    <row r="1037">
      <c r="A1037" s="27" t="s">
        <v>2513</v>
      </c>
      <c r="B1037" s="27" t="s">
        <v>2514</v>
      </c>
      <c r="C1037" s="27" t="s">
        <v>2515</v>
      </c>
      <c r="D1037" s="27" t="s">
        <v>1960</v>
      </c>
      <c r="E1037" s="27" t="s">
        <v>2131</v>
      </c>
      <c r="F1037" s="5" t="s">
        <v>12</v>
      </c>
      <c r="G1037" s="5" t="s">
        <v>13</v>
      </c>
    </row>
    <row r="1038">
      <c r="A1038" s="27" t="s">
        <v>2516</v>
      </c>
      <c r="B1038" s="27">
        <v>6.0019839E7</v>
      </c>
      <c r="C1038" s="27" t="s">
        <v>2517</v>
      </c>
      <c r="D1038" s="27" t="s">
        <v>1960</v>
      </c>
      <c r="E1038" s="27" t="s">
        <v>2233</v>
      </c>
      <c r="F1038" s="5" t="s">
        <v>12</v>
      </c>
      <c r="G1038" s="5" t="s">
        <v>36</v>
      </c>
    </row>
    <row r="1039">
      <c r="A1039" s="27" t="s">
        <v>2518</v>
      </c>
      <c r="B1039" s="27">
        <v>6.0020079E7</v>
      </c>
      <c r="C1039" s="27" t="s">
        <v>2519</v>
      </c>
      <c r="D1039" s="27" t="s">
        <v>1960</v>
      </c>
      <c r="E1039" s="27" t="s">
        <v>2242</v>
      </c>
      <c r="F1039" s="5" t="s">
        <v>12</v>
      </c>
      <c r="G1039" s="5" t="s">
        <v>13</v>
      </c>
    </row>
    <row r="1040">
      <c r="A1040" s="27" t="s">
        <v>2520</v>
      </c>
      <c r="B1040" s="27" t="s">
        <v>2521</v>
      </c>
      <c r="C1040" s="27" t="s">
        <v>2522</v>
      </c>
      <c r="D1040" s="27" t="s">
        <v>1960</v>
      </c>
      <c r="E1040" s="27" t="s">
        <v>2131</v>
      </c>
      <c r="F1040" s="5" t="s">
        <v>12</v>
      </c>
      <c r="G1040" s="5" t="s">
        <v>13</v>
      </c>
    </row>
    <row r="1041">
      <c r="A1041" s="30" t="s">
        <v>2523</v>
      </c>
      <c r="B1041" s="30">
        <v>6.0019872E7</v>
      </c>
      <c r="C1041" s="30" t="s">
        <v>2524</v>
      </c>
      <c r="D1041" s="30" t="s">
        <v>1960</v>
      </c>
      <c r="E1041" s="30" t="s">
        <v>2233</v>
      </c>
      <c r="F1041" s="9" t="s">
        <v>2173</v>
      </c>
      <c r="G1041" s="9" t="s">
        <v>36</v>
      </c>
    </row>
    <row r="1042">
      <c r="A1042" s="27" t="s">
        <v>2525</v>
      </c>
      <c r="B1042" s="27" t="s">
        <v>2526</v>
      </c>
      <c r="C1042" s="27" t="s">
        <v>2527</v>
      </c>
      <c r="D1042" s="27" t="s">
        <v>1960</v>
      </c>
      <c r="E1042" s="27" t="s">
        <v>2528</v>
      </c>
      <c r="F1042" s="5" t="s">
        <v>12</v>
      </c>
      <c r="G1042" s="5" t="s">
        <v>13</v>
      </c>
    </row>
    <row r="1043">
      <c r="A1043" s="27" t="s">
        <v>2529</v>
      </c>
      <c r="B1043" s="27">
        <v>6.0019873E7</v>
      </c>
      <c r="C1043" s="27" t="s">
        <v>2530</v>
      </c>
      <c r="D1043" s="27" t="s">
        <v>1960</v>
      </c>
      <c r="E1043" s="27" t="s">
        <v>2233</v>
      </c>
      <c r="F1043" s="5" t="s">
        <v>12</v>
      </c>
      <c r="G1043" s="5" t="s">
        <v>36</v>
      </c>
    </row>
    <row r="1044">
      <c r="A1044" s="27" t="s">
        <v>2531</v>
      </c>
      <c r="B1044" s="27" t="s">
        <v>2532</v>
      </c>
      <c r="C1044" s="27" t="s">
        <v>2533</v>
      </c>
      <c r="D1044" s="27" t="s">
        <v>1960</v>
      </c>
      <c r="E1044" s="27" t="s">
        <v>2534</v>
      </c>
      <c r="F1044" s="5" t="s">
        <v>12</v>
      </c>
      <c r="G1044" s="5" t="s">
        <v>13</v>
      </c>
    </row>
    <row r="1045">
      <c r="A1045" s="27" t="s">
        <v>2535</v>
      </c>
      <c r="B1045" s="27" t="s">
        <v>2536</v>
      </c>
      <c r="C1045" s="27" t="s">
        <v>2537</v>
      </c>
      <c r="D1045" s="27" t="s">
        <v>1960</v>
      </c>
      <c r="E1045" s="27" t="s">
        <v>2131</v>
      </c>
      <c r="F1045" s="5" t="s">
        <v>12</v>
      </c>
      <c r="G1045" s="5" t="s">
        <v>13</v>
      </c>
    </row>
    <row r="1046">
      <c r="A1046" s="27" t="s">
        <v>2538</v>
      </c>
      <c r="B1046" s="27">
        <v>6.0020148E7</v>
      </c>
      <c r="C1046" s="27" t="s">
        <v>2539</v>
      </c>
      <c r="D1046" s="27" t="s">
        <v>1960</v>
      </c>
      <c r="E1046" s="27" t="s">
        <v>2540</v>
      </c>
      <c r="F1046" s="5" t="s">
        <v>12</v>
      </c>
      <c r="G1046" s="5" t="s">
        <v>13</v>
      </c>
    </row>
    <row r="1047">
      <c r="A1047" s="27" t="s">
        <v>2541</v>
      </c>
      <c r="B1047" s="27">
        <v>6.002015E7</v>
      </c>
      <c r="C1047" s="27" t="s">
        <v>2542</v>
      </c>
      <c r="D1047" s="27" t="s">
        <v>1960</v>
      </c>
      <c r="E1047" s="27" t="s">
        <v>2540</v>
      </c>
      <c r="F1047" s="5" t="s">
        <v>2491</v>
      </c>
      <c r="G1047" s="5" t="s">
        <v>13</v>
      </c>
    </row>
    <row r="1048">
      <c r="A1048" s="27" t="s">
        <v>2543</v>
      </c>
      <c r="B1048" s="27">
        <v>6.0020142E7</v>
      </c>
      <c r="C1048" s="27" t="s">
        <v>2544</v>
      </c>
      <c r="D1048" s="27" t="s">
        <v>1960</v>
      </c>
      <c r="E1048" s="27" t="s">
        <v>2540</v>
      </c>
      <c r="F1048" s="5" t="s">
        <v>12</v>
      </c>
      <c r="G1048" s="5" t="s">
        <v>13</v>
      </c>
    </row>
    <row r="1049">
      <c r="A1049" s="33" t="s">
        <v>2545</v>
      </c>
      <c r="B1049" s="33">
        <v>6.002025E7</v>
      </c>
      <c r="C1049" s="27" t="s">
        <v>2546</v>
      </c>
      <c r="D1049" s="27" t="s">
        <v>1960</v>
      </c>
      <c r="E1049" s="27" t="s">
        <v>2540</v>
      </c>
      <c r="F1049" s="5" t="s">
        <v>12</v>
      </c>
      <c r="G1049" s="5" t="s">
        <v>13</v>
      </c>
    </row>
    <row r="1050">
      <c r="A1050" s="33" t="s">
        <v>2547</v>
      </c>
      <c r="B1050" s="33">
        <v>6.0020251E7</v>
      </c>
      <c r="C1050" s="27" t="s">
        <v>2548</v>
      </c>
      <c r="D1050" s="27" t="s">
        <v>1960</v>
      </c>
      <c r="E1050" s="27" t="s">
        <v>2540</v>
      </c>
      <c r="F1050" s="5" t="s">
        <v>12</v>
      </c>
      <c r="G1050" s="5" t="s">
        <v>13</v>
      </c>
    </row>
    <row r="1051">
      <c r="A1051" s="33" t="s">
        <v>2549</v>
      </c>
      <c r="B1051" s="33">
        <v>6.0020252E7</v>
      </c>
      <c r="C1051" s="27" t="s">
        <v>2550</v>
      </c>
      <c r="D1051" s="27" t="s">
        <v>1960</v>
      </c>
      <c r="E1051" s="27" t="s">
        <v>2540</v>
      </c>
      <c r="F1051" s="5" t="s">
        <v>12</v>
      </c>
      <c r="G1051" s="5" t="s">
        <v>13</v>
      </c>
    </row>
    <row r="1052">
      <c r="A1052" s="33" t="s">
        <v>2551</v>
      </c>
      <c r="B1052" s="33">
        <v>6.0020253E7</v>
      </c>
      <c r="C1052" s="27" t="s">
        <v>2552</v>
      </c>
      <c r="D1052" s="27" t="s">
        <v>1960</v>
      </c>
      <c r="E1052" s="27" t="s">
        <v>2540</v>
      </c>
      <c r="F1052" s="5" t="s">
        <v>12</v>
      </c>
      <c r="G1052" s="5" t="s">
        <v>13</v>
      </c>
    </row>
    <row r="1053">
      <c r="A1053" s="33" t="s">
        <v>2553</v>
      </c>
      <c r="B1053" s="33">
        <v>6.0020254E7</v>
      </c>
      <c r="C1053" s="27" t="s">
        <v>2554</v>
      </c>
      <c r="D1053" s="27" t="s">
        <v>1960</v>
      </c>
      <c r="E1053" s="27" t="s">
        <v>2540</v>
      </c>
      <c r="F1053" s="5" t="s">
        <v>12</v>
      </c>
      <c r="G1053" s="5" t="s">
        <v>13</v>
      </c>
    </row>
    <row r="1054">
      <c r="A1054" s="33" t="s">
        <v>2555</v>
      </c>
      <c r="B1054" s="33">
        <v>6.0020255E7</v>
      </c>
      <c r="C1054" s="27" t="s">
        <v>2556</v>
      </c>
      <c r="D1054" s="27" t="s">
        <v>1960</v>
      </c>
      <c r="E1054" s="27" t="s">
        <v>2540</v>
      </c>
      <c r="F1054" s="5" t="s">
        <v>2557</v>
      </c>
      <c r="G1054" s="5" t="s">
        <v>13</v>
      </c>
    </row>
    <row r="1055">
      <c r="A1055" s="33" t="s">
        <v>2558</v>
      </c>
      <c r="B1055" s="33">
        <v>6.0020256E7</v>
      </c>
      <c r="C1055" s="27" t="s">
        <v>2559</v>
      </c>
      <c r="D1055" s="27" t="s">
        <v>1960</v>
      </c>
      <c r="E1055" s="27" t="s">
        <v>2540</v>
      </c>
      <c r="F1055" s="5" t="s">
        <v>2491</v>
      </c>
      <c r="G1055" s="5" t="s">
        <v>13</v>
      </c>
    </row>
    <row r="1056">
      <c r="A1056" s="33" t="s">
        <v>2560</v>
      </c>
      <c r="B1056" s="33">
        <v>6.0020257E7</v>
      </c>
      <c r="C1056" s="27" t="s">
        <v>2561</v>
      </c>
      <c r="D1056" s="27" t="s">
        <v>1960</v>
      </c>
      <c r="E1056" s="27" t="s">
        <v>2540</v>
      </c>
      <c r="F1056" s="5" t="s">
        <v>12</v>
      </c>
      <c r="G1056" s="5" t="s">
        <v>13</v>
      </c>
    </row>
    <row r="1057">
      <c r="A1057" s="33" t="s">
        <v>2562</v>
      </c>
      <c r="B1057" s="33">
        <v>6.0020258E7</v>
      </c>
      <c r="C1057" s="27" t="s">
        <v>2563</v>
      </c>
      <c r="D1057" s="27" t="s">
        <v>1960</v>
      </c>
      <c r="E1057" s="27" t="s">
        <v>2540</v>
      </c>
      <c r="F1057" s="5" t="s">
        <v>12</v>
      </c>
      <c r="G1057" s="5" t="s">
        <v>13</v>
      </c>
    </row>
    <row r="1058">
      <c r="A1058" s="33" t="s">
        <v>2564</v>
      </c>
      <c r="B1058" s="33">
        <v>6.0020262E7</v>
      </c>
      <c r="C1058" s="27" t="s">
        <v>2565</v>
      </c>
      <c r="D1058" s="27" t="s">
        <v>1960</v>
      </c>
      <c r="E1058" s="27" t="s">
        <v>2540</v>
      </c>
      <c r="F1058" s="5" t="s">
        <v>12</v>
      </c>
      <c r="G1058" s="5" t="s">
        <v>13</v>
      </c>
    </row>
    <row r="1059">
      <c r="A1059" s="33" t="s">
        <v>2566</v>
      </c>
      <c r="B1059" s="33">
        <v>6.0020264E7</v>
      </c>
      <c r="C1059" s="27" t="s">
        <v>2567</v>
      </c>
      <c r="D1059" s="27" t="s">
        <v>1960</v>
      </c>
      <c r="E1059" s="27" t="s">
        <v>2540</v>
      </c>
      <c r="F1059" s="5" t="s">
        <v>12</v>
      </c>
      <c r="G1059" s="5" t="s">
        <v>13</v>
      </c>
    </row>
    <row r="1060">
      <c r="A1060" s="33" t="s">
        <v>2568</v>
      </c>
      <c r="B1060" s="27">
        <v>6.0020297E7</v>
      </c>
      <c r="C1060" s="27" t="s">
        <v>2569</v>
      </c>
      <c r="D1060" s="27" t="s">
        <v>1960</v>
      </c>
      <c r="E1060" s="27" t="s">
        <v>2540</v>
      </c>
      <c r="F1060" s="5" t="s">
        <v>12</v>
      </c>
      <c r="G1060" s="5" t="s">
        <v>13</v>
      </c>
    </row>
    <row r="1061">
      <c r="A1061" s="27" t="s">
        <v>2570</v>
      </c>
      <c r="B1061" s="27">
        <v>6.0020433E7</v>
      </c>
      <c r="C1061" s="27" t="s">
        <v>2571</v>
      </c>
      <c r="D1061" s="27" t="s">
        <v>1960</v>
      </c>
      <c r="E1061" s="34" t="s">
        <v>2572</v>
      </c>
      <c r="F1061" s="5" t="s">
        <v>12</v>
      </c>
      <c r="G1061" s="5" t="s">
        <v>13</v>
      </c>
    </row>
    <row r="1062">
      <c r="A1062" s="27" t="s">
        <v>2573</v>
      </c>
      <c r="B1062" s="27">
        <v>6.0020434E7</v>
      </c>
      <c r="C1062" s="27" t="s">
        <v>2574</v>
      </c>
      <c r="D1062" s="27" t="s">
        <v>1960</v>
      </c>
      <c r="E1062" s="34" t="s">
        <v>2572</v>
      </c>
      <c r="F1062" s="5" t="s">
        <v>12</v>
      </c>
      <c r="G1062" s="5" t="s">
        <v>13</v>
      </c>
    </row>
    <row r="1063">
      <c r="A1063" s="27" t="s">
        <v>2575</v>
      </c>
      <c r="B1063" s="27">
        <v>6.0020435E7</v>
      </c>
      <c r="C1063" s="27" t="s">
        <v>2576</v>
      </c>
      <c r="D1063" s="27" t="s">
        <v>1960</v>
      </c>
      <c r="E1063" s="34" t="s">
        <v>2572</v>
      </c>
      <c r="F1063" s="5" t="s">
        <v>12</v>
      </c>
      <c r="G1063" s="5" t="s">
        <v>13</v>
      </c>
    </row>
    <row r="1064">
      <c r="A1064" s="27" t="s">
        <v>2577</v>
      </c>
      <c r="B1064" s="27">
        <v>6.0020436E7</v>
      </c>
      <c r="C1064" s="27" t="s">
        <v>2578</v>
      </c>
      <c r="D1064" s="27" t="s">
        <v>1960</v>
      </c>
      <c r="E1064" s="34" t="s">
        <v>2572</v>
      </c>
      <c r="F1064" s="5" t="s">
        <v>12</v>
      </c>
      <c r="G1064" s="5" t="s">
        <v>13</v>
      </c>
    </row>
    <row r="1065">
      <c r="A1065" s="27" t="s">
        <v>2579</v>
      </c>
      <c r="B1065" s="27">
        <v>6.0020437E7</v>
      </c>
      <c r="C1065" s="27" t="s">
        <v>2580</v>
      </c>
      <c r="D1065" s="27" t="s">
        <v>1960</v>
      </c>
      <c r="E1065" s="34" t="s">
        <v>2572</v>
      </c>
      <c r="F1065" s="5" t="s">
        <v>12</v>
      </c>
      <c r="G1065" s="5" t="s">
        <v>13</v>
      </c>
    </row>
    <row r="1066">
      <c r="A1066" s="27" t="s">
        <v>2581</v>
      </c>
      <c r="B1066" s="27">
        <v>6.0020438E7</v>
      </c>
      <c r="C1066" s="27" t="s">
        <v>2582</v>
      </c>
      <c r="D1066" s="27" t="s">
        <v>1960</v>
      </c>
      <c r="E1066" s="34" t="s">
        <v>2572</v>
      </c>
      <c r="F1066" s="5" t="s">
        <v>12</v>
      </c>
      <c r="G1066" s="5" t="s">
        <v>13</v>
      </c>
    </row>
    <row r="1067">
      <c r="A1067" s="30" t="s">
        <v>2583</v>
      </c>
      <c r="B1067" s="30">
        <v>6.0020439E7</v>
      </c>
      <c r="C1067" s="30" t="s">
        <v>2584</v>
      </c>
      <c r="D1067" s="30" t="s">
        <v>1960</v>
      </c>
      <c r="E1067" s="35" t="s">
        <v>2572</v>
      </c>
      <c r="F1067" s="9" t="s">
        <v>2173</v>
      </c>
      <c r="G1067" s="9" t="s">
        <v>13</v>
      </c>
    </row>
    <row r="1068">
      <c r="A1068" s="27" t="s">
        <v>2585</v>
      </c>
      <c r="B1068" s="27">
        <v>6.002044E7</v>
      </c>
      <c r="C1068" s="27" t="s">
        <v>2586</v>
      </c>
      <c r="D1068" s="27" t="s">
        <v>1960</v>
      </c>
      <c r="E1068" s="34" t="s">
        <v>2572</v>
      </c>
      <c r="F1068" s="5" t="s">
        <v>12</v>
      </c>
      <c r="G1068" s="5" t="s">
        <v>13</v>
      </c>
    </row>
    <row r="1069">
      <c r="A1069" s="27" t="s">
        <v>2587</v>
      </c>
      <c r="B1069" s="27">
        <v>6.0020442E7</v>
      </c>
      <c r="C1069" s="27" t="s">
        <v>2588</v>
      </c>
      <c r="D1069" s="27" t="s">
        <v>1960</v>
      </c>
      <c r="E1069" s="34" t="s">
        <v>2572</v>
      </c>
      <c r="F1069" s="5" t="s">
        <v>12</v>
      </c>
      <c r="G1069" s="5" t="s">
        <v>13</v>
      </c>
    </row>
    <row r="1070">
      <c r="A1070" s="27" t="s">
        <v>2589</v>
      </c>
      <c r="B1070" s="27">
        <v>6.0020443E7</v>
      </c>
      <c r="C1070" s="27" t="s">
        <v>2590</v>
      </c>
      <c r="D1070" s="27" t="s">
        <v>1960</v>
      </c>
      <c r="E1070" s="34" t="s">
        <v>2572</v>
      </c>
      <c r="F1070" s="5" t="s">
        <v>12</v>
      </c>
      <c r="G1070" s="5" t="s">
        <v>13</v>
      </c>
    </row>
    <row r="1071">
      <c r="A1071" s="27" t="s">
        <v>2591</v>
      </c>
      <c r="B1071" s="27">
        <v>6.0020445E7</v>
      </c>
      <c r="C1071" s="27" t="s">
        <v>2592</v>
      </c>
      <c r="D1071" s="27" t="s">
        <v>1960</v>
      </c>
      <c r="E1071" s="34" t="s">
        <v>2572</v>
      </c>
      <c r="F1071" s="5" t="s">
        <v>12</v>
      </c>
      <c r="G1071" s="5" t="s">
        <v>13</v>
      </c>
    </row>
    <row r="1072">
      <c r="A1072" s="27" t="s">
        <v>2593</v>
      </c>
      <c r="B1072" s="27">
        <v>6.0020446E7</v>
      </c>
      <c r="C1072" s="27" t="s">
        <v>2594</v>
      </c>
      <c r="D1072" s="27" t="s">
        <v>1960</v>
      </c>
      <c r="E1072" s="34" t="s">
        <v>2572</v>
      </c>
      <c r="F1072" s="5" t="s">
        <v>12</v>
      </c>
      <c r="G1072" s="5" t="s">
        <v>13</v>
      </c>
    </row>
    <row r="1073">
      <c r="A1073" s="27" t="s">
        <v>2595</v>
      </c>
      <c r="B1073" s="27">
        <v>6.0020447E7</v>
      </c>
      <c r="C1073" s="27" t="s">
        <v>2596</v>
      </c>
      <c r="D1073" s="27" t="s">
        <v>1960</v>
      </c>
      <c r="E1073" s="34" t="s">
        <v>2572</v>
      </c>
      <c r="F1073" s="5" t="s">
        <v>12</v>
      </c>
      <c r="G1073" s="5" t="s">
        <v>13</v>
      </c>
    </row>
    <row r="1074">
      <c r="A1074" s="30" t="s">
        <v>2597</v>
      </c>
      <c r="B1074" s="30">
        <v>6.0020448E7</v>
      </c>
      <c r="C1074" s="30" t="s">
        <v>2598</v>
      </c>
      <c r="D1074" s="30" t="s">
        <v>1960</v>
      </c>
      <c r="E1074" s="35" t="s">
        <v>2572</v>
      </c>
      <c r="F1074" s="9" t="s">
        <v>2173</v>
      </c>
      <c r="G1074" s="9" t="s">
        <v>13</v>
      </c>
    </row>
    <row r="1075">
      <c r="A1075" s="27" t="s">
        <v>2599</v>
      </c>
      <c r="B1075" s="27">
        <v>6.002045E7</v>
      </c>
      <c r="C1075" s="27" t="s">
        <v>2600</v>
      </c>
      <c r="D1075" s="27" t="s">
        <v>1960</v>
      </c>
      <c r="E1075" s="34" t="s">
        <v>2572</v>
      </c>
      <c r="F1075" s="5" t="s">
        <v>12</v>
      </c>
      <c r="G1075" s="5" t="s">
        <v>13</v>
      </c>
    </row>
    <row r="1076">
      <c r="A1076" s="27" t="s">
        <v>2601</v>
      </c>
      <c r="B1076" s="27">
        <v>6.0020451E7</v>
      </c>
      <c r="C1076" s="27" t="s">
        <v>2602</v>
      </c>
      <c r="D1076" s="27" t="s">
        <v>1960</v>
      </c>
      <c r="E1076" s="34" t="s">
        <v>2572</v>
      </c>
      <c r="F1076" s="5" t="s">
        <v>12</v>
      </c>
      <c r="G1076" s="5" t="s">
        <v>13</v>
      </c>
    </row>
    <row r="1077">
      <c r="A1077" s="27" t="s">
        <v>2603</v>
      </c>
      <c r="B1077" s="27">
        <v>6.0020452E7</v>
      </c>
      <c r="C1077" s="27" t="s">
        <v>2604</v>
      </c>
      <c r="D1077" s="27" t="s">
        <v>1960</v>
      </c>
      <c r="E1077" s="34" t="s">
        <v>2572</v>
      </c>
      <c r="F1077" s="5" t="s">
        <v>12</v>
      </c>
      <c r="G1077" s="5" t="s">
        <v>13</v>
      </c>
    </row>
    <row r="1078">
      <c r="A1078" s="27" t="s">
        <v>2605</v>
      </c>
      <c r="B1078" s="27">
        <v>6.0020453E7</v>
      </c>
      <c r="C1078" s="27" t="s">
        <v>2606</v>
      </c>
      <c r="D1078" s="27" t="s">
        <v>1960</v>
      </c>
      <c r="E1078" s="34" t="s">
        <v>2572</v>
      </c>
      <c r="F1078" s="5" t="s">
        <v>12</v>
      </c>
      <c r="G1078" s="5" t="s">
        <v>13</v>
      </c>
    </row>
    <row r="1079">
      <c r="A1079" s="27" t="s">
        <v>2607</v>
      </c>
      <c r="B1079" s="27">
        <v>6.0020455E7</v>
      </c>
      <c r="C1079" s="27" t="s">
        <v>2608</v>
      </c>
      <c r="D1079" s="27" t="s">
        <v>1960</v>
      </c>
      <c r="E1079" s="34" t="s">
        <v>2572</v>
      </c>
      <c r="F1079" s="5" t="s">
        <v>12</v>
      </c>
      <c r="G1079" s="5" t="s">
        <v>13</v>
      </c>
    </row>
    <row r="1080">
      <c r="A1080" s="27" t="s">
        <v>2609</v>
      </c>
      <c r="B1080" s="27">
        <v>6.0020456E7</v>
      </c>
      <c r="C1080" s="27" t="s">
        <v>2610</v>
      </c>
      <c r="D1080" s="27" t="s">
        <v>1960</v>
      </c>
      <c r="E1080" s="34" t="s">
        <v>2572</v>
      </c>
      <c r="F1080" s="5" t="s">
        <v>12</v>
      </c>
      <c r="G1080" s="5" t="s">
        <v>13</v>
      </c>
    </row>
    <row r="1081">
      <c r="A1081" s="27" t="s">
        <v>2611</v>
      </c>
      <c r="B1081" s="27">
        <v>6.0020619E7</v>
      </c>
      <c r="C1081" s="27" t="s">
        <v>2612</v>
      </c>
      <c r="D1081" s="27" t="s">
        <v>1960</v>
      </c>
      <c r="E1081" s="34" t="s">
        <v>2613</v>
      </c>
      <c r="F1081" s="5" t="s">
        <v>12</v>
      </c>
      <c r="G1081" s="5" t="s">
        <v>13</v>
      </c>
    </row>
    <row r="1082">
      <c r="A1082" s="27" t="s">
        <v>2614</v>
      </c>
      <c r="B1082" s="27">
        <v>6.002062E7</v>
      </c>
      <c r="C1082" s="27" t="s">
        <v>2615</v>
      </c>
      <c r="D1082" s="27" t="s">
        <v>1960</v>
      </c>
      <c r="E1082" s="34" t="s">
        <v>2613</v>
      </c>
      <c r="F1082" s="5" t="s">
        <v>2363</v>
      </c>
      <c r="G1082" s="5" t="s">
        <v>13</v>
      </c>
    </row>
    <row r="1083">
      <c r="A1083" s="27" t="s">
        <v>2616</v>
      </c>
      <c r="B1083" s="27">
        <v>6.0020621E7</v>
      </c>
      <c r="C1083" s="27" t="s">
        <v>2617</v>
      </c>
      <c r="D1083" s="27" t="s">
        <v>1960</v>
      </c>
      <c r="E1083" s="34" t="s">
        <v>2613</v>
      </c>
      <c r="F1083" s="5" t="s">
        <v>12</v>
      </c>
      <c r="G1083" s="5" t="s">
        <v>13</v>
      </c>
    </row>
    <row r="1084">
      <c r="A1084" s="27" t="s">
        <v>2618</v>
      </c>
      <c r="B1084" s="27">
        <v>6.0020622E7</v>
      </c>
      <c r="C1084" s="27" t="s">
        <v>2619</v>
      </c>
      <c r="D1084" s="27" t="s">
        <v>1960</v>
      </c>
      <c r="E1084" s="34" t="s">
        <v>2613</v>
      </c>
      <c r="F1084" s="5" t="s">
        <v>12</v>
      </c>
      <c r="G1084" s="5" t="s">
        <v>13</v>
      </c>
    </row>
    <row r="1085">
      <c r="A1085" s="27" t="s">
        <v>2620</v>
      </c>
      <c r="B1085" s="27">
        <v>6.0020244E7</v>
      </c>
      <c r="C1085" s="27" t="s">
        <v>2621</v>
      </c>
      <c r="D1085" s="27" t="s">
        <v>1960</v>
      </c>
      <c r="E1085" s="27" t="s">
        <v>2622</v>
      </c>
      <c r="F1085" s="5" t="s">
        <v>12</v>
      </c>
      <c r="G1085" s="5" t="s">
        <v>13</v>
      </c>
    </row>
    <row r="1086">
      <c r="A1086" s="27" t="s">
        <v>2623</v>
      </c>
      <c r="B1086" s="27" t="s">
        <v>2624</v>
      </c>
      <c r="C1086" s="27" t="s">
        <v>2625</v>
      </c>
      <c r="D1086" s="27" t="s">
        <v>1960</v>
      </c>
      <c r="E1086" s="27" t="s">
        <v>2626</v>
      </c>
      <c r="F1086" s="5" t="s">
        <v>12</v>
      </c>
      <c r="G1086" s="5" t="s">
        <v>36</v>
      </c>
    </row>
    <row r="1087">
      <c r="A1087" s="27" t="s">
        <v>2627</v>
      </c>
      <c r="B1087" s="27" t="s">
        <v>2628</v>
      </c>
      <c r="C1087" s="27" t="s">
        <v>2629</v>
      </c>
      <c r="D1087" s="27" t="s">
        <v>1960</v>
      </c>
      <c r="E1087" s="27" t="s">
        <v>2131</v>
      </c>
      <c r="F1087" s="5" t="s">
        <v>12</v>
      </c>
      <c r="G1087" s="5" t="s">
        <v>13</v>
      </c>
    </row>
    <row r="1088">
      <c r="A1088" s="27" t="s">
        <v>2630</v>
      </c>
      <c r="B1088" s="27">
        <v>6.0019819E7</v>
      </c>
      <c r="C1088" s="27" t="s">
        <v>2631</v>
      </c>
      <c r="D1088" s="27" t="s">
        <v>1960</v>
      </c>
      <c r="E1088" s="27" t="s">
        <v>2233</v>
      </c>
      <c r="F1088" s="5" t="s">
        <v>12</v>
      </c>
      <c r="G1088" s="5" t="s">
        <v>36</v>
      </c>
    </row>
    <row r="1089">
      <c r="A1089" s="27" t="s">
        <v>2632</v>
      </c>
      <c r="B1089" s="27">
        <v>6.0019817E7</v>
      </c>
      <c r="C1089" s="27" t="s">
        <v>2633</v>
      </c>
      <c r="D1089" s="27" t="s">
        <v>1960</v>
      </c>
      <c r="E1089" s="27" t="s">
        <v>2233</v>
      </c>
      <c r="F1089" s="5" t="s">
        <v>12</v>
      </c>
      <c r="G1089" s="5" t="s">
        <v>36</v>
      </c>
    </row>
    <row r="1090">
      <c r="A1090" s="27" t="s">
        <v>2634</v>
      </c>
      <c r="B1090" s="27">
        <v>6.0019822E7</v>
      </c>
      <c r="C1090" s="27" t="s">
        <v>2635</v>
      </c>
      <c r="D1090" s="27" t="s">
        <v>1960</v>
      </c>
      <c r="E1090" s="27" t="s">
        <v>2227</v>
      </c>
      <c r="F1090" s="5" t="s">
        <v>12</v>
      </c>
      <c r="G1090" s="5" t="s">
        <v>36</v>
      </c>
    </row>
    <row r="1091">
      <c r="A1091" s="27" t="s">
        <v>2636</v>
      </c>
      <c r="B1091" s="27">
        <v>6.0020454E7</v>
      </c>
      <c r="C1091" s="27" t="s">
        <v>2637</v>
      </c>
      <c r="D1091" s="27" t="s">
        <v>1960</v>
      </c>
      <c r="E1091" s="34" t="s">
        <v>2572</v>
      </c>
      <c r="F1091" s="5" t="s">
        <v>12</v>
      </c>
      <c r="G1091" s="5" t="s">
        <v>13</v>
      </c>
    </row>
    <row r="1092">
      <c r="A1092" s="27" t="s">
        <v>2638</v>
      </c>
      <c r="B1092" s="27">
        <v>6.0020467E7</v>
      </c>
      <c r="C1092" s="27" t="s">
        <v>2639</v>
      </c>
      <c r="D1092" s="27" t="s">
        <v>1960</v>
      </c>
      <c r="E1092" s="34" t="s">
        <v>2572</v>
      </c>
      <c r="F1092" s="5" t="s">
        <v>12</v>
      </c>
      <c r="G1092" s="5" t="s">
        <v>13</v>
      </c>
    </row>
    <row r="1093">
      <c r="A1093" s="27" t="s">
        <v>2640</v>
      </c>
      <c r="B1093" s="27">
        <v>6.0020617E7</v>
      </c>
      <c r="C1093" s="27" t="s">
        <v>2641</v>
      </c>
      <c r="D1093" s="27" t="s">
        <v>1960</v>
      </c>
      <c r="E1093" s="34" t="s">
        <v>2613</v>
      </c>
      <c r="F1093" s="5" t="s">
        <v>12</v>
      </c>
      <c r="G1093" s="5" t="s">
        <v>13</v>
      </c>
    </row>
    <row r="1094">
      <c r="A1094" s="27" t="s">
        <v>2642</v>
      </c>
      <c r="B1094" s="27">
        <v>6.0020618E7</v>
      </c>
      <c r="C1094" s="27" t="s">
        <v>2643</v>
      </c>
      <c r="D1094" s="27" t="s">
        <v>1960</v>
      </c>
      <c r="E1094" s="34" t="s">
        <v>2613</v>
      </c>
      <c r="F1094" s="5" t="s">
        <v>12</v>
      </c>
      <c r="G1094" s="5" t="s">
        <v>13</v>
      </c>
    </row>
    <row r="1095">
      <c r="A1095" s="27" t="s">
        <v>2644</v>
      </c>
      <c r="B1095" s="27" t="s">
        <v>2645</v>
      </c>
      <c r="C1095" s="27" t="s">
        <v>2646</v>
      </c>
      <c r="D1095" s="27" t="s">
        <v>1960</v>
      </c>
      <c r="E1095" s="27" t="s">
        <v>2020</v>
      </c>
      <c r="F1095" s="5" t="s">
        <v>2169</v>
      </c>
      <c r="G1095" s="5" t="s">
        <v>79</v>
      </c>
    </row>
    <row r="1096">
      <c r="A1096" s="27" t="s">
        <v>2647</v>
      </c>
      <c r="B1096" s="27" t="s">
        <v>2648</v>
      </c>
      <c r="C1096" s="27" t="s">
        <v>2649</v>
      </c>
      <c r="D1096" s="27" t="s">
        <v>1960</v>
      </c>
      <c r="E1096" s="27" t="s">
        <v>2650</v>
      </c>
      <c r="F1096" s="5" t="s">
        <v>12</v>
      </c>
      <c r="G1096" s="5" t="s">
        <v>36</v>
      </c>
    </row>
    <row r="1097">
      <c r="A1097" s="27" t="s">
        <v>2651</v>
      </c>
      <c r="B1097" s="27" t="s">
        <v>2652</v>
      </c>
      <c r="C1097" s="27" t="s">
        <v>2366</v>
      </c>
      <c r="D1097" s="27" t="s">
        <v>1960</v>
      </c>
      <c r="E1097" s="27" t="s">
        <v>2653</v>
      </c>
      <c r="F1097" s="5" t="s">
        <v>2169</v>
      </c>
      <c r="G1097" s="5" t="s">
        <v>13</v>
      </c>
    </row>
    <row r="1098">
      <c r="A1098" s="27" t="s">
        <v>2654</v>
      </c>
      <c r="B1098" s="27" t="s">
        <v>2655</v>
      </c>
      <c r="C1098" s="27" t="s">
        <v>2656</v>
      </c>
      <c r="D1098" s="27" t="s">
        <v>1960</v>
      </c>
      <c r="E1098" s="27" t="s">
        <v>2657</v>
      </c>
      <c r="F1098" s="5" t="s">
        <v>12</v>
      </c>
      <c r="G1098" s="5" t="s">
        <v>36</v>
      </c>
    </row>
    <row r="1099">
      <c r="A1099" s="27" t="s">
        <v>2658</v>
      </c>
      <c r="B1099" s="27" t="s">
        <v>2659</v>
      </c>
      <c r="C1099" s="27" t="s">
        <v>2660</v>
      </c>
      <c r="D1099" s="27" t="s">
        <v>1960</v>
      </c>
      <c r="E1099" s="27" t="s">
        <v>2020</v>
      </c>
      <c r="F1099" s="5" t="s">
        <v>2169</v>
      </c>
      <c r="G1099" s="5" t="s">
        <v>79</v>
      </c>
    </row>
    <row r="1100">
      <c r="A1100" s="27" t="s">
        <v>2661</v>
      </c>
      <c r="B1100" s="27">
        <v>6.0019861E7</v>
      </c>
      <c r="C1100" s="27" t="s">
        <v>2662</v>
      </c>
      <c r="D1100" s="27" t="s">
        <v>1960</v>
      </c>
      <c r="E1100" s="27" t="s">
        <v>2227</v>
      </c>
      <c r="F1100" s="5" t="s">
        <v>12</v>
      </c>
      <c r="G1100" s="5" t="s">
        <v>36</v>
      </c>
    </row>
    <row r="1101">
      <c r="A1101" s="30" t="s">
        <v>2663</v>
      </c>
      <c r="B1101" s="30">
        <v>6.0019851E7</v>
      </c>
      <c r="C1101" s="30" t="s">
        <v>2664</v>
      </c>
      <c r="D1101" s="30" t="s">
        <v>1960</v>
      </c>
      <c r="E1101" s="30" t="s">
        <v>2233</v>
      </c>
      <c r="F1101" s="9" t="s">
        <v>2173</v>
      </c>
      <c r="G1101" s="9" t="s">
        <v>36</v>
      </c>
    </row>
    <row r="1102">
      <c r="A1102" s="27" t="s">
        <v>2665</v>
      </c>
      <c r="B1102" s="27">
        <v>6.0020125E7</v>
      </c>
      <c r="C1102" s="27" t="s">
        <v>2666</v>
      </c>
      <c r="D1102" s="27" t="s">
        <v>1960</v>
      </c>
      <c r="E1102" s="27" t="s">
        <v>2233</v>
      </c>
      <c r="F1102" s="5" t="s">
        <v>12</v>
      </c>
      <c r="G1102" s="5" t="s">
        <v>36</v>
      </c>
    </row>
    <row r="1103">
      <c r="A1103" s="30" t="s">
        <v>2667</v>
      </c>
      <c r="B1103" s="30">
        <v>6.0019885E7</v>
      </c>
      <c r="C1103" s="30" t="s">
        <v>2668</v>
      </c>
      <c r="D1103" s="30" t="s">
        <v>1960</v>
      </c>
      <c r="E1103" s="30" t="s">
        <v>2349</v>
      </c>
      <c r="F1103" s="9" t="s">
        <v>2669</v>
      </c>
      <c r="G1103" s="9" t="s">
        <v>36</v>
      </c>
    </row>
    <row r="1104">
      <c r="A1104" s="30" t="s">
        <v>2670</v>
      </c>
      <c r="B1104" s="30">
        <v>6.0019886E7</v>
      </c>
      <c r="C1104" s="30" t="s">
        <v>2671</v>
      </c>
      <c r="D1104" s="30" t="s">
        <v>1960</v>
      </c>
      <c r="E1104" s="30" t="s">
        <v>2349</v>
      </c>
      <c r="F1104" s="9" t="s">
        <v>2669</v>
      </c>
      <c r="G1104" s="9" t="s">
        <v>36</v>
      </c>
    </row>
    <row r="1105">
      <c r="A1105" s="30" t="s">
        <v>2672</v>
      </c>
      <c r="B1105" s="30" t="s">
        <v>2673</v>
      </c>
      <c r="C1105" s="30" t="s">
        <v>2674</v>
      </c>
      <c r="D1105" s="30" t="s">
        <v>1960</v>
      </c>
      <c r="E1105" s="30" t="s">
        <v>2116</v>
      </c>
      <c r="F1105" s="9" t="s">
        <v>2169</v>
      </c>
      <c r="G1105" s="9" t="s">
        <v>79</v>
      </c>
    </row>
    <row r="1106">
      <c r="A1106" s="27" t="s">
        <v>2675</v>
      </c>
      <c r="B1106" s="27" t="s">
        <v>2676</v>
      </c>
      <c r="C1106" s="27" t="s">
        <v>2677</v>
      </c>
      <c r="D1106" s="27" t="s">
        <v>1960</v>
      </c>
      <c r="E1106" s="27" t="s">
        <v>2131</v>
      </c>
      <c r="F1106" s="5" t="s">
        <v>12</v>
      </c>
      <c r="G1106" s="5" t="s">
        <v>13</v>
      </c>
    </row>
    <row r="1107">
      <c r="A1107" s="27" t="s">
        <v>2678</v>
      </c>
      <c r="B1107" s="27" t="s">
        <v>2679</v>
      </c>
      <c r="C1107" s="27" t="s">
        <v>2680</v>
      </c>
      <c r="D1107" s="27" t="s">
        <v>1960</v>
      </c>
      <c r="E1107" s="27" t="s">
        <v>2220</v>
      </c>
      <c r="F1107" s="5" t="s">
        <v>157</v>
      </c>
      <c r="G1107" s="5" t="s">
        <v>36</v>
      </c>
    </row>
    <row r="1108">
      <c r="A1108" s="27" t="s">
        <v>2681</v>
      </c>
      <c r="B1108" s="27" t="s">
        <v>2682</v>
      </c>
      <c r="C1108" s="27" t="s">
        <v>2683</v>
      </c>
      <c r="D1108" s="27" t="s">
        <v>1960</v>
      </c>
      <c r="E1108" s="27" t="s">
        <v>2220</v>
      </c>
      <c r="F1108" s="5" t="s">
        <v>2169</v>
      </c>
      <c r="G1108" s="5" t="s">
        <v>36</v>
      </c>
    </row>
    <row r="1109">
      <c r="A1109" s="27" t="s">
        <v>2684</v>
      </c>
      <c r="B1109" s="27" t="s">
        <v>2685</v>
      </c>
      <c r="C1109" s="27" t="s">
        <v>2686</v>
      </c>
      <c r="D1109" s="27" t="s">
        <v>1960</v>
      </c>
      <c r="E1109" s="27" t="s">
        <v>2116</v>
      </c>
      <c r="F1109" s="5" t="s">
        <v>12</v>
      </c>
      <c r="G1109" s="5" t="s">
        <v>79</v>
      </c>
    </row>
    <row r="1110">
      <c r="A1110" s="27" t="s">
        <v>2687</v>
      </c>
      <c r="B1110" s="27">
        <v>6.0019848E7</v>
      </c>
      <c r="C1110" s="27" t="s">
        <v>2688</v>
      </c>
      <c r="D1110" s="27" t="s">
        <v>1960</v>
      </c>
      <c r="E1110" s="27" t="s">
        <v>2233</v>
      </c>
      <c r="F1110" s="5" t="s">
        <v>157</v>
      </c>
      <c r="G1110" s="5" t="s">
        <v>36</v>
      </c>
    </row>
    <row r="1111">
      <c r="A1111" s="27" t="s">
        <v>2689</v>
      </c>
      <c r="B1111" s="27" t="s">
        <v>2690</v>
      </c>
      <c r="C1111" s="27" t="s">
        <v>2691</v>
      </c>
      <c r="D1111" s="27" t="s">
        <v>1960</v>
      </c>
      <c r="E1111" s="27" t="s">
        <v>2131</v>
      </c>
      <c r="F1111" s="5" t="s">
        <v>12</v>
      </c>
      <c r="G1111" s="5" t="s">
        <v>13</v>
      </c>
    </row>
    <row r="1112">
      <c r="A1112" s="30" t="s">
        <v>2692</v>
      </c>
      <c r="B1112" s="30">
        <v>6.0019852E7</v>
      </c>
      <c r="C1112" s="30" t="s">
        <v>2693</v>
      </c>
      <c r="D1112" s="30" t="s">
        <v>1960</v>
      </c>
      <c r="E1112" s="30" t="s">
        <v>2233</v>
      </c>
      <c r="F1112" s="9" t="s">
        <v>157</v>
      </c>
      <c r="G1112" s="9" t="s">
        <v>36</v>
      </c>
    </row>
    <row r="1113">
      <c r="A1113" s="27" t="s">
        <v>2694</v>
      </c>
      <c r="B1113" s="27">
        <v>6.0020151E7</v>
      </c>
      <c r="C1113" s="27" t="s">
        <v>2695</v>
      </c>
      <c r="D1113" s="27" t="s">
        <v>1960</v>
      </c>
      <c r="E1113" s="27" t="s">
        <v>2540</v>
      </c>
      <c r="F1113" s="5" t="s">
        <v>157</v>
      </c>
      <c r="G1113" s="5" t="s">
        <v>13</v>
      </c>
    </row>
    <row r="1114">
      <c r="A1114" s="33" t="s">
        <v>2696</v>
      </c>
      <c r="B1114" s="33">
        <v>6.0020259E7</v>
      </c>
      <c r="C1114" s="27" t="s">
        <v>2697</v>
      </c>
      <c r="D1114" s="27" t="s">
        <v>1960</v>
      </c>
      <c r="E1114" s="27" t="s">
        <v>2540</v>
      </c>
      <c r="F1114" s="5" t="s">
        <v>157</v>
      </c>
      <c r="G1114" s="5" t="s">
        <v>13</v>
      </c>
    </row>
    <row r="1115">
      <c r="A1115" s="33" t="s">
        <v>2698</v>
      </c>
      <c r="B1115" s="33">
        <v>6.002026E7</v>
      </c>
      <c r="C1115" s="27" t="s">
        <v>2699</v>
      </c>
      <c r="D1115" s="27" t="s">
        <v>1960</v>
      </c>
      <c r="E1115" s="27" t="s">
        <v>2540</v>
      </c>
      <c r="F1115" s="5" t="s">
        <v>12</v>
      </c>
      <c r="G1115" s="5" t="s">
        <v>13</v>
      </c>
    </row>
    <row r="1116">
      <c r="A1116" s="33" t="s">
        <v>2700</v>
      </c>
      <c r="B1116" s="33">
        <v>6.0020261E7</v>
      </c>
      <c r="C1116" s="27" t="s">
        <v>2701</v>
      </c>
      <c r="D1116" s="27" t="s">
        <v>1960</v>
      </c>
      <c r="E1116" s="27" t="s">
        <v>2540</v>
      </c>
      <c r="F1116" s="5" t="s">
        <v>157</v>
      </c>
      <c r="G1116" s="5" t="s">
        <v>13</v>
      </c>
    </row>
    <row r="1117">
      <c r="A1117" s="33" t="s">
        <v>2702</v>
      </c>
      <c r="B1117" s="33">
        <v>6.0020263E7</v>
      </c>
      <c r="C1117" s="27" t="s">
        <v>2703</v>
      </c>
      <c r="D1117" s="27" t="s">
        <v>1960</v>
      </c>
      <c r="E1117" s="27" t="s">
        <v>2540</v>
      </c>
      <c r="F1117" s="5" t="s">
        <v>157</v>
      </c>
      <c r="G1117" s="5" t="s">
        <v>13</v>
      </c>
    </row>
    <row r="1118">
      <c r="A1118" s="33" t="s">
        <v>2704</v>
      </c>
      <c r="B1118" s="33">
        <v>6.0020265E7</v>
      </c>
      <c r="C1118" s="27" t="s">
        <v>2705</v>
      </c>
      <c r="D1118" s="27" t="s">
        <v>1960</v>
      </c>
      <c r="E1118" s="27" t="s">
        <v>2540</v>
      </c>
      <c r="F1118" s="5" t="s">
        <v>157</v>
      </c>
      <c r="G1118" s="5" t="s">
        <v>13</v>
      </c>
    </row>
    <row r="1119">
      <c r="A1119" s="27" t="s">
        <v>2706</v>
      </c>
      <c r="B1119" s="27">
        <v>6.0020444E7</v>
      </c>
      <c r="C1119" s="27" t="s">
        <v>2707</v>
      </c>
      <c r="D1119" s="27" t="s">
        <v>1960</v>
      </c>
      <c r="E1119" s="34" t="s">
        <v>2572</v>
      </c>
      <c r="F1119" s="5" t="s">
        <v>12</v>
      </c>
      <c r="G1119" s="5" t="s">
        <v>13</v>
      </c>
    </row>
    <row r="1120">
      <c r="A1120" s="30" t="s">
        <v>2708</v>
      </c>
      <c r="B1120" s="30">
        <v>6.0020457E7</v>
      </c>
      <c r="C1120" s="30" t="s">
        <v>2709</v>
      </c>
      <c r="D1120" s="30" t="s">
        <v>1960</v>
      </c>
      <c r="E1120" s="35" t="s">
        <v>2572</v>
      </c>
      <c r="F1120" s="9" t="s">
        <v>1836</v>
      </c>
      <c r="G1120" s="9" t="s">
        <v>13</v>
      </c>
    </row>
    <row r="1121">
      <c r="A1121" s="30" t="s">
        <v>2710</v>
      </c>
      <c r="B1121" s="30">
        <v>6.0020458E7</v>
      </c>
      <c r="C1121" s="30" t="s">
        <v>2711</v>
      </c>
      <c r="D1121" s="30" t="s">
        <v>1960</v>
      </c>
      <c r="E1121" s="35" t="s">
        <v>2572</v>
      </c>
      <c r="F1121" s="9" t="s">
        <v>1836</v>
      </c>
      <c r="G1121" s="9" t="s">
        <v>13</v>
      </c>
    </row>
    <row r="1122">
      <c r="A1122" s="30" t="s">
        <v>2712</v>
      </c>
      <c r="B1122" s="30">
        <v>6.0020459E7</v>
      </c>
      <c r="C1122" s="30" t="s">
        <v>2713</v>
      </c>
      <c r="D1122" s="30" t="s">
        <v>1960</v>
      </c>
      <c r="E1122" s="35" t="s">
        <v>2572</v>
      </c>
      <c r="F1122" s="9" t="s">
        <v>1836</v>
      </c>
      <c r="G1122" s="9" t="s">
        <v>13</v>
      </c>
    </row>
    <row r="1123">
      <c r="A1123" s="30" t="s">
        <v>2714</v>
      </c>
      <c r="B1123" s="30">
        <v>6.002046E7</v>
      </c>
      <c r="C1123" s="30" t="s">
        <v>2715</v>
      </c>
      <c r="D1123" s="30" t="s">
        <v>1960</v>
      </c>
      <c r="E1123" s="35" t="s">
        <v>2572</v>
      </c>
      <c r="F1123" s="9" t="s">
        <v>1836</v>
      </c>
      <c r="G1123" s="9" t="s">
        <v>13</v>
      </c>
    </row>
    <row r="1124">
      <c r="A1124" s="30" t="s">
        <v>2716</v>
      </c>
      <c r="B1124" s="30">
        <v>6.0020461E7</v>
      </c>
      <c r="C1124" s="30" t="s">
        <v>2717</v>
      </c>
      <c r="D1124" s="30" t="s">
        <v>1960</v>
      </c>
      <c r="E1124" s="35" t="s">
        <v>2572</v>
      </c>
      <c r="F1124" s="9" t="s">
        <v>1836</v>
      </c>
      <c r="G1124" s="9" t="s">
        <v>13</v>
      </c>
    </row>
    <row r="1125">
      <c r="A1125" s="30" t="s">
        <v>2718</v>
      </c>
      <c r="B1125" s="30">
        <v>6.0020462E7</v>
      </c>
      <c r="C1125" s="30" t="s">
        <v>2719</v>
      </c>
      <c r="D1125" s="30" t="s">
        <v>1960</v>
      </c>
      <c r="E1125" s="35" t="s">
        <v>2572</v>
      </c>
      <c r="F1125" s="9" t="s">
        <v>1836</v>
      </c>
      <c r="G1125" s="9" t="s">
        <v>13</v>
      </c>
    </row>
    <row r="1126">
      <c r="A1126" s="30" t="s">
        <v>2720</v>
      </c>
      <c r="B1126" s="30">
        <v>6.0020463E7</v>
      </c>
      <c r="C1126" s="30" t="s">
        <v>2721</v>
      </c>
      <c r="D1126" s="30" t="s">
        <v>1960</v>
      </c>
      <c r="E1126" s="35" t="s">
        <v>2572</v>
      </c>
      <c r="F1126" s="9" t="s">
        <v>12</v>
      </c>
      <c r="G1126" s="9" t="s">
        <v>13</v>
      </c>
    </row>
    <row r="1127">
      <c r="A1127" s="30" t="s">
        <v>2722</v>
      </c>
      <c r="B1127" s="30">
        <v>6.0020464E7</v>
      </c>
      <c r="C1127" s="30" t="s">
        <v>2723</v>
      </c>
      <c r="D1127" s="30" t="s">
        <v>1960</v>
      </c>
      <c r="E1127" s="35" t="s">
        <v>2572</v>
      </c>
      <c r="F1127" s="9" t="s">
        <v>1836</v>
      </c>
      <c r="G1127" s="9" t="s">
        <v>13</v>
      </c>
    </row>
    <row r="1128">
      <c r="A1128" s="27" t="s">
        <v>2724</v>
      </c>
      <c r="B1128" s="27">
        <v>6.0020465E7</v>
      </c>
      <c r="C1128" s="27" t="s">
        <v>2725</v>
      </c>
      <c r="D1128" s="27" t="s">
        <v>1960</v>
      </c>
      <c r="E1128" s="34" t="s">
        <v>2572</v>
      </c>
      <c r="F1128" s="5" t="s">
        <v>12</v>
      </c>
      <c r="G1128" s="5" t="s">
        <v>13</v>
      </c>
    </row>
    <row r="1129">
      <c r="A1129" s="30" t="s">
        <v>2726</v>
      </c>
      <c r="B1129" s="30">
        <v>6.0020466E7</v>
      </c>
      <c r="C1129" s="30" t="s">
        <v>2727</v>
      </c>
      <c r="D1129" s="30" t="s">
        <v>1960</v>
      </c>
      <c r="E1129" s="35" t="s">
        <v>2572</v>
      </c>
      <c r="F1129" s="9" t="s">
        <v>1836</v>
      </c>
      <c r="G1129" s="9" t="s">
        <v>13</v>
      </c>
    </row>
    <row r="1130">
      <c r="A1130" s="30" t="s">
        <v>2728</v>
      </c>
      <c r="B1130" s="30">
        <v>6.0020623E7</v>
      </c>
      <c r="C1130" s="30" t="s">
        <v>2729</v>
      </c>
      <c r="D1130" s="30" t="s">
        <v>1960</v>
      </c>
      <c r="E1130" s="35" t="s">
        <v>2613</v>
      </c>
      <c r="F1130" s="9" t="s">
        <v>1836</v>
      </c>
      <c r="G1130" s="9" t="s">
        <v>13</v>
      </c>
    </row>
    <row r="1131">
      <c r="A1131" s="30" t="s">
        <v>2730</v>
      </c>
      <c r="B1131" s="30">
        <v>6.0020624E7</v>
      </c>
      <c r="C1131" s="30" t="s">
        <v>2731</v>
      </c>
      <c r="D1131" s="30" t="s">
        <v>1960</v>
      </c>
      <c r="E1131" s="35" t="s">
        <v>2613</v>
      </c>
      <c r="F1131" s="9" t="s">
        <v>1836</v>
      </c>
      <c r="G1131" s="9" t="s">
        <v>13</v>
      </c>
    </row>
    <row r="1132">
      <c r="A1132" s="27" t="s">
        <v>2732</v>
      </c>
      <c r="B1132" s="27" t="s">
        <v>2733</v>
      </c>
      <c r="C1132" s="27" t="s">
        <v>2734</v>
      </c>
      <c r="D1132" s="27" t="s">
        <v>1960</v>
      </c>
      <c r="E1132" s="27" t="s">
        <v>2735</v>
      </c>
      <c r="F1132" s="5" t="s">
        <v>12</v>
      </c>
      <c r="G1132" s="5" t="s">
        <v>13</v>
      </c>
    </row>
    <row r="1133">
      <c r="A1133" s="30" t="s">
        <v>2736</v>
      </c>
      <c r="B1133" s="30" t="s">
        <v>2737</v>
      </c>
      <c r="C1133" s="30" t="s">
        <v>2738</v>
      </c>
      <c r="D1133" s="30" t="s">
        <v>1960</v>
      </c>
      <c r="E1133" s="30" t="s">
        <v>2739</v>
      </c>
      <c r="F1133" s="9" t="s">
        <v>1836</v>
      </c>
      <c r="G1133" s="9" t="s">
        <v>13</v>
      </c>
    </row>
    <row r="1134">
      <c r="A1134" s="27" t="s">
        <v>2740</v>
      </c>
      <c r="B1134" s="27" t="s">
        <v>2741</v>
      </c>
      <c r="C1134" s="27" t="s">
        <v>2742</v>
      </c>
      <c r="D1134" s="27" t="s">
        <v>1960</v>
      </c>
      <c r="E1134" s="27" t="s">
        <v>2739</v>
      </c>
      <c r="F1134" s="5" t="s">
        <v>2491</v>
      </c>
      <c r="G1134" s="5" t="s">
        <v>13</v>
      </c>
    </row>
    <row r="1135">
      <c r="A1135" s="27" t="s">
        <v>2743</v>
      </c>
      <c r="B1135" s="27">
        <v>6.0021392E7</v>
      </c>
      <c r="C1135" s="27" t="s">
        <v>2744</v>
      </c>
      <c r="D1135" s="27" t="s">
        <v>1960</v>
      </c>
      <c r="E1135" s="27" t="s">
        <v>2745</v>
      </c>
      <c r="F1135" s="5" t="s">
        <v>12</v>
      </c>
      <c r="G1135" s="5" t="s">
        <v>36</v>
      </c>
    </row>
    <row r="1136">
      <c r="A1136" s="27" t="s">
        <v>2746</v>
      </c>
      <c r="B1136" s="27">
        <v>6.0021393E7</v>
      </c>
      <c r="C1136" s="27" t="s">
        <v>2747</v>
      </c>
      <c r="D1136" s="27" t="s">
        <v>1960</v>
      </c>
      <c r="E1136" s="27" t="s">
        <v>2745</v>
      </c>
      <c r="F1136" s="5" t="s">
        <v>12</v>
      </c>
      <c r="G1136" s="5" t="s">
        <v>36</v>
      </c>
    </row>
    <row r="1137">
      <c r="A1137" s="27" t="s">
        <v>2748</v>
      </c>
      <c r="B1137" s="27">
        <v>6.0021032E7</v>
      </c>
      <c r="C1137" s="27" t="s">
        <v>2749</v>
      </c>
      <c r="D1137" s="27" t="s">
        <v>1960</v>
      </c>
      <c r="E1137" s="34" t="s">
        <v>2572</v>
      </c>
      <c r="F1137" s="5" t="s">
        <v>12</v>
      </c>
      <c r="G1137" s="5" t="s">
        <v>36</v>
      </c>
    </row>
    <row r="1138">
      <c r="A1138" s="27" t="s">
        <v>2750</v>
      </c>
      <c r="B1138" s="27">
        <v>6.0021033E7</v>
      </c>
      <c r="C1138" s="27" t="s">
        <v>2751</v>
      </c>
      <c r="D1138" s="27" t="s">
        <v>1960</v>
      </c>
      <c r="E1138" s="34" t="s">
        <v>2572</v>
      </c>
      <c r="F1138" s="5" t="s">
        <v>12</v>
      </c>
      <c r="G1138" s="5" t="s">
        <v>36</v>
      </c>
    </row>
    <row r="1139">
      <c r="A1139" s="27" t="s">
        <v>2752</v>
      </c>
      <c r="B1139" s="27">
        <v>6.0021034E7</v>
      </c>
      <c r="C1139" s="27" t="s">
        <v>2753</v>
      </c>
      <c r="D1139" s="27" t="s">
        <v>1960</v>
      </c>
      <c r="E1139" s="34" t="s">
        <v>2572</v>
      </c>
      <c r="F1139" s="5" t="s">
        <v>12</v>
      </c>
      <c r="G1139" s="5" t="s">
        <v>36</v>
      </c>
    </row>
    <row r="1140">
      <c r="A1140" s="27" t="s">
        <v>2754</v>
      </c>
      <c r="B1140" s="27">
        <v>6.002137E7</v>
      </c>
      <c r="C1140" s="27" t="s">
        <v>2755</v>
      </c>
      <c r="D1140" s="27" t="s">
        <v>1960</v>
      </c>
      <c r="E1140" s="27" t="s">
        <v>2745</v>
      </c>
      <c r="F1140" s="5" t="s">
        <v>12</v>
      </c>
      <c r="G1140" s="5" t="s">
        <v>36</v>
      </c>
    </row>
    <row r="1141">
      <c r="A1141" s="27" t="s">
        <v>2756</v>
      </c>
      <c r="B1141" s="27">
        <v>6.0021371E7</v>
      </c>
      <c r="C1141" s="27" t="s">
        <v>2757</v>
      </c>
      <c r="D1141" s="27" t="s">
        <v>1960</v>
      </c>
      <c r="E1141" s="27" t="s">
        <v>2745</v>
      </c>
      <c r="F1141" s="5" t="s">
        <v>12</v>
      </c>
      <c r="G1141" s="5" t="s">
        <v>36</v>
      </c>
    </row>
    <row r="1142">
      <c r="A1142" s="14" t="s">
        <v>2758</v>
      </c>
      <c r="B1142" s="5" t="s">
        <v>2759</v>
      </c>
      <c r="C1142" s="5" t="s">
        <v>2760</v>
      </c>
      <c r="D1142" s="5" t="s">
        <v>1960</v>
      </c>
      <c r="E1142" s="5" t="s">
        <v>2761</v>
      </c>
      <c r="F1142" s="5" t="s">
        <v>12</v>
      </c>
      <c r="G1142" s="14"/>
    </row>
    <row r="1143">
      <c r="A1143" s="14" t="s">
        <v>2762</v>
      </c>
      <c r="B1143" s="5" t="s">
        <v>2763</v>
      </c>
      <c r="C1143" s="5" t="s">
        <v>2764</v>
      </c>
      <c r="D1143" s="5" t="s">
        <v>1960</v>
      </c>
      <c r="E1143" s="5" t="s">
        <v>2626</v>
      </c>
      <c r="F1143" s="5" t="s">
        <v>12</v>
      </c>
      <c r="G1143" s="14"/>
    </row>
    <row r="1144">
      <c r="A1144" s="14"/>
      <c r="B1144" s="5" t="s">
        <v>2765</v>
      </c>
      <c r="C1144" s="5" t="s">
        <v>2766</v>
      </c>
      <c r="D1144" s="5" t="s">
        <v>1960</v>
      </c>
      <c r="E1144" s="5" t="s">
        <v>2626</v>
      </c>
      <c r="F1144" s="5" t="s">
        <v>12</v>
      </c>
      <c r="G1144" s="14"/>
    </row>
    <row r="1145">
      <c r="A1145" s="14" t="s">
        <v>2767</v>
      </c>
      <c r="B1145" s="5" t="s">
        <v>2768</v>
      </c>
      <c r="C1145" s="5" t="s">
        <v>2769</v>
      </c>
      <c r="D1145" s="5" t="s">
        <v>1960</v>
      </c>
      <c r="E1145" s="5" t="s">
        <v>2761</v>
      </c>
      <c r="F1145" s="5" t="s">
        <v>12</v>
      </c>
      <c r="G1145" s="14"/>
    </row>
    <row r="1146">
      <c r="A1146" s="5" t="s">
        <v>2770</v>
      </c>
      <c r="B1146" s="36">
        <v>6.002286E7</v>
      </c>
      <c r="C1146" s="5" t="s">
        <v>2771</v>
      </c>
      <c r="D1146" s="5" t="s">
        <v>1960</v>
      </c>
      <c r="E1146" s="5" t="s">
        <v>2772</v>
      </c>
      <c r="F1146" s="5" t="s">
        <v>12</v>
      </c>
      <c r="G1146" s="36" t="s">
        <v>13</v>
      </c>
    </row>
    <row r="1147">
      <c r="A1147" s="5" t="s">
        <v>2773</v>
      </c>
      <c r="B1147" s="36">
        <v>6.0022861E7</v>
      </c>
      <c r="C1147" s="5" t="s">
        <v>2774</v>
      </c>
      <c r="D1147" s="5" t="s">
        <v>1960</v>
      </c>
      <c r="E1147" s="5" t="s">
        <v>2772</v>
      </c>
      <c r="F1147" s="5" t="s">
        <v>12</v>
      </c>
      <c r="G1147" s="36" t="s">
        <v>13</v>
      </c>
    </row>
    <row r="1148">
      <c r="A1148" s="37" t="s">
        <v>2775</v>
      </c>
      <c r="B1148" s="36">
        <v>6.0022862E7</v>
      </c>
      <c r="C1148" s="5" t="s">
        <v>2776</v>
      </c>
      <c r="D1148" s="5" t="s">
        <v>1960</v>
      </c>
      <c r="E1148" s="5" t="s">
        <v>2772</v>
      </c>
      <c r="F1148" s="5" t="s">
        <v>12</v>
      </c>
      <c r="G1148" s="36" t="s">
        <v>13</v>
      </c>
    </row>
    <row r="1149">
      <c r="A1149" s="5" t="s">
        <v>2777</v>
      </c>
      <c r="B1149" s="36">
        <v>6.0022962E7</v>
      </c>
      <c r="C1149" s="5" t="s">
        <v>2778</v>
      </c>
      <c r="D1149" s="5" t="s">
        <v>1960</v>
      </c>
      <c r="E1149" s="38" t="s">
        <v>2779</v>
      </c>
      <c r="F1149" s="39"/>
      <c r="G1149" s="36" t="s">
        <v>13</v>
      </c>
    </row>
    <row r="1150">
      <c r="A1150" s="5" t="s">
        <v>2780</v>
      </c>
      <c r="B1150" s="36">
        <v>6.0022963E7</v>
      </c>
      <c r="C1150" s="5" t="s">
        <v>2781</v>
      </c>
      <c r="D1150" s="5" t="s">
        <v>1960</v>
      </c>
      <c r="E1150" s="38" t="s">
        <v>2779</v>
      </c>
      <c r="F1150" s="39"/>
      <c r="G1150" s="36" t="s">
        <v>13</v>
      </c>
    </row>
    <row r="1151">
      <c r="A1151" s="38" t="s">
        <v>2782</v>
      </c>
      <c r="B1151" s="38">
        <v>6.0022816E7</v>
      </c>
      <c r="C1151" s="38" t="s">
        <v>2783</v>
      </c>
      <c r="D1151" s="5" t="s">
        <v>1960</v>
      </c>
      <c r="E1151" s="38" t="s">
        <v>2779</v>
      </c>
      <c r="F1151" s="39"/>
      <c r="G1151" s="36" t="s">
        <v>13</v>
      </c>
    </row>
    <row r="1152">
      <c r="A1152" s="38" t="s">
        <v>2784</v>
      </c>
      <c r="B1152" s="38">
        <v>6.0022817E7</v>
      </c>
      <c r="C1152" s="38" t="s">
        <v>2785</v>
      </c>
      <c r="D1152" s="5" t="s">
        <v>1960</v>
      </c>
      <c r="E1152" s="38" t="s">
        <v>2779</v>
      </c>
      <c r="F1152" s="39"/>
      <c r="G1152" s="36" t="s">
        <v>13</v>
      </c>
    </row>
    <row r="1153">
      <c r="A1153" s="38" t="s">
        <v>2786</v>
      </c>
      <c r="B1153" s="38">
        <v>6.0022818E7</v>
      </c>
      <c r="C1153" s="38" t="s">
        <v>2787</v>
      </c>
      <c r="D1153" s="5" t="s">
        <v>1960</v>
      </c>
      <c r="E1153" s="38" t="s">
        <v>2779</v>
      </c>
      <c r="F1153" s="39"/>
      <c r="G1153" s="36" t="s">
        <v>13</v>
      </c>
    </row>
    <row r="1154">
      <c r="A1154" s="38" t="s">
        <v>2788</v>
      </c>
      <c r="B1154" s="38">
        <v>6.0022819E7</v>
      </c>
      <c r="C1154" s="38" t="s">
        <v>2789</v>
      </c>
      <c r="D1154" s="5" t="s">
        <v>1960</v>
      </c>
      <c r="E1154" s="38" t="s">
        <v>2779</v>
      </c>
      <c r="F1154" s="39"/>
      <c r="G1154" s="36" t="s">
        <v>13</v>
      </c>
    </row>
    <row r="1155">
      <c r="A1155" s="38" t="s">
        <v>2790</v>
      </c>
      <c r="B1155" s="38">
        <v>6.002282E7</v>
      </c>
      <c r="C1155" s="38" t="s">
        <v>2791</v>
      </c>
      <c r="D1155" s="5" t="s">
        <v>1960</v>
      </c>
      <c r="E1155" s="38" t="s">
        <v>2779</v>
      </c>
      <c r="F1155" s="39"/>
      <c r="G1155" s="36" t="s">
        <v>13</v>
      </c>
    </row>
    <row r="1156">
      <c r="A1156" s="38" t="s">
        <v>2792</v>
      </c>
      <c r="B1156" s="38">
        <v>6.0022821E7</v>
      </c>
      <c r="C1156" s="38" t="s">
        <v>2793</v>
      </c>
      <c r="D1156" s="5" t="s">
        <v>1960</v>
      </c>
      <c r="E1156" s="38" t="s">
        <v>2779</v>
      </c>
      <c r="F1156" s="39"/>
      <c r="G1156" s="36" t="s">
        <v>13</v>
      </c>
    </row>
    <row r="1157">
      <c r="A1157" s="38" t="s">
        <v>2794</v>
      </c>
      <c r="B1157" s="38">
        <v>6.0022822E7</v>
      </c>
      <c r="C1157" s="38" t="s">
        <v>2795</v>
      </c>
      <c r="D1157" s="5" t="s">
        <v>1960</v>
      </c>
      <c r="E1157" s="38" t="s">
        <v>2779</v>
      </c>
      <c r="F1157" s="39"/>
      <c r="G1157" s="36" t="s">
        <v>13</v>
      </c>
    </row>
    <row r="1158">
      <c r="A1158" s="38" t="s">
        <v>2796</v>
      </c>
      <c r="B1158" s="38">
        <v>6.0022823E7</v>
      </c>
      <c r="C1158" s="38" t="s">
        <v>2797</v>
      </c>
      <c r="D1158" s="5" t="s">
        <v>1960</v>
      </c>
      <c r="E1158" s="38" t="s">
        <v>2779</v>
      </c>
      <c r="F1158" s="39"/>
      <c r="G1158" s="36" t="s">
        <v>13</v>
      </c>
    </row>
    <row r="1159">
      <c r="A1159" s="38" t="s">
        <v>2798</v>
      </c>
      <c r="B1159" s="38">
        <v>6.0022824E7</v>
      </c>
      <c r="C1159" s="38" t="s">
        <v>2799</v>
      </c>
      <c r="D1159" s="5" t="s">
        <v>1960</v>
      </c>
      <c r="E1159" s="38" t="s">
        <v>2779</v>
      </c>
      <c r="F1159" s="39"/>
      <c r="G1159" s="36" t="s">
        <v>13</v>
      </c>
    </row>
    <row r="1160">
      <c r="A1160" s="38" t="s">
        <v>2800</v>
      </c>
      <c r="B1160" s="38">
        <v>6.0022825E7</v>
      </c>
      <c r="C1160" s="38" t="s">
        <v>2801</v>
      </c>
      <c r="D1160" s="5" t="s">
        <v>1960</v>
      </c>
      <c r="E1160" s="38" t="s">
        <v>2779</v>
      </c>
      <c r="F1160" s="39"/>
      <c r="G1160" s="36" t="s">
        <v>13</v>
      </c>
    </row>
    <row r="1161">
      <c r="A1161" s="38" t="s">
        <v>2802</v>
      </c>
      <c r="B1161" s="38">
        <v>6.0022826E7</v>
      </c>
      <c r="C1161" s="38" t="s">
        <v>2803</v>
      </c>
      <c r="D1161" s="5" t="s">
        <v>1960</v>
      </c>
      <c r="E1161" s="38" t="s">
        <v>2779</v>
      </c>
      <c r="F1161" s="39"/>
      <c r="G1161" s="36" t="s">
        <v>13</v>
      </c>
    </row>
    <row r="1162">
      <c r="A1162" s="38" t="s">
        <v>2804</v>
      </c>
      <c r="B1162" s="38">
        <v>6.0022827E7</v>
      </c>
      <c r="C1162" s="38" t="s">
        <v>2805</v>
      </c>
      <c r="D1162" s="5" t="s">
        <v>1960</v>
      </c>
      <c r="E1162" s="38" t="s">
        <v>2779</v>
      </c>
      <c r="F1162" s="39"/>
      <c r="G1162" s="36" t="s">
        <v>13</v>
      </c>
    </row>
    <row r="1163">
      <c r="A1163" s="38" t="s">
        <v>2806</v>
      </c>
      <c r="B1163" s="38">
        <v>6.0022828E7</v>
      </c>
      <c r="C1163" s="38" t="s">
        <v>2807</v>
      </c>
      <c r="D1163" s="5" t="s">
        <v>1960</v>
      </c>
      <c r="E1163" s="38" t="s">
        <v>2779</v>
      </c>
      <c r="F1163" s="39"/>
      <c r="G1163" s="36" t="s">
        <v>13</v>
      </c>
    </row>
    <row r="1164">
      <c r="A1164" s="38" t="s">
        <v>2808</v>
      </c>
      <c r="B1164" s="38">
        <v>6.0022829E7</v>
      </c>
      <c r="C1164" s="38" t="s">
        <v>2809</v>
      </c>
      <c r="D1164" s="5" t="s">
        <v>1960</v>
      </c>
      <c r="E1164" s="38" t="s">
        <v>2779</v>
      </c>
      <c r="F1164" s="39"/>
      <c r="G1164" s="36" t="s">
        <v>13</v>
      </c>
    </row>
    <row r="1165">
      <c r="A1165" s="38" t="s">
        <v>2810</v>
      </c>
      <c r="B1165" s="38">
        <v>6.002283E7</v>
      </c>
      <c r="C1165" s="5" t="s">
        <v>2811</v>
      </c>
      <c r="D1165" s="5" t="s">
        <v>1960</v>
      </c>
      <c r="E1165" s="38" t="s">
        <v>2779</v>
      </c>
      <c r="F1165" s="39"/>
      <c r="G1165" s="36" t="s">
        <v>13</v>
      </c>
    </row>
    <row r="1166">
      <c r="A1166" s="5" t="s">
        <v>2812</v>
      </c>
      <c r="B1166" s="5">
        <v>6.0022894E7</v>
      </c>
      <c r="C1166" s="5" t="s">
        <v>2813</v>
      </c>
      <c r="D1166" s="5" t="s">
        <v>1960</v>
      </c>
      <c r="E1166" s="40" t="s">
        <v>2216</v>
      </c>
      <c r="F1166" s="39"/>
      <c r="G1166" s="36" t="s">
        <v>13</v>
      </c>
    </row>
    <row r="1167">
      <c r="A1167" s="5" t="s">
        <v>2814</v>
      </c>
      <c r="B1167" s="5">
        <v>6.0022893E7</v>
      </c>
      <c r="C1167" s="5" t="s">
        <v>2815</v>
      </c>
      <c r="D1167" s="5" t="s">
        <v>1960</v>
      </c>
      <c r="E1167" s="40" t="s">
        <v>2216</v>
      </c>
      <c r="F1167" s="39"/>
      <c r="G1167" s="36" t="s">
        <v>13</v>
      </c>
    </row>
    <row r="1168">
      <c r="A1168" s="5" t="s">
        <v>2816</v>
      </c>
      <c r="B1168" s="5">
        <v>6.0022895E7</v>
      </c>
      <c r="C1168" s="5" t="s">
        <v>2817</v>
      </c>
      <c r="D1168" s="5" t="s">
        <v>1960</v>
      </c>
      <c r="E1168" s="40" t="s">
        <v>2216</v>
      </c>
      <c r="F1168" s="39"/>
      <c r="G1168" s="36" t="s">
        <v>13</v>
      </c>
    </row>
    <row r="1169">
      <c r="A1169" s="14"/>
      <c r="B1169" s="41">
        <v>6.0019589E7</v>
      </c>
      <c r="C1169" s="14"/>
      <c r="D1169" s="5" t="s">
        <v>1960</v>
      </c>
      <c r="E1169" s="41" t="s">
        <v>2818</v>
      </c>
      <c r="F1169" s="5" t="s">
        <v>2819</v>
      </c>
      <c r="G1169" s="5" t="s">
        <v>36</v>
      </c>
    </row>
    <row r="1170">
      <c r="A1170" s="14"/>
      <c r="B1170" s="5" t="s">
        <v>2820</v>
      </c>
      <c r="C1170" s="14"/>
      <c r="D1170" s="5" t="s">
        <v>1960</v>
      </c>
      <c r="E1170" s="5" t="s">
        <v>2772</v>
      </c>
      <c r="F1170" s="5" t="s">
        <v>2819</v>
      </c>
      <c r="G1170" s="5" t="s">
        <v>13</v>
      </c>
    </row>
    <row r="1171">
      <c r="A1171" s="14"/>
      <c r="B1171" s="5" t="s">
        <v>2821</v>
      </c>
      <c r="C1171" s="14"/>
      <c r="D1171" s="5" t="s">
        <v>1960</v>
      </c>
      <c r="E1171" s="5" t="s">
        <v>2772</v>
      </c>
      <c r="F1171" s="5" t="s">
        <v>2819</v>
      </c>
      <c r="G1171" s="5" t="s">
        <v>13</v>
      </c>
    </row>
    <row r="1172">
      <c r="A1172" s="14"/>
      <c r="B1172" s="5" t="s">
        <v>2822</v>
      </c>
      <c r="C1172" s="14"/>
      <c r="D1172" s="5" t="s">
        <v>1960</v>
      </c>
      <c r="E1172" s="5" t="s">
        <v>2650</v>
      </c>
      <c r="F1172" s="5" t="s">
        <v>2819</v>
      </c>
      <c r="G1172" s="5" t="s">
        <v>36</v>
      </c>
    </row>
    <row r="1173">
      <c r="A1173" s="42" t="s">
        <v>2823</v>
      </c>
      <c r="B1173" s="36">
        <v>6.0019558E7</v>
      </c>
      <c r="C1173" s="39"/>
      <c r="D1173" s="5" t="s">
        <v>1960</v>
      </c>
      <c r="E1173" s="43" t="s">
        <v>2818</v>
      </c>
      <c r="F1173" s="39"/>
      <c r="G1173" s="5" t="s">
        <v>36</v>
      </c>
    </row>
    <row r="1174">
      <c r="A1174" s="16" t="s">
        <v>2824</v>
      </c>
      <c r="B1174" s="16">
        <v>6.0020159E7</v>
      </c>
      <c r="C1174" s="16" t="s">
        <v>2825</v>
      </c>
      <c r="D1174" s="5" t="s">
        <v>1960</v>
      </c>
      <c r="E1174" s="16" t="s">
        <v>2826</v>
      </c>
      <c r="F1174" s="5" t="s">
        <v>12</v>
      </c>
      <c r="G1174" s="36" t="s">
        <v>13</v>
      </c>
    </row>
    <row r="1175">
      <c r="A1175" s="11"/>
      <c r="B1175" s="11"/>
      <c r="C1175" s="11"/>
      <c r="D1175" s="11"/>
      <c r="E1175" s="11"/>
      <c r="F1175" s="11"/>
      <c r="G1175" s="11"/>
    </row>
    <row r="1176">
      <c r="A1176" s="11"/>
      <c r="B1176" s="11"/>
      <c r="C1176" s="11"/>
      <c r="D1176" s="11"/>
      <c r="E1176" s="11"/>
      <c r="F1176" s="11"/>
      <c r="G1176" s="11"/>
    </row>
    <row r="1177">
      <c r="A1177" s="11"/>
      <c r="B1177" s="11"/>
      <c r="C1177" s="11"/>
      <c r="D1177" s="11"/>
      <c r="E1177" s="11"/>
      <c r="F1177" s="11"/>
      <c r="G1177" s="11"/>
    </row>
    <row r="1178">
      <c r="A1178" s="11"/>
      <c r="B1178" s="11"/>
      <c r="C1178" s="11"/>
      <c r="D1178" s="11"/>
      <c r="E1178" s="11"/>
      <c r="F1178" s="11"/>
      <c r="G1178" s="11"/>
    </row>
    <row r="1179">
      <c r="A1179" s="11"/>
      <c r="B1179" s="11"/>
      <c r="C1179" s="11"/>
      <c r="D1179" s="11"/>
      <c r="E1179" s="11"/>
      <c r="F1179" s="11"/>
      <c r="G1179" s="11"/>
    </row>
    <row r="1180">
      <c r="A1180" s="11"/>
      <c r="B1180" s="11"/>
      <c r="C1180" s="11"/>
      <c r="D1180" s="11"/>
      <c r="E1180" s="11"/>
      <c r="F1180" s="11"/>
      <c r="G1180" s="11"/>
    </row>
    <row r="1181">
      <c r="A1181" s="11"/>
      <c r="B1181" s="11"/>
      <c r="C1181" s="11"/>
      <c r="D1181" s="11"/>
      <c r="E1181" s="11"/>
      <c r="F1181" s="11"/>
      <c r="G1181" s="11"/>
    </row>
    <row r="1182">
      <c r="A1182" s="11"/>
      <c r="B1182" s="11"/>
      <c r="C1182" s="11"/>
      <c r="D1182" s="11"/>
      <c r="E1182" s="11"/>
      <c r="F1182" s="11"/>
      <c r="G1182" s="11"/>
    </row>
    <row r="1183">
      <c r="A1183" s="11"/>
      <c r="B1183" s="11"/>
      <c r="C1183" s="11"/>
      <c r="D1183" s="11"/>
      <c r="E1183" s="11"/>
      <c r="F1183" s="11"/>
      <c r="G1183" s="11"/>
    </row>
    <row r="1184">
      <c r="A1184" s="11"/>
      <c r="B1184" s="11"/>
      <c r="C1184" s="11"/>
      <c r="D1184" s="11"/>
      <c r="E1184" s="11"/>
      <c r="F1184" s="11"/>
      <c r="G1184" s="11"/>
    </row>
    <row r="1185">
      <c r="A1185" s="11"/>
      <c r="B1185" s="11"/>
      <c r="C1185" s="11"/>
      <c r="D1185" s="11"/>
      <c r="E1185" s="11"/>
      <c r="F1185" s="11"/>
      <c r="G1185" s="11"/>
    </row>
    <row r="1186">
      <c r="A1186" s="11"/>
      <c r="B1186" s="11"/>
      <c r="C1186" s="11"/>
      <c r="D1186" s="11"/>
      <c r="E1186" s="11"/>
      <c r="F1186" s="11"/>
      <c r="G1186" s="11"/>
    </row>
    <row r="1187">
      <c r="A1187" s="11"/>
      <c r="B1187" s="11"/>
      <c r="C1187" s="11"/>
      <c r="D1187" s="11"/>
      <c r="E1187" s="11"/>
      <c r="F1187" s="11"/>
      <c r="G1187" s="11"/>
    </row>
    <row r="1188">
      <c r="A1188" s="11"/>
      <c r="B1188" s="11"/>
      <c r="C1188" s="11"/>
      <c r="D1188" s="11"/>
      <c r="E1188" s="11"/>
      <c r="F1188" s="11"/>
      <c r="G1188" s="11"/>
    </row>
    <row r="1189">
      <c r="A1189" s="11"/>
      <c r="B1189" s="11"/>
      <c r="C1189" s="11"/>
      <c r="D1189" s="11"/>
      <c r="E1189" s="11"/>
      <c r="F1189" s="11"/>
      <c r="G1189" s="11"/>
    </row>
    <row r="1190">
      <c r="A1190" s="11"/>
      <c r="B1190" s="11"/>
      <c r="C1190" s="11"/>
      <c r="D1190" s="11"/>
      <c r="E1190" s="11"/>
      <c r="F1190" s="11"/>
      <c r="G1190" s="11"/>
    </row>
    <row r="1191">
      <c r="A1191" s="11"/>
      <c r="B1191" s="11"/>
      <c r="C1191" s="11"/>
      <c r="D1191" s="11"/>
      <c r="E1191" s="11"/>
      <c r="F1191" s="11"/>
      <c r="G1191" s="11"/>
    </row>
    <row r="1192">
      <c r="A1192" s="11"/>
      <c r="B1192" s="11"/>
      <c r="C1192" s="11"/>
      <c r="D1192" s="11"/>
      <c r="E1192" s="11"/>
      <c r="F1192" s="11"/>
      <c r="G1192" s="11"/>
    </row>
    <row r="1193">
      <c r="A1193" s="11"/>
      <c r="B1193" s="11"/>
      <c r="C1193" s="11"/>
      <c r="D1193" s="11"/>
      <c r="E1193" s="11"/>
      <c r="F1193" s="11"/>
      <c r="G1193" s="11"/>
    </row>
    <row r="1194">
      <c r="A1194" s="11"/>
      <c r="B1194" s="11"/>
      <c r="C1194" s="11"/>
      <c r="D1194" s="11"/>
      <c r="E1194" s="11"/>
      <c r="F1194" s="11"/>
      <c r="G1194" s="11"/>
    </row>
    <row r="1195">
      <c r="A1195" s="11"/>
      <c r="B1195" s="11"/>
      <c r="C1195" s="11"/>
      <c r="D1195" s="11"/>
      <c r="E1195" s="11"/>
      <c r="F1195" s="11"/>
      <c r="G1195" s="11"/>
    </row>
    <row r="1196">
      <c r="A1196" s="11"/>
      <c r="B1196" s="11"/>
      <c r="C1196" s="11"/>
      <c r="D1196" s="11"/>
      <c r="E1196" s="11"/>
      <c r="F1196" s="11"/>
      <c r="G1196" s="11"/>
    </row>
    <row r="1197">
      <c r="A1197" s="11"/>
      <c r="B1197" s="11"/>
      <c r="C1197" s="11"/>
      <c r="D1197" s="11"/>
      <c r="E1197" s="11"/>
      <c r="F1197" s="11"/>
      <c r="G1197" s="11"/>
    </row>
    <row r="1198">
      <c r="A1198" s="11"/>
      <c r="B1198" s="11"/>
      <c r="C1198" s="11"/>
      <c r="D1198" s="11"/>
      <c r="E1198" s="11"/>
      <c r="F1198" s="11"/>
      <c r="G1198" s="11"/>
    </row>
    <row r="1199">
      <c r="A1199" s="11"/>
      <c r="B1199" s="11"/>
      <c r="C1199" s="11"/>
      <c r="D1199" s="11"/>
      <c r="E1199" s="11"/>
      <c r="F1199" s="11"/>
      <c r="G1199" s="11"/>
    </row>
    <row r="1200">
      <c r="A1200" s="11"/>
      <c r="B1200" s="11"/>
      <c r="C1200" s="11"/>
      <c r="D1200" s="11"/>
      <c r="E1200" s="11"/>
      <c r="F1200" s="11"/>
      <c r="G1200" s="11"/>
    </row>
    <row r="1201">
      <c r="A1201" s="11"/>
      <c r="B1201" s="11"/>
      <c r="C1201" s="11"/>
      <c r="D1201" s="11"/>
      <c r="E1201" s="11"/>
      <c r="F1201" s="11"/>
      <c r="G1201" s="11"/>
    </row>
    <row r="1202">
      <c r="A1202" s="11"/>
      <c r="B1202" s="11"/>
      <c r="C1202" s="11"/>
      <c r="D1202" s="11"/>
      <c r="E1202" s="11"/>
      <c r="F1202" s="11"/>
      <c r="G1202" s="11"/>
    </row>
    <row r="1203">
      <c r="A1203" s="11"/>
      <c r="B1203" s="11"/>
      <c r="C1203" s="11"/>
      <c r="D1203" s="11"/>
      <c r="E1203" s="11"/>
      <c r="F1203" s="11"/>
      <c r="G1203" s="11"/>
    </row>
    <row r="1204">
      <c r="A1204" s="11"/>
      <c r="B1204" s="11"/>
      <c r="C1204" s="11"/>
      <c r="D1204" s="11"/>
      <c r="E1204" s="11"/>
      <c r="F1204" s="11"/>
      <c r="G1204" s="11"/>
    </row>
    <row r="1205">
      <c r="A1205" s="11"/>
      <c r="B1205" s="11"/>
      <c r="C1205" s="11"/>
      <c r="D1205" s="11"/>
      <c r="E1205" s="11"/>
      <c r="F1205" s="11"/>
      <c r="G1205" s="11"/>
    </row>
    <row r="1206">
      <c r="A1206" s="11"/>
      <c r="B1206" s="11"/>
      <c r="C1206" s="11"/>
      <c r="D1206" s="11"/>
      <c r="E1206" s="11"/>
      <c r="F1206" s="11"/>
      <c r="G1206" s="11"/>
    </row>
    <row r="1207">
      <c r="A1207" s="11"/>
      <c r="B1207" s="11"/>
      <c r="C1207" s="11"/>
      <c r="D1207" s="11"/>
      <c r="E1207" s="11"/>
      <c r="F1207" s="11"/>
      <c r="G1207" s="11"/>
    </row>
    <row r="1208">
      <c r="A1208" s="11"/>
      <c r="B1208" s="11"/>
      <c r="C1208" s="11"/>
      <c r="D1208" s="11"/>
      <c r="E1208" s="11"/>
      <c r="F1208" s="11"/>
      <c r="G1208" s="11"/>
    </row>
    <row r="1209">
      <c r="A1209" s="11"/>
      <c r="B1209" s="11"/>
      <c r="C1209" s="11"/>
      <c r="D1209" s="11"/>
      <c r="E1209" s="11"/>
      <c r="F1209" s="11"/>
      <c r="G1209" s="11"/>
    </row>
    <row r="1210">
      <c r="A1210" s="11"/>
      <c r="B1210" s="11"/>
      <c r="C1210" s="11"/>
      <c r="D1210" s="11"/>
      <c r="E1210" s="11"/>
      <c r="F1210" s="11"/>
      <c r="G1210" s="11"/>
    </row>
    <row r="1211">
      <c r="A1211" s="11"/>
      <c r="B1211" s="11"/>
      <c r="C1211" s="11"/>
      <c r="D1211" s="11"/>
      <c r="E1211" s="11"/>
      <c r="F1211" s="11"/>
      <c r="G1211" s="11"/>
    </row>
    <row r="1212">
      <c r="A1212" s="11"/>
      <c r="B1212" s="11"/>
      <c r="C1212" s="11"/>
      <c r="D1212" s="11"/>
      <c r="E1212" s="11"/>
      <c r="F1212" s="11"/>
      <c r="G1212" s="11"/>
    </row>
    <row r="1213">
      <c r="A1213" s="11"/>
      <c r="B1213" s="11"/>
      <c r="C1213" s="11"/>
      <c r="D1213" s="11"/>
      <c r="E1213" s="11"/>
      <c r="F1213" s="11"/>
      <c r="G1213" s="11"/>
    </row>
    <row r="1214">
      <c r="A1214" s="11"/>
      <c r="B1214" s="11"/>
      <c r="C1214" s="11"/>
      <c r="D1214" s="11"/>
      <c r="E1214" s="11"/>
      <c r="F1214" s="11"/>
      <c r="G1214" s="11"/>
    </row>
    <row r="1215">
      <c r="A1215" s="11"/>
      <c r="B1215" s="11"/>
      <c r="C1215" s="11"/>
      <c r="D1215" s="11"/>
      <c r="E1215" s="11"/>
      <c r="F1215" s="11"/>
      <c r="G1215" s="11"/>
    </row>
    <row r="1216">
      <c r="A1216" s="11"/>
      <c r="B1216" s="11"/>
      <c r="C1216" s="11"/>
      <c r="D1216" s="11"/>
      <c r="E1216" s="11"/>
      <c r="F1216" s="11"/>
      <c r="G1216" s="11"/>
    </row>
    <row r="1217">
      <c r="A1217" s="11"/>
      <c r="B1217" s="11"/>
      <c r="C1217" s="11"/>
      <c r="D1217" s="11"/>
      <c r="E1217" s="11"/>
      <c r="F1217" s="11"/>
      <c r="G1217" s="11"/>
    </row>
    <row r="1218">
      <c r="A1218" s="11"/>
      <c r="B1218" s="11"/>
      <c r="C1218" s="11"/>
      <c r="D1218" s="11"/>
      <c r="E1218" s="11"/>
      <c r="F1218" s="11"/>
      <c r="G1218" s="11"/>
    </row>
    <row r="1219">
      <c r="A1219" s="11"/>
      <c r="B1219" s="11"/>
      <c r="C1219" s="11"/>
      <c r="D1219" s="11"/>
      <c r="E1219" s="11"/>
      <c r="F1219" s="11"/>
      <c r="G1219" s="11"/>
    </row>
    <row r="1220">
      <c r="A1220" s="11"/>
      <c r="B1220" s="11"/>
      <c r="C1220" s="11"/>
      <c r="D1220" s="11"/>
      <c r="E1220" s="11"/>
      <c r="F1220" s="11"/>
      <c r="G1220" s="11"/>
    </row>
    <row r="1221">
      <c r="A1221" s="11"/>
      <c r="B1221" s="11"/>
      <c r="C1221" s="11"/>
      <c r="D1221" s="11"/>
      <c r="E1221" s="11"/>
      <c r="F1221" s="11"/>
      <c r="G1221" s="11"/>
    </row>
    <row r="1222">
      <c r="A1222" s="11"/>
      <c r="B1222" s="11"/>
      <c r="C1222" s="11"/>
      <c r="D1222" s="11"/>
      <c r="E1222" s="11"/>
      <c r="F1222" s="11"/>
      <c r="G1222" s="11"/>
    </row>
    <row r="1223">
      <c r="A1223" s="11"/>
      <c r="B1223" s="11"/>
      <c r="C1223" s="11"/>
      <c r="D1223" s="11"/>
      <c r="E1223" s="11"/>
      <c r="F1223" s="11"/>
      <c r="G1223" s="11"/>
    </row>
    <row r="1224">
      <c r="A1224" s="11"/>
      <c r="B1224" s="11"/>
      <c r="C1224" s="11"/>
      <c r="D1224" s="11"/>
      <c r="E1224" s="11"/>
      <c r="F1224" s="11"/>
      <c r="G1224" s="11"/>
    </row>
    <row r="1225">
      <c r="A1225" s="11"/>
      <c r="B1225" s="11"/>
      <c r="C1225" s="11"/>
      <c r="D1225" s="11"/>
      <c r="E1225" s="11"/>
      <c r="F1225" s="11"/>
      <c r="G1225" s="11"/>
    </row>
    <row r="1226">
      <c r="A1226" s="11"/>
      <c r="B1226" s="11"/>
      <c r="C1226" s="11"/>
      <c r="D1226" s="11"/>
      <c r="E1226" s="11"/>
      <c r="F1226" s="11"/>
      <c r="G1226" s="11"/>
    </row>
    <row r="1227">
      <c r="A1227" s="11"/>
      <c r="B1227" s="11"/>
      <c r="C1227" s="11"/>
      <c r="D1227" s="11"/>
      <c r="E1227" s="11"/>
      <c r="F1227" s="11"/>
      <c r="G1227" s="11"/>
    </row>
    <row r="1228">
      <c r="A1228" s="11"/>
      <c r="B1228" s="11"/>
      <c r="C1228" s="11"/>
      <c r="D1228" s="11"/>
      <c r="E1228" s="11"/>
      <c r="F1228" s="11"/>
      <c r="G1228" s="11"/>
    </row>
    <row r="1229">
      <c r="A1229" s="11"/>
      <c r="B1229" s="11"/>
      <c r="C1229" s="11"/>
      <c r="D1229" s="11"/>
      <c r="E1229" s="11"/>
      <c r="F1229" s="11"/>
      <c r="G1229" s="11"/>
    </row>
    <row r="1230">
      <c r="A1230" s="11"/>
      <c r="B1230" s="11"/>
      <c r="C1230" s="11"/>
      <c r="D1230" s="11"/>
      <c r="E1230" s="11"/>
      <c r="F1230" s="11"/>
      <c r="G1230" s="11"/>
    </row>
    <row r="1231">
      <c r="A1231" s="11"/>
      <c r="B1231" s="11"/>
      <c r="C1231" s="11"/>
      <c r="D1231" s="11"/>
      <c r="E1231" s="11"/>
      <c r="F1231" s="11"/>
      <c r="G1231" s="11"/>
    </row>
    <row r="1232">
      <c r="A1232" s="11"/>
      <c r="B1232" s="11"/>
      <c r="C1232" s="11"/>
      <c r="D1232" s="11"/>
      <c r="E1232" s="11"/>
      <c r="F1232" s="11"/>
      <c r="G1232" s="11"/>
    </row>
    <row r="1233">
      <c r="A1233" s="11"/>
      <c r="B1233" s="11"/>
      <c r="C1233" s="11"/>
      <c r="D1233" s="11"/>
      <c r="E1233" s="11"/>
      <c r="F1233" s="11"/>
      <c r="G1233" s="11"/>
    </row>
    <row r="1234">
      <c r="A1234" s="11"/>
      <c r="B1234" s="11"/>
      <c r="C1234" s="11"/>
      <c r="D1234" s="11"/>
      <c r="E1234" s="11"/>
      <c r="F1234" s="11"/>
      <c r="G1234" s="11"/>
    </row>
    <row r="1235">
      <c r="A1235" s="11"/>
      <c r="B1235" s="11"/>
      <c r="C1235" s="11"/>
      <c r="D1235" s="11"/>
      <c r="E1235" s="11"/>
      <c r="F1235" s="11"/>
      <c r="G1235" s="11"/>
    </row>
    <row r="1236">
      <c r="A1236" s="11"/>
      <c r="B1236" s="11"/>
      <c r="C1236" s="11"/>
      <c r="D1236" s="11"/>
      <c r="E1236" s="11"/>
      <c r="F1236" s="11"/>
      <c r="G1236" s="11"/>
    </row>
    <row r="1237">
      <c r="A1237" s="11"/>
      <c r="B1237" s="11"/>
      <c r="C1237" s="11"/>
      <c r="D1237" s="11"/>
      <c r="E1237" s="11"/>
      <c r="F1237" s="11"/>
      <c r="G1237" s="11"/>
    </row>
    <row r="1238">
      <c r="A1238" s="11"/>
      <c r="B1238" s="11"/>
      <c r="C1238" s="11"/>
      <c r="D1238" s="11"/>
      <c r="E1238" s="11"/>
      <c r="F1238" s="11"/>
      <c r="G1238" s="11"/>
    </row>
    <row r="1239">
      <c r="A1239" s="11"/>
      <c r="B1239" s="11"/>
      <c r="C1239" s="11"/>
      <c r="D1239" s="11"/>
      <c r="E1239" s="11"/>
      <c r="F1239" s="11"/>
      <c r="G1239" s="11"/>
    </row>
    <row r="1240">
      <c r="A1240" s="11"/>
      <c r="B1240" s="11"/>
      <c r="C1240" s="11"/>
      <c r="D1240" s="11"/>
      <c r="E1240" s="11"/>
      <c r="F1240" s="11"/>
      <c r="G1240" s="11"/>
    </row>
    <row r="1241">
      <c r="A1241" s="11"/>
      <c r="B1241" s="11"/>
      <c r="C1241" s="11"/>
      <c r="D1241" s="11"/>
      <c r="E1241" s="11"/>
      <c r="F1241" s="11"/>
      <c r="G1241" s="11"/>
    </row>
    <row r="1242">
      <c r="A1242" s="11"/>
      <c r="B1242" s="11"/>
      <c r="C1242" s="11"/>
      <c r="D1242" s="11"/>
      <c r="E1242" s="11"/>
      <c r="F1242" s="11"/>
      <c r="G1242" s="11"/>
    </row>
    <row r="1243">
      <c r="A1243" s="11"/>
      <c r="B1243" s="11"/>
      <c r="C1243" s="11"/>
      <c r="D1243" s="11"/>
      <c r="E1243" s="11"/>
      <c r="F1243" s="11"/>
      <c r="G1243" s="11"/>
    </row>
    <row r="1244">
      <c r="A1244" s="11"/>
      <c r="B1244" s="11"/>
      <c r="C1244" s="11"/>
      <c r="D1244" s="11"/>
      <c r="E1244" s="11"/>
      <c r="F1244" s="11"/>
      <c r="G1244" s="11"/>
    </row>
    <row r="1245">
      <c r="A1245" s="11"/>
      <c r="B1245" s="11"/>
      <c r="C1245" s="11"/>
      <c r="D1245" s="11"/>
      <c r="E1245" s="11"/>
      <c r="F1245" s="11"/>
      <c r="G1245" s="11"/>
    </row>
    <row r="1246">
      <c r="A1246" s="11"/>
      <c r="B1246" s="11"/>
      <c r="C1246" s="11"/>
      <c r="D1246" s="11"/>
      <c r="E1246" s="11"/>
      <c r="F1246" s="11"/>
      <c r="G1246" s="11"/>
    </row>
    <row r="1247">
      <c r="A1247" s="11"/>
      <c r="B1247" s="11"/>
      <c r="C1247" s="11"/>
      <c r="D1247" s="11"/>
      <c r="E1247" s="11"/>
      <c r="F1247" s="11"/>
      <c r="G1247" s="11"/>
    </row>
    <row r="1248">
      <c r="A1248" s="11"/>
      <c r="B1248" s="11"/>
      <c r="C1248" s="11"/>
      <c r="D1248" s="11"/>
      <c r="E1248" s="11"/>
      <c r="F1248" s="11"/>
      <c r="G1248" s="11"/>
    </row>
    <row r="1249">
      <c r="A1249" s="11"/>
      <c r="B1249" s="11"/>
      <c r="C1249" s="11"/>
      <c r="D1249" s="11"/>
      <c r="E1249" s="11"/>
      <c r="F1249" s="11"/>
      <c r="G1249" s="11"/>
    </row>
    <row r="1250">
      <c r="A1250" s="11"/>
      <c r="B1250" s="11"/>
      <c r="C1250" s="11"/>
      <c r="D1250" s="11"/>
      <c r="E1250" s="11"/>
      <c r="F1250" s="11"/>
      <c r="G1250" s="11"/>
    </row>
    <row r="1251">
      <c r="A1251" s="11"/>
      <c r="B1251" s="11"/>
      <c r="C1251" s="11"/>
      <c r="D1251" s="11"/>
      <c r="E1251" s="11"/>
      <c r="F1251" s="11"/>
      <c r="G1251" s="11"/>
    </row>
    <row r="1252">
      <c r="A1252" s="11"/>
      <c r="B1252" s="11"/>
      <c r="C1252" s="11"/>
      <c r="D1252" s="11"/>
      <c r="E1252" s="11"/>
      <c r="F1252" s="11"/>
      <c r="G1252" s="11"/>
    </row>
    <row r="1253">
      <c r="A1253" s="11"/>
      <c r="B1253" s="11"/>
      <c r="C1253" s="11"/>
      <c r="D1253" s="11"/>
      <c r="E1253" s="11"/>
      <c r="F1253" s="11"/>
      <c r="G1253" s="11"/>
    </row>
    <row r="1254">
      <c r="A1254" s="11"/>
      <c r="B1254" s="11"/>
      <c r="C1254" s="11"/>
      <c r="D1254" s="11"/>
      <c r="E1254" s="11"/>
      <c r="F1254" s="11"/>
      <c r="G1254" s="11"/>
    </row>
    <row r="1255">
      <c r="A1255" s="11"/>
      <c r="B1255" s="11"/>
      <c r="C1255" s="11"/>
      <c r="D1255" s="11"/>
      <c r="E1255" s="11"/>
      <c r="F1255" s="11"/>
      <c r="G1255" s="11"/>
    </row>
    <row r="1256">
      <c r="A1256" s="11"/>
      <c r="B1256" s="11"/>
      <c r="C1256" s="11"/>
      <c r="D1256" s="11"/>
      <c r="E1256" s="11"/>
      <c r="F1256" s="11"/>
      <c r="G1256" s="11"/>
    </row>
    <row r="1257">
      <c r="A1257" s="11"/>
      <c r="B1257" s="11"/>
      <c r="C1257" s="11"/>
      <c r="D1257" s="11"/>
      <c r="E1257" s="11"/>
      <c r="F1257" s="11"/>
      <c r="G1257" s="11"/>
    </row>
    <row r="1258">
      <c r="A1258" s="11"/>
      <c r="B1258" s="11"/>
      <c r="C1258" s="11"/>
      <c r="D1258" s="11"/>
      <c r="E1258" s="11"/>
      <c r="F1258" s="11"/>
      <c r="G1258" s="11"/>
    </row>
    <row r="1259">
      <c r="A1259" s="11"/>
      <c r="B1259" s="11"/>
      <c r="C1259" s="11"/>
      <c r="D1259" s="11"/>
      <c r="E1259" s="11"/>
      <c r="F1259" s="11"/>
      <c r="G1259" s="11"/>
    </row>
    <row r="1260">
      <c r="A1260" s="11"/>
      <c r="B1260" s="11"/>
      <c r="C1260" s="11"/>
      <c r="D1260" s="11"/>
      <c r="E1260" s="11"/>
      <c r="F1260" s="11"/>
      <c r="G1260" s="11"/>
    </row>
    <row r="1261">
      <c r="A1261" s="11"/>
      <c r="B1261" s="11"/>
      <c r="C1261" s="11"/>
      <c r="D1261" s="11"/>
      <c r="E1261" s="11"/>
      <c r="F1261" s="11"/>
      <c r="G1261" s="11"/>
    </row>
    <row r="1262">
      <c r="A1262" s="11"/>
      <c r="B1262" s="11"/>
      <c r="C1262" s="11"/>
      <c r="D1262" s="11"/>
      <c r="E1262" s="11"/>
      <c r="F1262" s="11"/>
      <c r="G1262" s="11"/>
    </row>
    <row r="1263">
      <c r="A1263" s="11"/>
      <c r="B1263" s="11"/>
      <c r="C1263" s="11"/>
      <c r="D1263" s="11"/>
      <c r="E1263" s="11"/>
      <c r="F1263" s="11"/>
      <c r="G1263" s="11"/>
    </row>
    <row r="1264">
      <c r="A1264" s="11"/>
      <c r="B1264" s="11"/>
      <c r="C1264" s="11"/>
      <c r="D1264" s="11"/>
      <c r="E1264" s="11"/>
      <c r="F1264" s="11"/>
      <c r="G1264" s="11"/>
    </row>
    <row r="1265">
      <c r="A1265" s="11"/>
      <c r="B1265" s="11"/>
      <c r="C1265" s="11"/>
      <c r="D1265" s="11"/>
      <c r="E1265" s="11"/>
      <c r="F1265" s="11"/>
      <c r="G1265" s="11"/>
    </row>
    <row r="1266">
      <c r="A1266" s="11"/>
      <c r="B1266" s="11"/>
      <c r="C1266" s="11"/>
      <c r="D1266" s="11"/>
      <c r="E1266" s="11"/>
      <c r="F1266" s="11"/>
      <c r="G1266" s="11"/>
    </row>
    <row r="1267">
      <c r="A1267" s="11"/>
      <c r="B1267" s="11"/>
      <c r="C1267" s="11"/>
      <c r="D1267" s="11"/>
      <c r="E1267" s="11"/>
      <c r="F1267" s="11"/>
      <c r="G1267" s="11"/>
    </row>
    <row r="1268">
      <c r="A1268" s="11"/>
      <c r="B1268" s="11"/>
      <c r="C1268" s="11"/>
      <c r="D1268" s="11"/>
      <c r="E1268" s="11"/>
      <c r="F1268" s="11"/>
      <c r="G1268" s="11"/>
    </row>
    <row r="1269">
      <c r="A1269" s="11"/>
      <c r="B1269" s="11"/>
      <c r="C1269" s="11"/>
      <c r="D1269" s="11"/>
      <c r="E1269" s="11"/>
      <c r="F1269" s="11"/>
      <c r="G1269" s="11"/>
    </row>
    <row r="1270">
      <c r="A1270" s="11"/>
      <c r="B1270" s="11"/>
      <c r="C1270" s="11"/>
      <c r="D1270" s="11"/>
      <c r="E1270" s="11"/>
      <c r="F1270" s="11"/>
      <c r="G1270" s="11"/>
    </row>
    <row r="1271">
      <c r="A1271" s="11"/>
      <c r="B1271" s="11"/>
      <c r="C1271" s="11"/>
      <c r="D1271" s="11"/>
      <c r="E1271" s="11"/>
      <c r="F1271" s="11"/>
      <c r="G1271" s="11"/>
    </row>
    <row r="1272">
      <c r="A1272" s="11"/>
      <c r="B1272" s="11"/>
      <c r="C1272" s="11"/>
      <c r="D1272" s="11"/>
      <c r="E1272" s="11"/>
      <c r="F1272" s="11"/>
      <c r="G1272" s="11"/>
    </row>
    <row r="1273">
      <c r="A1273" s="11"/>
      <c r="B1273" s="11"/>
      <c r="C1273" s="11"/>
      <c r="D1273" s="11"/>
      <c r="E1273" s="11"/>
      <c r="F1273" s="11"/>
      <c r="G1273" s="11"/>
    </row>
    <row r="1274">
      <c r="A1274" s="11"/>
      <c r="B1274" s="11"/>
      <c r="C1274" s="11"/>
      <c r="D1274" s="11"/>
      <c r="E1274" s="11"/>
      <c r="F1274" s="11"/>
      <c r="G1274" s="11"/>
    </row>
    <row r="1275">
      <c r="A1275" s="11"/>
      <c r="B1275" s="11"/>
      <c r="C1275" s="11"/>
      <c r="D1275" s="11"/>
      <c r="E1275" s="11"/>
      <c r="F1275" s="11"/>
      <c r="G1275" s="11"/>
    </row>
    <row r="1276">
      <c r="A1276" s="11"/>
      <c r="B1276" s="11"/>
      <c r="C1276" s="11"/>
      <c r="D1276" s="11"/>
      <c r="E1276" s="11"/>
      <c r="F1276" s="11"/>
      <c r="G1276" s="11"/>
    </row>
    <row r="1277">
      <c r="A1277" s="11"/>
      <c r="B1277" s="11"/>
      <c r="C1277" s="11"/>
      <c r="D1277" s="11"/>
      <c r="E1277" s="11"/>
      <c r="F1277" s="11"/>
      <c r="G1277" s="11"/>
    </row>
    <row r="1278">
      <c r="A1278" s="11"/>
      <c r="B1278" s="11"/>
      <c r="C1278" s="11"/>
      <c r="D1278" s="11"/>
      <c r="E1278" s="11"/>
      <c r="F1278" s="11"/>
      <c r="G1278" s="11"/>
    </row>
    <row r="1279">
      <c r="A1279" s="11"/>
      <c r="B1279" s="11"/>
      <c r="C1279" s="11"/>
      <c r="D1279" s="11"/>
      <c r="E1279" s="11"/>
      <c r="F1279" s="11"/>
      <c r="G1279" s="11"/>
    </row>
    <row r="1280">
      <c r="A1280" s="11"/>
      <c r="B1280" s="11"/>
      <c r="C1280" s="11"/>
      <c r="D1280" s="11"/>
      <c r="E1280" s="11"/>
      <c r="F1280" s="11"/>
      <c r="G1280" s="11"/>
    </row>
    <row r="1281">
      <c r="A1281" s="11"/>
      <c r="B1281" s="11"/>
      <c r="C1281" s="11"/>
      <c r="D1281" s="11"/>
      <c r="E1281" s="11"/>
      <c r="F1281" s="11"/>
      <c r="G1281" s="11"/>
    </row>
    <row r="1282">
      <c r="A1282" s="11"/>
      <c r="B1282" s="11"/>
      <c r="C1282" s="11"/>
      <c r="D1282" s="11"/>
      <c r="E1282" s="11"/>
      <c r="F1282" s="11"/>
      <c r="G1282" s="11"/>
    </row>
    <row r="1283">
      <c r="A1283" s="11"/>
      <c r="B1283" s="11"/>
      <c r="C1283" s="11"/>
      <c r="D1283" s="11"/>
      <c r="E1283" s="11"/>
      <c r="F1283" s="11"/>
      <c r="G1283" s="11"/>
    </row>
    <row r="1284">
      <c r="A1284" s="11"/>
      <c r="B1284" s="11"/>
      <c r="C1284" s="11"/>
      <c r="D1284" s="11"/>
      <c r="E1284" s="11"/>
      <c r="F1284" s="11"/>
      <c r="G1284" s="11"/>
    </row>
    <row r="1285">
      <c r="A1285" s="11"/>
      <c r="B1285" s="11"/>
      <c r="C1285" s="11"/>
      <c r="D1285" s="11"/>
      <c r="E1285" s="11"/>
      <c r="F1285" s="11"/>
      <c r="G1285" s="11"/>
    </row>
    <row r="1286">
      <c r="A1286" s="11"/>
      <c r="B1286" s="11"/>
      <c r="C1286" s="11"/>
      <c r="D1286" s="11"/>
      <c r="E1286" s="11"/>
      <c r="F1286" s="11"/>
      <c r="G1286" s="11"/>
    </row>
    <row r="1287">
      <c r="A1287" s="11"/>
      <c r="B1287" s="11"/>
      <c r="C1287" s="11"/>
      <c r="D1287" s="11"/>
      <c r="E1287" s="11"/>
      <c r="F1287" s="11"/>
      <c r="G1287" s="11"/>
    </row>
    <row r="1288">
      <c r="A1288" s="11"/>
      <c r="B1288" s="11"/>
      <c r="C1288" s="11"/>
      <c r="D1288" s="11"/>
      <c r="E1288" s="11"/>
      <c r="F1288" s="11"/>
      <c r="G1288" s="11"/>
    </row>
    <row r="1289">
      <c r="A1289" s="11"/>
      <c r="B1289" s="11"/>
      <c r="C1289" s="11"/>
      <c r="D1289" s="11"/>
      <c r="E1289" s="11"/>
      <c r="F1289" s="11"/>
      <c r="G1289" s="11"/>
    </row>
    <row r="1290">
      <c r="A1290" s="11"/>
      <c r="B1290" s="11"/>
      <c r="C1290" s="11"/>
      <c r="D1290" s="11"/>
      <c r="E1290" s="11"/>
      <c r="F1290" s="11"/>
      <c r="G1290" s="11"/>
    </row>
    <row r="1291">
      <c r="A1291" s="11"/>
      <c r="B1291" s="11"/>
      <c r="C1291" s="11"/>
      <c r="D1291" s="11"/>
      <c r="E1291" s="11"/>
      <c r="F1291" s="11"/>
      <c r="G1291" s="11"/>
    </row>
    <row r="1292">
      <c r="A1292" s="11"/>
      <c r="B1292" s="11"/>
      <c r="C1292" s="11"/>
      <c r="D1292" s="11"/>
      <c r="E1292" s="11"/>
      <c r="F1292" s="11"/>
      <c r="G1292" s="11"/>
    </row>
    <row r="1293">
      <c r="A1293" s="11"/>
      <c r="B1293" s="11"/>
      <c r="C1293" s="11"/>
      <c r="D1293" s="11"/>
      <c r="E1293" s="11"/>
      <c r="F1293" s="11"/>
      <c r="G1293" s="11"/>
    </row>
    <row r="1294">
      <c r="A1294" s="11"/>
      <c r="B1294" s="11"/>
      <c r="C1294" s="11"/>
      <c r="D1294" s="11"/>
      <c r="E1294" s="11"/>
      <c r="F1294" s="11"/>
      <c r="G1294" s="11"/>
    </row>
    <row r="1295">
      <c r="A1295" s="11"/>
      <c r="B1295" s="11"/>
      <c r="C1295" s="11"/>
      <c r="D1295" s="11"/>
      <c r="E1295" s="11"/>
      <c r="F1295" s="11"/>
      <c r="G1295" s="11"/>
    </row>
    <row r="1296">
      <c r="A1296" s="11"/>
      <c r="B1296" s="11"/>
      <c r="C1296" s="11"/>
      <c r="D1296" s="11"/>
      <c r="E1296" s="11"/>
      <c r="F1296" s="11"/>
      <c r="G1296" s="11"/>
    </row>
    <row r="1297">
      <c r="A1297" s="11"/>
      <c r="B1297" s="11"/>
      <c r="C1297" s="11"/>
      <c r="D1297" s="11"/>
      <c r="E1297" s="11"/>
      <c r="F1297" s="11"/>
      <c r="G1297" s="11"/>
    </row>
    <row r="1298">
      <c r="A1298" s="11"/>
      <c r="B1298" s="11"/>
      <c r="C1298" s="11"/>
      <c r="D1298" s="11"/>
      <c r="E1298" s="11"/>
      <c r="F1298" s="11"/>
      <c r="G1298" s="11"/>
    </row>
    <row r="1299">
      <c r="A1299" s="11"/>
      <c r="B1299" s="11"/>
      <c r="C1299" s="11"/>
      <c r="D1299" s="11"/>
      <c r="E1299" s="11"/>
      <c r="F1299" s="11"/>
      <c r="G1299" s="11"/>
    </row>
    <row r="1300">
      <c r="A1300" s="11"/>
      <c r="B1300" s="11"/>
      <c r="C1300" s="11"/>
      <c r="D1300" s="11"/>
      <c r="E1300" s="11"/>
      <c r="F1300" s="11"/>
      <c r="G1300" s="11"/>
    </row>
    <row r="1301">
      <c r="A1301" s="11"/>
      <c r="B1301" s="11"/>
      <c r="C1301" s="11"/>
      <c r="D1301" s="11"/>
      <c r="E1301" s="11"/>
      <c r="F1301" s="11"/>
      <c r="G1301" s="11"/>
    </row>
    <row r="1302">
      <c r="A1302" s="11"/>
      <c r="B1302" s="11"/>
      <c r="C1302" s="11"/>
      <c r="D1302" s="11"/>
      <c r="E1302" s="11"/>
      <c r="F1302" s="11"/>
      <c r="G1302" s="11"/>
    </row>
    <row r="1303">
      <c r="A1303" s="11"/>
      <c r="B1303" s="11"/>
      <c r="C1303" s="11"/>
      <c r="D1303" s="11"/>
      <c r="E1303" s="11"/>
      <c r="F1303" s="11"/>
      <c r="G1303" s="11"/>
    </row>
    <row r="1304">
      <c r="A1304" s="11"/>
      <c r="B1304" s="11"/>
      <c r="C1304" s="11"/>
      <c r="D1304" s="11"/>
      <c r="E1304" s="11"/>
      <c r="F1304" s="11"/>
      <c r="G1304" s="11"/>
    </row>
    <row r="1305">
      <c r="A1305" s="11"/>
      <c r="B1305" s="11"/>
      <c r="C1305" s="11"/>
      <c r="D1305" s="11"/>
      <c r="E1305" s="11"/>
      <c r="F1305" s="11"/>
      <c r="G1305" s="11"/>
    </row>
    <row r="1306">
      <c r="A1306" s="11"/>
      <c r="B1306" s="11"/>
      <c r="C1306" s="11"/>
      <c r="D1306" s="11"/>
      <c r="E1306" s="11"/>
      <c r="F1306" s="11"/>
      <c r="G1306" s="11"/>
    </row>
    <row r="1307">
      <c r="A1307" s="11"/>
      <c r="B1307" s="11"/>
      <c r="C1307" s="11"/>
      <c r="D1307" s="11"/>
      <c r="E1307" s="11"/>
      <c r="F1307" s="11"/>
      <c r="G1307" s="11"/>
    </row>
    <row r="1308">
      <c r="A1308" s="11"/>
      <c r="B1308" s="11"/>
      <c r="C1308" s="11"/>
      <c r="D1308" s="11"/>
      <c r="E1308" s="11"/>
      <c r="F1308" s="11"/>
      <c r="G1308" s="11"/>
    </row>
    <row r="1309">
      <c r="A1309" s="11"/>
      <c r="B1309" s="11"/>
      <c r="C1309" s="11"/>
      <c r="D1309" s="11"/>
      <c r="E1309" s="11"/>
      <c r="F1309" s="11"/>
      <c r="G1309" s="11"/>
    </row>
    <row r="1310">
      <c r="A1310" s="11"/>
      <c r="B1310" s="11"/>
      <c r="C1310" s="11"/>
      <c r="D1310" s="11"/>
      <c r="E1310" s="11"/>
      <c r="F1310" s="11"/>
      <c r="G1310" s="11"/>
    </row>
    <row r="1311">
      <c r="A1311" s="11"/>
      <c r="B1311" s="11"/>
      <c r="C1311" s="11"/>
      <c r="D1311" s="11"/>
      <c r="E1311" s="11"/>
      <c r="F1311" s="11"/>
      <c r="G1311" s="11"/>
    </row>
    <row r="1312">
      <c r="A1312" s="11"/>
      <c r="B1312" s="11"/>
      <c r="C1312" s="11"/>
      <c r="D1312" s="11"/>
      <c r="E1312" s="11"/>
      <c r="F1312" s="11"/>
      <c r="G1312" s="11"/>
    </row>
    <row r="1313">
      <c r="A1313" s="11"/>
      <c r="B1313" s="11"/>
      <c r="C1313" s="11"/>
      <c r="D1313" s="11"/>
      <c r="E1313" s="11"/>
      <c r="F1313" s="11"/>
      <c r="G1313" s="11"/>
    </row>
    <row r="1314">
      <c r="A1314" s="11"/>
      <c r="B1314" s="11"/>
      <c r="C1314" s="11"/>
      <c r="D1314" s="11"/>
      <c r="E1314" s="11"/>
      <c r="F1314" s="11"/>
      <c r="G1314" s="11"/>
    </row>
    <row r="1315">
      <c r="A1315" s="11"/>
      <c r="B1315" s="11"/>
      <c r="C1315" s="11"/>
      <c r="D1315" s="11"/>
      <c r="E1315" s="11"/>
      <c r="F1315" s="11"/>
      <c r="G1315" s="11"/>
    </row>
    <row r="1316">
      <c r="A1316" s="11"/>
      <c r="B1316" s="11"/>
      <c r="C1316" s="11"/>
      <c r="D1316" s="11"/>
      <c r="E1316" s="11"/>
      <c r="F1316" s="11"/>
      <c r="G1316" s="11"/>
    </row>
    <row r="1317">
      <c r="A1317" s="11"/>
      <c r="B1317" s="11"/>
      <c r="C1317" s="11"/>
      <c r="D1317" s="11"/>
      <c r="E1317" s="11"/>
      <c r="F1317" s="11"/>
      <c r="G1317" s="11"/>
    </row>
    <row r="1318">
      <c r="A1318" s="11"/>
      <c r="B1318" s="11"/>
      <c r="C1318" s="11"/>
      <c r="D1318" s="11"/>
      <c r="E1318" s="11"/>
      <c r="F1318" s="11"/>
      <c r="G1318" s="11"/>
    </row>
    <row r="1319">
      <c r="A1319" s="11"/>
      <c r="B1319" s="11"/>
      <c r="C1319" s="11"/>
      <c r="D1319" s="11"/>
      <c r="E1319" s="11"/>
      <c r="F1319" s="11"/>
      <c r="G1319" s="11"/>
    </row>
    <row r="1320">
      <c r="A1320" s="11"/>
      <c r="B1320" s="11"/>
      <c r="C1320" s="11"/>
      <c r="D1320" s="11"/>
      <c r="E1320" s="11"/>
      <c r="F1320" s="11"/>
      <c r="G1320" s="11"/>
    </row>
    <row r="1321">
      <c r="A1321" s="11"/>
      <c r="B1321" s="11"/>
      <c r="C1321" s="11"/>
      <c r="D1321" s="11"/>
      <c r="E1321" s="11"/>
      <c r="F1321" s="11"/>
      <c r="G1321" s="11"/>
    </row>
    <row r="1322">
      <c r="A1322" s="11"/>
      <c r="B1322" s="11"/>
      <c r="C1322" s="11"/>
      <c r="D1322" s="11"/>
      <c r="E1322" s="11"/>
      <c r="F1322" s="11"/>
      <c r="G1322" s="11"/>
    </row>
    <row r="1323">
      <c r="A1323" s="11"/>
      <c r="B1323" s="11"/>
      <c r="C1323" s="11"/>
      <c r="D1323" s="11"/>
      <c r="E1323" s="11"/>
      <c r="F1323" s="11"/>
      <c r="G1323" s="11"/>
    </row>
    <row r="1324">
      <c r="A1324" s="11"/>
      <c r="B1324" s="11"/>
      <c r="C1324" s="11"/>
      <c r="D1324" s="11"/>
      <c r="E1324" s="11"/>
      <c r="F1324" s="11"/>
      <c r="G1324" s="11"/>
    </row>
    <row r="1325">
      <c r="A1325" s="11"/>
      <c r="B1325" s="11"/>
      <c r="C1325" s="11"/>
      <c r="D1325" s="11"/>
      <c r="E1325" s="11"/>
      <c r="F1325" s="11"/>
      <c r="G1325" s="11"/>
    </row>
    <row r="1326">
      <c r="A1326" s="11"/>
      <c r="B1326" s="11"/>
      <c r="C1326" s="11"/>
      <c r="D1326" s="11"/>
      <c r="E1326" s="11"/>
      <c r="F1326" s="11"/>
      <c r="G1326" s="11"/>
    </row>
    <row r="1327">
      <c r="A1327" s="11"/>
      <c r="B1327" s="11"/>
      <c r="C1327" s="11"/>
      <c r="D1327" s="11"/>
      <c r="E1327" s="11"/>
      <c r="F1327" s="11"/>
      <c r="G1327" s="11"/>
    </row>
    <row r="1328">
      <c r="A1328" s="11"/>
      <c r="B1328" s="11"/>
      <c r="C1328" s="11"/>
      <c r="D1328" s="11"/>
      <c r="E1328" s="11"/>
      <c r="F1328" s="11"/>
      <c r="G1328" s="11"/>
    </row>
    <row r="1329">
      <c r="A1329" s="11"/>
      <c r="B1329" s="11"/>
      <c r="C1329" s="11"/>
      <c r="D1329" s="11"/>
      <c r="E1329" s="11"/>
      <c r="F1329" s="11"/>
      <c r="G1329" s="11"/>
    </row>
    <row r="1330">
      <c r="A1330" s="11"/>
      <c r="B1330" s="11"/>
      <c r="C1330" s="11"/>
      <c r="D1330" s="11"/>
      <c r="E1330" s="11"/>
      <c r="F1330" s="11"/>
      <c r="G1330" s="11"/>
    </row>
    <row r="1331">
      <c r="A1331" s="11"/>
      <c r="B1331" s="11"/>
      <c r="C1331" s="11"/>
      <c r="D1331" s="11"/>
      <c r="E1331" s="11"/>
      <c r="F1331" s="11"/>
      <c r="G1331" s="11"/>
    </row>
    <row r="1332">
      <c r="A1332" s="11"/>
      <c r="B1332" s="11"/>
      <c r="C1332" s="11"/>
      <c r="D1332" s="11"/>
      <c r="E1332" s="11"/>
      <c r="F1332" s="11"/>
      <c r="G1332" s="11"/>
    </row>
    <row r="1333">
      <c r="A1333" s="11"/>
      <c r="B1333" s="11"/>
      <c r="C1333" s="11"/>
      <c r="D1333" s="11"/>
      <c r="E1333" s="11"/>
      <c r="F1333" s="11"/>
      <c r="G1333" s="11"/>
    </row>
    <row r="1334">
      <c r="A1334" s="11"/>
      <c r="B1334" s="11"/>
      <c r="C1334" s="11"/>
      <c r="D1334" s="11"/>
      <c r="E1334" s="11"/>
      <c r="F1334" s="11"/>
      <c r="G1334" s="11"/>
    </row>
    <row r="1335">
      <c r="A1335" s="11"/>
      <c r="B1335" s="11"/>
      <c r="C1335" s="11"/>
      <c r="D1335" s="11"/>
      <c r="E1335" s="11"/>
      <c r="F1335" s="11"/>
      <c r="G1335" s="11"/>
    </row>
    <row r="1336">
      <c r="A1336" s="11"/>
      <c r="B1336" s="11"/>
      <c r="C1336" s="11"/>
      <c r="D1336" s="11"/>
      <c r="E1336" s="11"/>
      <c r="F1336" s="11"/>
      <c r="G1336" s="11"/>
    </row>
    <row r="1337">
      <c r="A1337" s="11"/>
      <c r="B1337" s="11"/>
      <c r="C1337" s="11"/>
      <c r="D1337" s="11"/>
      <c r="E1337" s="11"/>
      <c r="F1337" s="11"/>
      <c r="G1337" s="11"/>
    </row>
    <row r="1338">
      <c r="A1338" s="11"/>
      <c r="B1338" s="11"/>
      <c r="C1338" s="11"/>
      <c r="D1338" s="11"/>
      <c r="E1338" s="11"/>
      <c r="F1338" s="11"/>
      <c r="G1338" s="11"/>
    </row>
    <row r="1339">
      <c r="A1339" s="11"/>
      <c r="B1339" s="11"/>
      <c r="C1339" s="11"/>
      <c r="D1339" s="11"/>
      <c r="E1339" s="11"/>
      <c r="F1339" s="11"/>
      <c r="G1339" s="11"/>
    </row>
    <row r="1340">
      <c r="A1340" s="11"/>
      <c r="B1340" s="11"/>
      <c r="C1340" s="11"/>
      <c r="D1340" s="11"/>
      <c r="E1340" s="11"/>
      <c r="F1340" s="11"/>
      <c r="G1340" s="11"/>
    </row>
    <row r="1341">
      <c r="A1341" s="11"/>
      <c r="B1341" s="11"/>
      <c r="C1341" s="11"/>
      <c r="D1341" s="11"/>
      <c r="E1341" s="11"/>
      <c r="F1341" s="11"/>
      <c r="G1341" s="11"/>
    </row>
    <row r="1342">
      <c r="A1342" s="11"/>
      <c r="B1342" s="11"/>
      <c r="C1342" s="11"/>
      <c r="D1342" s="11"/>
      <c r="E1342" s="11"/>
      <c r="F1342" s="11"/>
      <c r="G1342" s="11"/>
    </row>
    <row r="1343">
      <c r="A1343" s="11"/>
      <c r="B1343" s="11"/>
      <c r="C1343" s="11"/>
      <c r="D1343" s="11"/>
      <c r="E1343" s="11"/>
      <c r="F1343" s="11"/>
      <c r="G1343" s="11"/>
    </row>
    <row r="1344">
      <c r="A1344" s="11"/>
      <c r="B1344" s="11"/>
      <c r="C1344" s="11"/>
      <c r="D1344" s="11"/>
      <c r="E1344" s="11"/>
      <c r="F1344" s="11"/>
      <c r="G1344" s="11"/>
    </row>
    <row r="1345">
      <c r="A1345" s="11"/>
      <c r="B1345" s="11"/>
      <c r="C1345" s="11"/>
      <c r="D1345" s="11"/>
      <c r="E1345" s="11"/>
      <c r="F1345" s="11"/>
      <c r="G1345" s="11"/>
    </row>
    <row r="1346">
      <c r="A1346" s="11"/>
      <c r="B1346" s="11"/>
      <c r="C1346" s="11"/>
      <c r="D1346" s="11"/>
      <c r="E1346" s="11"/>
      <c r="F1346" s="11"/>
      <c r="G1346" s="11"/>
    </row>
    <row r="1347">
      <c r="A1347" s="11"/>
      <c r="B1347" s="11"/>
      <c r="C1347" s="11"/>
      <c r="D1347" s="11"/>
      <c r="E1347" s="11"/>
      <c r="F1347" s="11"/>
      <c r="G1347" s="11"/>
    </row>
    <row r="1348">
      <c r="A1348" s="11"/>
      <c r="B1348" s="11"/>
      <c r="C1348" s="11"/>
      <c r="D1348" s="11"/>
      <c r="E1348" s="11"/>
      <c r="F1348" s="11"/>
      <c r="G1348" s="11"/>
    </row>
    <row r="1349">
      <c r="A1349" s="11"/>
      <c r="B1349" s="11"/>
      <c r="C1349" s="11"/>
      <c r="D1349" s="11"/>
      <c r="E1349" s="11"/>
      <c r="F1349" s="11"/>
      <c r="G1349" s="11"/>
    </row>
    <row r="1350">
      <c r="A1350" s="11"/>
      <c r="B1350" s="11"/>
      <c r="C1350" s="11"/>
      <c r="D1350" s="11"/>
      <c r="E1350" s="11"/>
      <c r="F1350" s="11"/>
      <c r="G1350" s="11"/>
    </row>
    <row r="1351">
      <c r="A1351" s="11"/>
      <c r="B1351" s="11"/>
      <c r="C1351" s="11"/>
      <c r="D1351" s="11"/>
      <c r="E1351" s="11"/>
      <c r="F1351" s="11"/>
      <c r="G1351" s="11"/>
    </row>
    <row r="1352">
      <c r="A1352" s="11"/>
      <c r="B1352" s="11"/>
      <c r="C1352" s="11"/>
      <c r="D1352" s="11"/>
      <c r="E1352" s="11"/>
      <c r="F1352" s="11"/>
      <c r="G1352" s="11"/>
    </row>
    <row r="1353">
      <c r="A1353" s="11"/>
      <c r="B1353" s="11"/>
      <c r="C1353" s="11"/>
      <c r="D1353" s="11"/>
      <c r="E1353" s="11"/>
      <c r="F1353" s="11"/>
      <c r="G1353" s="11"/>
    </row>
    <row r="1354">
      <c r="A1354" s="11"/>
      <c r="B1354" s="11"/>
      <c r="C1354" s="11"/>
      <c r="D1354" s="11"/>
      <c r="E1354" s="11"/>
      <c r="F1354" s="11"/>
      <c r="G1354" s="11"/>
    </row>
    <row r="1355">
      <c r="A1355" s="11"/>
      <c r="B1355" s="11"/>
      <c r="C1355" s="11"/>
      <c r="D1355" s="11"/>
      <c r="E1355" s="11"/>
      <c r="F1355" s="11"/>
      <c r="G1355" s="11"/>
    </row>
    <row r="1356">
      <c r="A1356" s="11"/>
      <c r="B1356" s="11"/>
      <c r="C1356" s="11"/>
      <c r="D1356" s="11"/>
      <c r="E1356" s="11"/>
      <c r="F1356" s="11"/>
      <c r="G1356" s="11"/>
    </row>
    <row r="1357">
      <c r="A1357" s="11"/>
      <c r="B1357" s="11"/>
      <c r="C1357" s="11"/>
      <c r="D1357" s="11"/>
      <c r="E1357" s="11"/>
      <c r="F1357" s="11"/>
      <c r="G1357" s="11"/>
    </row>
    <row r="1358">
      <c r="A1358" s="11"/>
      <c r="B1358" s="11"/>
      <c r="C1358" s="11"/>
      <c r="D1358" s="11"/>
      <c r="E1358" s="11"/>
      <c r="F1358" s="11"/>
      <c r="G1358" s="11"/>
    </row>
    <row r="1359">
      <c r="A1359" s="11"/>
      <c r="B1359" s="11"/>
      <c r="C1359" s="11"/>
      <c r="D1359" s="11"/>
      <c r="E1359" s="11"/>
      <c r="F1359" s="11"/>
      <c r="G1359" s="11"/>
    </row>
    <row r="1360">
      <c r="A1360" s="11"/>
      <c r="B1360" s="11"/>
      <c r="C1360" s="11"/>
      <c r="D1360" s="11"/>
      <c r="E1360" s="11"/>
      <c r="F1360" s="11"/>
      <c r="G1360" s="11"/>
    </row>
    <row r="1361">
      <c r="A1361" s="11"/>
      <c r="B1361" s="11"/>
      <c r="C1361" s="11"/>
      <c r="D1361" s="11"/>
      <c r="E1361" s="11"/>
      <c r="F1361" s="11"/>
      <c r="G1361" s="11"/>
    </row>
    <row r="1362">
      <c r="A1362" s="11"/>
      <c r="B1362" s="11"/>
      <c r="C1362" s="11"/>
      <c r="D1362" s="11"/>
      <c r="E1362" s="11"/>
      <c r="F1362" s="11"/>
      <c r="G1362" s="11"/>
    </row>
    <row r="1363">
      <c r="A1363" s="11"/>
      <c r="B1363" s="11"/>
      <c r="C1363" s="11"/>
      <c r="D1363" s="11"/>
      <c r="E1363" s="11"/>
      <c r="F1363" s="11"/>
      <c r="G1363" s="11"/>
    </row>
    <row r="1364">
      <c r="A1364" s="11"/>
      <c r="B1364" s="11"/>
      <c r="C1364" s="11"/>
      <c r="D1364" s="11"/>
      <c r="E1364" s="11"/>
      <c r="F1364" s="11"/>
      <c r="G1364" s="11"/>
    </row>
    <row r="1365">
      <c r="A1365" s="11"/>
      <c r="B1365" s="11"/>
      <c r="C1365" s="11"/>
      <c r="D1365" s="11"/>
      <c r="E1365" s="11"/>
      <c r="F1365" s="11"/>
      <c r="G1365" s="11"/>
    </row>
    <row r="1366">
      <c r="A1366" s="11"/>
      <c r="B1366" s="11"/>
      <c r="C1366" s="11"/>
      <c r="D1366" s="11"/>
      <c r="E1366" s="11"/>
      <c r="F1366" s="11"/>
      <c r="G1366" s="11"/>
    </row>
    <row r="1367">
      <c r="A1367" s="11"/>
      <c r="B1367" s="11"/>
      <c r="C1367" s="11"/>
      <c r="D1367" s="11"/>
      <c r="E1367" s="11"/>
      <c r="F1367" s="11"/>
      <c r="G1367" s="11"/>
    </row>
    <row r="1368">
      <c r="A1368" s="11"/>
      <c r="B1368" s="11"/>
      <c r="C1368" s="11"/>
      <c r="D1368" s="11"/>
      <c r="E1368" s="11"/>
      <c r="F1368" s="11"/>
      <c r="G1368" s="11"/>
    </row>
    <row r="1369">
      <c r="A1369" s="11"/>
      <c r="B1369" s="11"/>
      <c r="C1369" s="11"/>
      <c r="D1369" s="11"/>
      <c r="E1369" s="11"/>
      <c r="F1369" s="11"/>
      <c r="G1369" s="11"/>
    </row>
    <row r="1370">
      <c r="A1370" s="11"/>
      <c r="B1370" s="11"/>
      <c r="C1370" s="11"/>
      <c r="D1370" s="11"/>
      <c r="E1370" s="11"/>
      <c r="F1370" s="11"/>
      <c r="G1370" s="11"/>
    </row>
    <row r="1371">
      <c r="A1371" s="11"/>
      <c r="B1371" s="11"/>
      <c r="C1371" s="11"/>
      <c r="D1371" s="11"/>
      <c r="E1371" s="11"/>
      <c r="F1371" s="11"/>
      <c r="G1371" s="11"/>
    </row>
    <row r="1372">
      <c r="A1372" s="11"/>
      <c r="B1372" s="11"/>
      <c r="C1372" s="11"/>
      <c r="D1372" s="11"/>
      <c r="E1372" s="11"/>
      <c r="F1372" s="11"/>
      <c r="G1372" s="11"/>
    </row>
    <row r="1373">
      <c r="A1373" s="11"/>
      <c r="B1373" s="11"/>
      <c r="C1373" s="11"/>
      <c r="D1373" s="11"/>
      <c r="E1373" s="11"/>
      <c r="F1373" s="11"/>
      <c r="G1373" s="11"/>
    </row>
    <row r="1374">
      <c r="A1374" s="11"/>
      <c r="B1374" s="11"/>
      <c r="C1374" s="11"/>
      <c r="D1374" s="11"/>
      <c r="E1374" s="11"/>
      <c r="F1374" s="11"/>
      <c r="G1374" s="11"/>
    </row>
    <row r="1375">
      <c r="A1375" s="11"/>
      <c r="B1375" s="11"/>
      <c r="C1375" s="11"/>
      <c r="D1375" s="11"/>
      <c r="E1375" s="11"/>
      <c r="F1375" s="11"/>
      <c r="G1375" s="11"/>
    </row>
    <row r="1376">
      <c r="A1376" s="11"/>
      <c r="B1376" s="11"/>
      <c r="C1376" s="11"/>
      <c r="D1376" s="11"/>
      <c r="E1376" s="11"/>
      <c r="F1376" s="11"/>
      <c r="G1376" s="11"/>
    </row>
    <row r="1377">
      <c r="A1377" s="11"/>
      <c r="B1377" s="11"/>
      <c r="C1377" s="11"/>
      <c r="D1377" s="11"/>
      <c r="E1377" s="11"/>
      <c r="F1377" s="11"/>
      <c r="G1377" s="11"/>
    </row>
    <row r="1378">
      <c r="A1378" s="11"/>
      <c r="B1378" s="11"/>
      <c r="C1378" s="11"/>
      <c r="D1378" s="11"/>
      <c r="E1378" s="11"/>
      <c r="F1378" s="11"/>
      <c r="G1378" s="11"/>
    </row>
    <row r="1379">
      <c r="A1379" s="11"/>
      <c r="B1379" s="11"/>
      <c r="C1379" s="11"/>
      <c r="D1379" s="11"/>
      <c r="E1379" s="11"/>
      <c r="F1379" s="11"/>
      <c r="G1379" s="11"/>
    </row>
    <row r="1380">
      <c r="A1380" s="11"/>
      <c r="B1380" s="11"/>
      <c r="C1380" s="11"/>
      <c r="D1380" s="11"/>
      <c r="E1380" s="11"/>
      <c r="F1380" s="11"/>
      <c r="G1380" s="11"/>
    </row>
    <row r="1381">
      <c r="A1381" s="11"/>
      <c r="B1381" s="11"/>
      <c r="C1381" s="11"/>
      <c r="D1381" s="11"/>
      <c r="E1381" s="11"/>
      <c r="F1381" s="11"/>
      <c r="G1381" s="11"/>
    </row>
    <row r="1382">
      <c r="A1382" s="11"/>
      <c r="B1382" s="11"/>
      <c r="C1382" s="11"/>
      <c r="D1382" s="11"/>
      <c r="E1382" s="11"/>
      <c r="F1382" s="11"/>
      <c r="G1382" s="11"/>
    </row>
    <row r="1383">
      <c r="A1383" s="11"/>
      <c r="B1383" s="11"/>
      <c r="C1383" s="11"/>
      <c r="D1383" s="11"/>
      <c r="E1383" s="11"/>
      <c r="F1383" s="11"/>
      <c r="G1383" s="11"/>
    </row>
    <row r="1384">
      <c r="A1384" s="11"/>
      <c r="B1384" s="11"/>
      <c r="C1384" s="11"/>
      <c r="D1384" s="11"/>
      <c r="E1384" s="11"/>
      <c r="F1384" s="11"/>
      <c r="G1384" s="11"/>
    </row>
    <row r="1385">
      <c r="A1385" s="11"/>
      <c r="B1385" s="11"/>
      <c r="C1385" s="11"/>
      <c r="D1385" s="11"/>
      <c r="E1385" s="11"/>
      <c r="F1385" s="11"/>
      <c r="G1385" s="11"/>
    </row>
    <row r="1386">
      <c r="A1386" s="11"/>
      <c r="B1386" s="11"/>
      <c r="C1386" s="11"/>
      <c r="D1386" s="11"/>
      <c r="E1386" s="11"/>
      <c r="F1386" s="11"/>
      <c r="G1386" s="11"/>
    </row>
    <row r="1387">
      <c r="A1387" s="11"/>
      <c r="B1387" s="11"/>
      <c r="C1387" s="11"/>
      <c r="D1387" s="11"/>
      <c r="E1387" s="11"/>
      <c r="F1387" s="11"/>
      <c r="G1387" s="11"/>
    </row>
    <row r="1388">
      <c r="A1388" s="11"/>
      <c r="B1388" s="11"/>
      <c r="C1388" s="11"/>
      <c r="D1388" s="11"/>
      <c r="E1388" s="11"/>
      <c r="F1388" s="11"/>
      <c r="G1388" s="11"/>
    </row>
    <row r="1389">
      <c r="A1389" s="11"/>
      <c r="B1389" s="11"/>
      <c r="C1389" s="11"/>
      <c r="D1389" s="11"/>
      <c r="E1389" s="11"/>
      <c r="F1389" s="11"/>
      <c r="G1389" s="11"/>
    </row>
    <row r="1390">
      <c r="A1390" s="11"/>
      <c r="B1390" s="11"/>
      <c r="C1390" s="11"/>
      <c r="D1390" s="11"/>
      <c r="E1390" s="11"/>
      <c r="F1390" s="11"/>
      <c r="G1390" s="11"/>
    </row>
    <row r="1391">
      <c r="A1391" s="11"/>
      <c r="B1391" s="11"/>
      <c r="C1391" s="11"/>
      <c r="D1391" s="11"/>
      <c r="E1391" s="11"/>
      <c r="F1391" s="11"/>
      <c r="G1391" s="11"/>
    </row>
    <row r="1392">
      <c r="A1392" s="11"/>
      <c r="B1392" s="11"/>
      <c r="C1392" s="11"/>
      <c r="D1392" s="11"/>
      <c r="E1392" s="11"/>
      <c r="F1392" s="11"/>
      <c r="G1392" s="11"/>
    </row>
    <row r="1393">
      <c r="A1393" s="11"/>
      <c r="B1393" s="11"/>
      <c r="C1393" s="11"/>
      <c r="D1393" s="11"/>
      <c r="E1393" s="11"/>
      <c r="F1393" s="11"/>
      <c r="G1393" s="11"/>
    </row>
    <row r="1394">
      <c r="A1394" s="11"/>
      <c r="B1394" s="11"/>
      <c r="C1394" s="11"/>
      <c r="D1394" s="11"/>
      <c r="E1394" s="11"/>
      <c r="F1394" s="11"/>
      <c r="G1394" s="11"/>
    </row>
    <row r="1395">
      <c r="A1395" s="11"/>
      <c r="B1395" s="11"/>
      <c r="C1395" s="11"/>
      <c r="D1395" s="11"/>
      <c r="E1395" s="11"/>
      <c r="F1395" s="11"/>
      <c r="G1395" s="11"/>
    </row>
    <row r="1396">
      <c r="A1396" s="11"/>
      <c r="B1396" s="11"/>
      <c r="C1396" s="11"/>
      <c r="D1396" s="11"/>
      <c r="E1396" s="11"/>
      <c r="F1396" s="11"/>
      <c r="G1396" s="11"/>
    </row>
    <row r="1397">
      <c r="A1397" s="11"/>
      <c r="B1397" s="11"/>
      <c r="C1397" s="11"/>
      <c r="D1397" s="11"/>
      <c r="E1397" s="11"/>
      <c r="F1397" s="11"/>
      <c r="G1397" s="11"/>
    </row>
    <row r="1398">
      <c r="A1398" s="11"/>
      <c r="B1398" s="11"/>
      <c r="C1398" s="11"/>
      <c r="D1398" s="11"/>
      <c r="E1398" s="11"/>
      <c r="F1398" s="11"/>
      <c r="G1398" s="11"/>
    </row>
    <row r="1399">
      <c r="A1399" s="11"/>
      <c r="B1399" s="11"/>
      <c r="C1399" s="11"/>
      <c r="D1399" s="11"/>
      <c r="E1399" s="11"/>
      <c r="F1399" s="11"/>
      <c r="G1399" s="11"/>
    </row>
    <row r="1400">
      <c r="A1400" s="11"/>
      <c r="B1400" s="11"/>
      <c r="C1400" s="11"/>
      <c r="D1400" s="11"/>
      <c r="E1400" s="11"/>
      <c r="F1400" s="11"/>
      <c r="G1400" s="11"/>
    </row>
    <row r="1401">
      <c r="A1401" s="11"/>
      <c r="B1401" s="11"/>
      <c r="C1401" s="11"/>
      <c r="D1401" s="11"/>
      <c r="E1401" s="11"/>
      <c r="F1401" s="11"/>
      <c r="G1401" s="11"/>
    </row>
    <row r="1402">
      <c r="A1402" s="11"/>
      <c r="B1402" s="11"/>
      <c r="C1402" s="11"/>
      <c r="D1402" s="11"/>
      <c r="E1402" s="11"/>
      <c r="F1402" s="11"/>
      <c r="G1402" s="11"/>
    </row>
    <row r="1403">
      <c r="A1403" s="11"/>
      <c r="B1403" s="11"/>
      <c r="C1403" s="11"/>
      <c r="D1403" s="11"/>
      <c r="E1403" s="11"/>
      <c r="F1403" s="11"/>
      <c r="G1403" s="11"/>
    </row>
    <row r="1404">
      <c r="A1404" s="11"/>
      <c r="B1404" s="11"/>
      <c r="C1404" s="11"/>
      <c r="D1404" s="11"/>
      <c r="E1404" s="11"/>
      <c r="F1404" s="11"/>
      <c r="G1404" s="11"/>
    </row>
    <row r="1405">
      <c r="A1405" s="11"/>
      <c r="B1405" s="11"/>
      <c r="C1405" s="11"/>
      <c r="D1405" s="11"/>
      <c r="E1405" s="11"/>
      <c r="F1405" s="11"/>
      <c r="G1405" s="11"/>
    </row>
    <row r="1406">
      <c r="A1406" s="11"/>
      <c r="B1406" s="11"/>
      <c r="C1406" s="11"/>
      <c r="D1406" s="11"/>
      <c r="E1406" s="11"/>
      <c r="F1406" s="11"/>
      <c r="G1406" s="11"/>
    </row>
    <row r="1407">
      <c r="A1407" s="11"/>
      <c r="B1407" s="11"/>
      <c r="C1407" s="11"/>
      <c r="D1407" s="11"/>
      <c r="E1407" s="11"/>
      <c r="F1407" s="11"/>
      <c r="G1407" s="11"/>
    </row>
    <row r="1408">
      <c r="A1408" s="11"/>
      <c r="B1408" s="11"/>
      <c r="C1408" s="11"/>
      <c r="D1408" s="11"/>
      <c r="E1408" s="11"/>
      <c r="F1408" s="11"/>
      <c r="G1408" s="11"/>
    </row>
    <row r="1409">
      <c r="A1409" s="11"/>
      <c r="B1409" s="11"/>
      <c r="C1409" s="11"/>
      <c r="D1409" s="11"/>
      <c r="E1409" s="11"/>
      <c r="F1409" s="11"/>
      <c r="G1409" s="11"/>
    </row>
    <row r="1410">
      <c r="A1410" s="11"/>
      <c r="B1410" s="11"/>
      <c r="C1410" s="11"/>
      <c r="D1410" s="11"/>
      <c r="E1410" s="11"/>
      <c r="F1410" s="11"/>
      <c r="G1410" s="11"/>
    </row>
    <row r="1411">
      <c r="A1411" s="11"/>
      <c r="B1411" s="11"/>
      <c r="C1411" s="11"/>
      <c r="D1411" s="11"/>
      <c r="E1411" s="11"/>
      <c r="F1411" s="11"/>
      <c r="G1411" s="11"/>
    </row>
    <row r="1412">
      <c r="A1412" s="11"/>
      <c r="B1412" s="11"/>
      <c r="C1412" s="11"/>
      <c r="D1412" s="11"/>
      <c r="E1412" s="11"/>
      <c r="F1412" s="11"/>
      <c r="G1412" s="11"/>
    </row>
    <row r="1413">
      <c r="A1413" s="11"/>
      <c r="B1413" s="11"/>
      <c r="C1413" s="11"/>
      <c r="D1413" s="11"/>
      <c r="E1413" s="11"/>
      <c r="F1413" s="11"/>
      <c r="G1413" s="11"/>
    </row>
    <row r="1414">
      <c r="A1414" s="11"/>
      <c r="B1414" s="11"/>
      <c r="C1414" s="11"/>
      <c r="D1414" s="11"/>
      <c r="E1414" s="11"/>
      <c r="F1414" s="11"/>
      <c r="G1414" s="11"/>
    </row>
    <row r="1415">
      <c r="A1415" s="11"/>
      <c r="B1415" s="11"/>
      <c r="C1415" s="11"/>
      <c r="D1415" s="11"/>
      <c r="E1415" s="11"/>
      <c r="F1415" s="11"/>
      <c r="G1415" s="11"/>
    </row>
    <row r="1416">
      <c r="A1416" s="11"/>
      <c r="B1416" s="11"/>
      <c r="C1416" s="11"/>
      <c r="D1416" s="11"/>
      <c r="E1416" s="11"/>
      <c r="F1416" s="11"/>
      <c r="G1416" s="11"/>
    </row>
    <row r="1417">
      <c r="A1417" s="11"/>
      <c r="B1417" s="11"/>
      <c r="C1417" s="11"/>
      <c r="D1417" s="11"/>
      <c r="E1417" s="11"/>
      <c r="F1417" s="11"/>
      <c r="G1417" s="11"/>
    </row>
    <row r="1418">
      <c r="A1418" s="11"/>
      <c r="B1418" s="11"/>
      <c r="C1418" s="11"/>
      <c r="D1418" s="11"/>
      <c r="E1418" s="11"/>
      <c r="F1418" s="11"/>
      <c r="G1418" s="11"/>
    </row>
    <row r="1419">
      <c r="A1419" s="11"/>
      <c r="B1419" s="11"/>
      <c r="C1419" s="11"/>
      <c r="D1419" s="11"/>
      <c r="E1419" s="11"/>
      <c r="F1419" s="11"/>
      <c r="G1419" s="11"/>
    </row>
    <row r="1420">
      <c r="A1420" s="11"/>
      <c r="B1420" s="11"/>
      <c r="C1420" s="11"/>
      <c r="D1420" s="11"/>
      <c r="E1420" s="11"/>
      <c r="F1420" s="11"/>
      <c r="G1420" s="11"/>
    </row>
    <row r="1421">
      <c r="A1421" s="11"/>
      <c r="B1421" s="11"/>
      <c r="C1421" s="11"/>
      <c r="D1421" s="11"/>
      <c r="E1421" s="11"/>
      <c r="F1421" s="11"/>
      <c r="G1421" s="11"/>
    </row>
    <row r="1422">
      <c r="A1422" s="11"/>
      <c r="B1422" s="11"/>
      <c r="C1422" s="11"/>
      <c r="D1422" s="11"/>
      <c r="E1422" s="11"/>
      <c r="F1422" s="11"/>
      <c r="G1422" s="11"/>
    </row>
    <row r="1423">
      <c r="A1423" s="11"/>
      <c r="B1423" s="11"/>
      <c r="C1423" s="11"/>
      <c r="D1423" s="11"/>
      <c r="E1423" s="11"/>
      <c r="F1423" s="11"/>
      <c r="G1423" s="11"/>
    </row>
    <row r="1424">
      <c r="A1424" s="11"/>
      <c r="B1424" s="11"/>
      <c r="C1424" s="11"/>
      <c r="D1424" s="11"/>
      <c r="E1424" s="11"/>
      <c r="F1424" s="11"/>
      <c r="G1424" s="11"/>
    </row>
    <row r="1425">
      <c r="A1425" s="11"/>
      <c r="B1425" s="11"/>
      <c r="C1425" s="11"/>
      <c r="D1425" s="11"/>
      <c r="E1425" s="11"/>
      <c r="F1425" s="11"/>
      <c r="G1425" s="11"/>
    </row>
    <row r="1426">
      <c r="A1426" s="11"/>
      <c r="B1426" s="11"/>
      <c r="C1426" s="11"/>
      <c r="D1426" s="11"/>
      <c r="E1426" s="11"/>
      <c r="F1426" s="11"/>
      <c r="G1426" s="11"/>
    </row>
    <row r="1427">
      <c r="A1427" s="11"/>
      <c r="B1427" s="11"/>
      <c r="C1427" s="11"/>
      <c r="D1427" s="11"/>
      <c r="E1427" s="11"/>
      <c r="F1427" s="11"/>
      <c r="G1427" s="11"/>
    </row>
    <row r="1428">
      <c r="A1428" s="11"/>
      <c r="B1428" s="11"/>
      <c r="C1428" s="11"/>
      <c r="D1428" s="11"/>
      <c r="E1428" s="11"/>
      <c r="F1428" s="11"/>
      <c r="G1428" s="11"/>
    </row>
    <row r="1429">
      <c r="A1429" s="11"/>
      <c r="B1429" s="11"/>
      <c r="C1429" s="11"/>
      <c r="D1429" s="11"/>
      <c r="E1429" s="11"/>
      <c r="F1429" s="11"/>
      <c r="G1429" s="11"/>
    </row>
    <row r="1430">
      <c r="A1430" s="11"/>
      <c r="B1430" s="11"/>
      <c r="C1430" s="11"/>
      <c r="D1430" s="11"/>
      <c r="E1430" s="11"/>
      <c r="F1430" s="11"/>
      <c r="G1430" s="11"/>
    </row>
    <row r="1431">
      <c r="A1431" s="11"/>
      <c r="B1431" s="11"/>
      <c r="C1431" s="11"/>
      <c r="D1431" s="11"/>
      <c r="E1431" s="11"/>
      <c r="F1431" s="11"/>
      <c r="G1431" s="11"/>
    </row>
    <row r="1432">
      <c r="A1432" s="11"/>
      <c r="B1432" s="11"/>
      <c r="C1432" s="11"/>
      <c r="D1432" s="11"/>
      <c r="E1432" s="11"/>
      <c r="F1432" s="11"/>
      <c r="G1432" s="11"/>
    </row>
    <row r="1433">
      <c r="A1433" s="11"/>
      <c r="B1433" s="11"/>
      <c r="C1433" s="11"/>
      <c r="D1433" s="11"/>
      <c r="E1433" s="11"/>
      <c r="F1433" s="11"/>
      <c r="G1433" s="11"/>
    </row>
    <row r="1434">
      <c r="A1434" s="11"/>
      <c r="B1434" s="11"/>
      <c r="C1434" s="11"/>
      <c r="D1434" s="11"/>
      <c r="E1434" s="11"/>
      <c r="F1434" s="11"/>
      <c r="G1434" s="11"/>
    </row>
    <row r="1435">
      <c r="A1435" s="11"/>
      <c r="B1435" s="11"/>
      <c r="C1435" s="11"/>
      <c r="D1435" s="11"/>
      <c r="E1435" s="11"/>
      <c r="F1435" s="11"/>
      <c r="G1435" s="11"/>
    </row>
    <row r="1436">
      <c r="A1436" s="11"/>
      <c r="B1436" s="11"/>
      <c r="C1436" s="11"/>
      <c r="D1436" s="11"/>
      <c r="E1436" s="11"/>
      <c r="F1436" s="11"/>
      <c r="G1436" s="11"/>
    </row>
    <row r="1437">
      <c r="A1437" s="11"/>
      <c r="B1437" s="11"/>
      <c r="C1437" s="11"/>
      <c r="D1437" s="11"/>
      <c r="E1437" s="11"/>
      <c r="F1437" s="11"/>
      <c r="G1437" s="11"/>
    </row>
    <row r="1438">
      <c r="A1438" s="11"/>
      <c r="B1438" s="11"/>
      <c r="C1438" s="11"/>
      <c r="D1438" s="11"/>
      <c r="E1438" s="11"/>
      <c r="F1438" s="11"/>
      <c r="G1438" s="11"/>
    </row>
    <row r="1439">
      <c r="A1439" s="11"/>
      <c r="B1439" s="11"/>
      <c r="C1439" s="11"/>
      <c r="D1439" s="11"/>
      <c r="E1439" s="11"/>
      <c r="F1439" s="11"/>
      <c r="G1439" s="11"/>
    </row>
    <row r="1440">
      <c r="A1440" s="11"/>
      <c r="B1440" s="11"/>
      <c r="C1440" s="11"/>
      <c r="D1440" s="11"/>
      <c r="E1440" s="11"/>
      <c r="F1440" s="11"/>
      <c r="G1440" s="11"/>
    </row>
    <row r="1441">
      <c r="A1441" s="11"/>
      <c r="B1441" s="11"/>
      <c r="C1441" s="11"/>
      <c r="D1441" s="11"/>
      <c r="E1441" s="11"/>
      <c r="F1441" s="11"/>
      <c r="G1441" s="11"/>
    </row>
    <row r="1442">
      <c r="A1442" s="11"/>
      <c r="B1442" s="11"/>
      <c r="C1442" s="11"/>
      <c r="D1442" s="11"/>
      <c r="E1442" s="11"/>
      <c r="F1442" s="11"/>
      <c r="G1442" s="11"/>
    </row>
    <row r="1443">
      <c r="A1443" s="11"/>
      <c r="B1443" s="11"/>
      <c r="C1443" s="11"/>
      <c r="D1443" s="11"/>
      <c r="E1443" s="11"/>
      <c r="F1443" s="11"/>
      <c r="G1443" s="11"/>
    </row>
    <row r="1444">
      <c r="A1444" s="11"/>
      <c r="B1444" s="11"/>
      <c r="C1444" s="11"/>
      <c r="D1444" s="11"/>
      <c r="E1444" s="11"/>
      <c r="F1444" s="11"/>
      <c r="G1444" s="11"/>
    </row>
    <row r="1445">
      <c r="A1445" s="11"/>
      <c r="B1445" s="11"/>
      <c r="C1445" s="11"/>
      <c r="D1445" s="11"/>
      <c r="E1445" s="11"/>
      <c r="F1445" s="11"/>
      <c r="G1445" s="11"/>
    </row>
    <row r="1446">
      <c r="A1446" s="11"/>
      <c r="B1446" s="11"/>
      <c r="C1446" s="11"/>
      <c r="D1446" s="11"/>
      <c r="E1446" s="11"/>
      <c r="F1446" s="11"/>
      <c r="G1446" s="11"/>
    </row>
    <row r="1447">
      <c r="A1447" s="11"/>
      <c r="B1447" s="11"/>
      <c r="C1447" s="11"/>
      <c r="D1447" s="11"/>
      <c r="E1447" s="11"/>
      <c r="F1447" s="11"/>
      <c r="G1447" s="11"/>
    </row>
    <row r="1448">
      <c r="A1448" s="11"/>
      <c r="B1448" s="11"/>
      <c r="C1448" s="11"/>
      <c r="D1448" s="11"/>
      <c r="E1448" s="11"/>
      <c r="F1448" s="11"/>
      <c r="G1448" s="11"/>
    </row>
    <row r="1449">
      <c r="A1449" s="11"/>
      <c r="B1449" s="11"/>
      <c r="C1449" s="11"/>
      <c r="D1449" s="11"/>
      <c r="E1449" s="11"/>
      <c r="F1449" s="11"/>
      <c r="G1449" s="11"/>
    </row>
    <row r="1450">
      <c r="A1450" s="11"/>
      <c r="B1450" s="11"/>
      <c r="C1450" s="11"/>
      <c r="D1450" s="11"/>
      <c r="E1450" s="11"/>
      <c r="F1450" s="11"/>
      <c r="G1450" s="11"/>
    </row>
    <row r="1451">
      <c r="A1451" s="11"/>
      <c r="B1451" s="11"/>
      <c r="C1451" s="11"/>
      <c r="D1451" s="11"/>
      <c r="E1451" s="11"/>
      <c r="F1451" s="11"/>
      <c r="G1451" s="11"/>
    </row>
    <row r="1452">
      <c r="A1452" s="11"/>
      <c r="B1452" s="11"/>
      <c r="C1452" s="11"/>
      <c r="D1452" s="11"/>
      <c r="E1452" s="11"/>
      <c r="F1452" s="11"/>
      <c r="G1452" s="11"/>
    </row>
    <row r="1453">
      <c r="A1453" s="11"/>
      <c r="B1453" s="11"/>
      <c r="C1453" s="11"/>
      <c r="D1453" s="11"/>
      <c r="E1453" s="11"/>
      <c r="F1453" s="11"/>
      <c r="G1453" s="11"/>
    </row>
    <row r="1454">
      <c r="A1454" s="11"/>
      <c r="B1454" s="11"/>
      <c r="C1454" s="11"/>
      <c r="D1454" s="11"/>
      <c r="E1454" s="11"/>
      <c r="F1454" s="11"/>
      <c r="G1454" s="11"/>
    </row>
    <row r="1455">
      <c r="A1455" s="11"/>
      <c r="B1455" s="11"/>
      <c r="C1455" s="11"/>
      <c r="D1455" s="11"/>
      <c r="E1455" s="11"/>
      <c r="F1455" s="11"/>
      <c r="G1455" s="11"/>
    </row>
    <row r="1456">
      <c r="A1456" s="11"/>
      <c r="B1456" s="11"/>
      <c r="C1456" s="11"/>
      <c r="D1456" s="11"/>
      <c r="E1456" s="11"/>
      <c r="F1456" s="11"/>
      <c r="G1456" s="11"/>
    </row>
    <row r="1457">
      <c r="A1457" s="11"/>
      <c r="B1457" s="11"/>
      <c r="C1457" s="11"/>
      <c r="D1457" s="11"/>
      <c r="E1457" s="11"/>
      <c r="F1457" s="11"/>
      <c r="G1457" s="11"/>
    </row>
    <row r="1458">
      <c r="A1458" s="11"/>
      <c r="B1458" s="11"/>
      <c r="C1458" s="11"/>
      <c r="D1458" s="11"/>
      <c r="E1458" s="11"/>
      <c r="F1458" s="11"/>
      <c r="G1458" s="11"/>
    </row>
    <row r="1459">
      <c r="A1459" s="11"/>
      <c r="B1459" s="11"/>
      <c r="C1459" s="11"/>
      <c r="D1459" s="11"/>
      <c r="E1459" s="11"/>
      <c r="F1459" s="11"/>
      <c r="G1459" s="11"/>
    </row>
    <row r="1460">
      <c r="A1460" s="11"/>
      <c r="B1460" s="11"/>
      <c r="C1460" s="11"/>
      <c r="D1460" s="11"/>
      <c r="E1460" s="11"/>
      <c r="F1460" s="11"/>
      <c r="G1460" s="11"/>
    </row>
    <row r="1461">
      <c r="A1461" s="11"/>
      <c r="B1461" s="11"/>
      <c r="C1461" s="11"/>
      <c r="D1461" s="11"/>
      <c r="E1461" s="11"/>
      <c r="F1461" s="11"/>
      <c r="G1461" s="11"/>
    </row>
    <row r="1462">
      <c r="A1462" s="11"/>
      <c r="B1462" s="11"/>
      <c r="C1462" s="11"/>
      <c r="D1462" s="11"/>
      <c r="E1462" s="11"/>
      <c r="F1462" s="11"/>
      <c r="G1462" s="11"/>
    </row>
    <row r="1463">
      <c r="A1463" s="11"/>
      <c r="B1463" s="11"/>
      <c r="C1463" s="11"/>
      <c r="D1463" s="11"/>
      <c r="E1463" s="11"/>
      <c r="F1463" s="11"/>
      <c r="G1463" s="11"/>
    </row>
    <row r="1464">
      <c r="A1464" s="11"/>
      <c r="B1464" s="11"/>
      <c r="C1464" s="11"/>
      <c r="D1464" s="11"/>
      <c r="E1464" s="11"/>
      <c r="F1464" s="11"/>
      <c r="G1464" s="11"/>
    </row>
    <row r="1465">
      <c r="A1465" s="11"/>
      <c r="B1465" s="11"/>
      <c r="C1465" s="11"/>
      <c r="D1465" s="11"/>
      <c r="E1465" s="11"/>
      <c r="F1465" s="11"/>
      <c r="G1465" s="11"/>
    </row>
    <row r="1466">
      <c r="A1466" s="11"/>
      <c r="B1466" s="11"/>
      <c r="C1466" s="11"/>
      <c r="D1466" s="11"/>
      <c r="E1466" s="11"/>
      <c r="F1466" s="11"/>
      <c r="G1466" s="11"/>
    </row>
    <row r="1467">
      <c r="A1467" s="11"/>
      <c r="B1467" s="11"/>
      <c r="C1467" s="11"/>
      <c r="D1467" s="11"/>
      <c r="E1467" s="11"/>
      <c r="F1467" s="11"/>
      <c r="G1467" s="11"/>
    </row>
    <row r="1468">
      <c r="A1468" s="11"/>
      <c r="B1468" s="11"/>
      <c r="C1468" s="11"/>
      <c r="D1468" s="11"/>
      <c r="E1468" s="11"/>
      <c r="F1468" s="11"/>
      <c r="G1468" s="11"/>
    </row>
    <row r="1469">
      <c r="A1469" s="11"/>
      <c r="B1469" s="11"/>
      <c r="C1469" s="11"/>
      <c r="D1469" s="11"/>
      <c r="E1469" s="11"/>
      <c r="F1469" s="11"/>
      <c r="G1469" s="11"/>
    </row>
    <row r="1470">
      <c r="A1470" s="11"/>
      <c r="B1470" s="11"/>
      <c r="C1470" s="11"/>
      <c r="D1470" s="11"/>
      <c r="E1470" s="11"/>
      <c r="F1470" s="11"/>
      <c r="G1470" s="11"/>
    </row>
    <row r="1471">
      <c r="A1471" s="11"/>
      <c r="B1471" s="11"/>
      <c r="C1471" s="11"/>
      <c r="D1471" s="11"/>
      <c r="E1471" s="11"/>
      <c r="F1471" s="11"/>
      <c r="G1471" s="11"/>
    </row>
    <row r="1472">
      <c r="A1472" s="11"/>
      <c r="B1472" s="11"/>
      <c r="C1472" s="11"/>
      <c r="D1472" s="11"/>
      <c r="E1472" s="11"/>
      <c r="F1472" s="11"/>
      <c r="G1472" s="11"/>
    </row>
    <row r="1473">
      <c r="A1473" s="11"/>
      <c r="B1473" s="11"/>
      <c r="C1473" s="11"/>
      <c r="D1473" s="11"/>
      <c r="E1473" s="11"/>
      <c r="F1473" s="11"/>
      <c r="G1473" s="11"/>
    </row>
    <row r="1474">
      <c r="A1474" s="11"/>
      <c r="B1474" s="11"/>
      <c r="C1474" s="11"/>
      <c r="D1474" s="11"/>
      <c r="E1474" s="11"/>
      <c r="F1474" s="11"/>
      <c r="G1474" s="11"/>
    </row>
    <row r="1475">
      <c r="A1475" s="11"/>
      <c r="B1475" s="11"/>
      <c r="C1475" s="11"/>
      <c r="D1475" s="11"/>
      <c r="E1475" s="11"/>
      <c r="F1475" s="11"/>
      <c r="G1475" s="11"/>
    </row>
    <row r="1476">
      <c r="A1476" s="11"/>
      <c r="B1476" s="11"/>
      <c r="C1476" s="11"/>
      <c r="D1476" s="11"/>
      <c r="E1476" s="11"/>
      <c r="F1476" s="11"/>
      <c r="G1476" s="11"/>
    </row>
    <row r="1477">
      <c r="A1477" s="11"/>
      <c r="B1477" s="11"/>
      <c r="C1477" s="11"/>
      <c r="D1477" s="11"/>
      <c r="E1477" s="11"/>
      <c r="F1477" s="11"/>
      <c r="G1477" s="11"/>
    </row>
    <row r="1478">
      <c r="A1478" s="11"/>
      <c r="B1478" s="11"/>
      <c r="C1478" s="11"/>
      <c r="D1478" s="11"/>
      <c r="E1478" s="11"/>
      <c r="F1478" s="11"/>
      <c r="G1478" s="11"/>
    </row>
    <row r="1479">
      <c r="A1479" s="11"/>
      <c r="B1479" s="11"/>
      <c r="C1479" s="11"/>
      <c r="D1479" s="11"/>
      <c r="E1479" s="11"/>
      <c r="F1479" s="11"/>
      <c r="G1479" s="11"/>
    </row>
    <row r="1480">
      <c r="A1480" s="11"/>
      <c r="B1480" s="11"/>
      <c r="C1480" s="11"/>
      <c r="D1480" s="11"/>
      <c r="E1480" s="11"/>
      <c r="F1480" s="11"/>
      <c r="G1480" s="11"/>
    </row>
    <row r="1481">
      <c r="A1481" s="11"/>
      <c r="B1481" s="11"/>
      <c r="C1481" s="11"/>
      <c r="D1481" s="11"/>
      <c r="E1481" s="11"/>
      <c r="F1481" s="11"/>
      <c r="G1481" s="11"/>
    </row>
    <row r="1482">
      <c r="A1482" s="11"/>
      <c r="B1482" s="11"/>
      <c r="C1482" s="11"/>
      <c r="D1482" s="11"/>
      <c r="E1482" s="11"/>
      <c r="F1482" s="11"/>
      <c r="G1482" s="11"/>
    </row>
    <row r="1483">
      <c r="A1483" s="11"/>
      <c r="B1483" s="11"/>
      <c r="C1483" s="11"/>
      <c r="D1483" s="11"/>
      <c r="E1483" s="11"/>
      <c r="F1483" s="11"/>
      <c r="G1483" s="11"/>
    </row>
    <row r="1484">
      <c r="A1484" s="11"/>
      <c r="B1484" s="11"/>
      <c r="C1484" s="11"/>
      <c r="D1484" s="11"/>
      <c r="E1484" s="11"/>
      <c r="F1484" s="11"/>
      <c r="G1484" s="11"/>
    </row>
    <row r="1485">
      <c r="A1485" s="11"/>
      <c r="B1485" s="11"/>
      <c r="C1485" s="11"/>
      <c r="D1485" s="11"/>
      <c r="E1485" s="11"/>
      <c r="F1485" s="11"/>
      <c r="G1485" s="11"/>
    </row>
    <row r="1486">
      <c r="A1486" s="11"/>
      <c r="B1486" s="11"/>
      <c r="C1486" s="11"/>
      <c r="D1486" s="11"/>
      <c r="E1486" s="11"/>
      <c r="F1486" s="11"/>
      <c r="G1486" s="11"/>
    </row>
    <row r="1487">
      <c r="A1487" s="11"/>
      <c r="B1487" s="11"/>
      <c r="C1487" s="11"/>
      <c r="D1487" s="11"/>
      <c r="E1487" s="11"/>
      <c r="F1487" s="11"/>
      <c r="G1487" s="11"/>
    </row>
    <row r="1488">
      <c r="A1488" s="11"/>
      <c r="B1488" s="11"/>
      <c r="C1488" s="11"/>
      <c r="D1488" s="11"/>
      <c r="E1488" s="11"/>
      <c r="F1488" s="11"/>
      <c r="G1488" s="11"/>
    </row>
    <row r="1489">
      <c r="A1489" s="11"/>
      <c r="B1489" s="11"/>
      <c r="C1489" s="11"/>
      <c r="D1489" s="11"/>
      <c r="E1489" s="11"/>
      <c r="F1489" s="11"/>
      <c r="G1489" s="11"/>
    </row>
    <row r="1490">
      <c r="A1490" s="11"/>
      <c r="B1490" s="11"/>
      <c r="C1490" s="11"/>
      <c r="D1490" s="11"/>
      <c r="E1490" s="11"/>
      <c r="F1490" s="11"/>
      <c r="G1490" s="11"/>
    </row>
    <row r="1491">
      <c r="A1491" s="11"/>
      <c r="B1491" s="11"/>
      <c r="C1491" s="11"/>
      <c r="D1491" s="11"/>
      <c r="E1491" s="11"/>
      <c r="F1491" s="11"/>
      <c r="G1491" s="11"/>
    </row>
    <row r="1492">
      <c r="A1492" s="11"/>
      <c r="B1492" s="11"/>
      <c r="C1492" s="11"/>
      <c r="D1492" s="11"/>
      <c r="E1492" s="11"/>
      <c r="F1492" s="11"/>
      <c r="G1492" s="11"/>
    </row>
    <row r="1493">
      <c r="A1493" s="11"/>
      <c r="B1493" s="11"/>
      <c r="C1493" s="11"/>
      <c r="D1493" s="11"/>
      <c r="E1493" s="11"/>
      <c r="F1493" s="11"/>
      <c r="G1493" s="11"/>
    </row>
    <row r="1494">
      <c r="A1494" s="11"/>
      <c r="B1494" s="11"/>
      <c r="C1494" s="11"/>
      <c r="D1494" s="11"/>
      <c r="E1494" s="11"/>
      <c r="F1494" s="11"/>
      <c r="G1494" s="11"/>
    </row>
    <row r="1495">
      <c r="A1495" s="11"/>
      <c r="B1495" s="11"/>
      <c r="C1495" s="11"/>
      <c r="D1495" s="11"/>
      <c r="E1495" s="11"/>
      <c r="F1495" s="11"/>
      <c r="G1495" s="11"/>
    </row>
    <row r="1496">
      <c r="A1496" s="11"/>
      <c r="B1496" s="11"/>
      <c r="C1496" s="11"/>
      <c r="D1496" s="11"/>
      <c r="E1496" s="11"/>
      <c r="F1496" s="11"/>
      <c r="G1496" s="11"/>
    </row>
    <row r="1497">
      <c r="A1497" s="11"/>
      <c r="B1497" s="11"/>
      <c r="C1497" s="11"/>
      <c r="D1497" s="11"/>
      <c r="E1497" s="11"/>
      <c r="F1497" s="11"/>
      <c r="G1497" s="11"/>
    </row>
    <row r="1498">
      <c r="A1498" s="11"/>
      <c r="B1498" s="11"/>
      <c r="C1498" s="11"/>
      <c r="D1498" s="11"/>
      <c r="E1498" s="11"/>
      <c r="F1498" s="11"/>
      <c r="G1498" s="11"/>
    </row>
    <row r="1499">
      <c r="A1499" s="11"/>
      <c r="B1499" s="11"/>
      <c r="C1499" s="11"/>
      <c r="D1499" s="11"/>
      <c r="E1499" s="11"/>
      <c r="F1499" s="11"/>
      <c r="G1499" s="11"/>
    </row>
    <row r="1500">
      <c r="A1500" s="11"/>
      <c r="B1500" s="11"/>
      <c r="C1500" s="11"/>
      <c r="D1500" s="11"/>
      <c r="E1500" s="11"/>
      <c r="F1500" s="11"/>
      <c r="G1500" s="11"/>
    </row>
    <row r="1501">
      <c r="A1501" s="11"/>
      <c r="B1501" s="11"/>
      <c r="C1501" s="11"/>
      <c r="D1501" s="11"/>
      <c r="E1501" s="11"/>
      <c r="F1501" s="11"/>
      <c r="G1501" s="11"/>
    </row>
    <row r="1502">
      <c r="A1502" s="11"/>
      <c r="B1502" s="11"/>
      <c r="C1502" s="11"/>
      <c r="D1502" s="11"/>
      <c r="E1502" s="11"/>
      <c r="F1502" s="11"/>
      <c r="G1502" s="11"/>
    </row>
    <row r="1503">
      <c r="A1503" s="11"/>
      <c r="B1503" s="11"/>
      <c r="C1503" s="11"/>
      <c r="D1503" s="11"/>
      <c r="E1503" s="11"/>
      <c r="F1503" s="11"/>
      <c r="G1503" s="11"/>
    </row>
    <row r="1504">
      <c r="A1504" s="11"/>
      <c r="B1504" s="11"/>
      <c r="C1504" s="11"/>
      <c r="D1504" s="11"/>
      <c r="E1504" s="11"/>
      <c r="F1504" s="11"/>
      <c r="G1504" s="11"/>
    </row>
    <row r="1505">
      <c r="A1505" s="11"/>
      <c r="B1505" s="11"/>
      <c r="C1505" s="11"/>
      <c r="D1505" s="11"/>
      <c r="E1505" s="11"/>
      <c r="F1505" s="11"/>
      <c r="G1505" s="11"/>
    </row>
    <row r="1506">
      <c r="A1506" s="11"/>
      <c r="B1506" s="11"/>
      <c r="C1506" s="11"/>
      <c r="D1506" s="11"/>
      <c r="E1506" s="11"/>
      <c r="F1506" s="11"/>
      <c r="G1506" s="11"/>
    </row>
    <row r="1507">
      <c r="A1507" s="11"/>
      <c r="B1507" s="11"/>
      <c r="C1507" s="11"/>
      <c r="D1507" s="11"/>
      <c r="E1507" s="11"/>
      <c r="F1507" s="11"/>
      <c r="G1507" s="11"/>
    </row>
    <row r="1508">
      <c r="A1508" s="11"/>
      <c r="B1508" s="11"/>
      <c r="C1508" s="11"/>
      <c r="D1508" s="11"/>
      <c r="E1508" s="11"/>
      <c r="F1508" s="11"/>
      <c r="G1508" s="11"/>
    </row>
    <row r="1509">
      <c r="A1509" s="11"/>
      <c r="B1509" s="11"/>
      <c r="C1509" s="11"/>
      <c r="D1509" s="11"/>
      <c r="E1509" s="11"/>
      <c r="F1509" s="11"/>
      <c r="G1509" s="11"/>
    </row>
    <row r="1510">
      <c r="A1510" s="11"/>
      <c r="B1510" s="11"/>
      <c r="C1510" s="11"/>
      <c r="D1510" s="11"/>
      <c r="E1510" s="11"/>
      <c r="F1510" s="11"/>
      <c r="G1510" s="11"/>
    </row>
    <row r="1511">
      <c r="A1511" s="11"/>
      <c r="B1511" s="11"/>
      <c r="C1511" s="11"/>
      <c r="D1511" s="11"/>
      <c r="E1511" s="11"/>
      <c r="F1511" s="11"/>
      <c r="G1511" s="11"/>
    </row>
    <row r="1512">
      <c r="A1512" s="11"/>
      <c r="B1512" s="11"/>
      <c r="C1512" s="11"/>
      <c r="D1512" s="11"/>
      <c r="E1512" s="11"/>
      <c r="F1512" s="11"/>
      <c r="G1512" s="11"/>
    </row>
    <row r="1513">
      <c r="A1513" s="11"/>
      <c r="B1513" s="11"/>
      <c r="C1513" s="11"/>
      <c r="D1513" s="11"/>
      <c r="E1513" s="11"/>
      <c r="F1513" s="11"/>
      <c r="G1513" s="11"/>
    </row>
    <row r="1514">
      <c r="A1514" s="11"/>
      <c r="B1514" s="11"/>
      <c r="C1514" s="11"/>
      <c r="D1514" s="11"/>
      <c r="E1514" s="11"/>
      <c r="F1514" s="11"/>
      <c r="G1514" s="11"/>
    </row>
    <row r="1515">
      <c r="A1515" s="11"/>
      <c r="B1515" s="11"/>
      <c r="C1515" s="11"/>
      <c r="D1515" s="11"/>
      <c r="E1515" s="11"/>
      <c r="F1515" s="11"/>
      <c r="G1515" s="11"/>
    </row>
    <row r="1516">
      <c r="A1516" s="11"/>
      <c r="B1516" s="11"/>
      <c r="C1516" s="11"/>
      <c r="D1516" s="11"/>
      <c r="E1516" s="11"/>
      <c r="F1516" s="11"/>
      <c r="G1516" s="11"/>
    </row>
    <row r="1517">
      <c r="A1517" s="11"/>
      <c r="B1517" s="11"/>
      <c r="C1517" s="11"/>
      <c r="D1517" s="11"/>
      <c r="E1517" s="11"/>
      <c r="F1517" s="11"/>
      <c r="G1517" s="11"/>
    </row>
    <row r="1518">
      <c r="A1518" s="11"/>
      <c r="B1518" s="11"/>
      <c r="C1518" s="11"/>
      <c r="D1518" s="11"/>
      <c r="E1518" s="11"/>
      <c r="F1518" s="11"/>
      <c r="G1518" s="11"/>
    </row>
    <row r="1519">
      <c r="A1519" s="11"/>
      <c r="B1519" s="11"/>
      <c r="C1519" s="11"/>
      <c r="D1519" s="11"/>
      <c r="E1519" s="11"/>
      <c r="F1519" s="11"/>
      <c r="G1519" s="11"/>
    </row>
    <row r="1520">
      <c r="A1520" s="11"/>
      <c r="B1520" s="11"/>
      <c r="C1520" s="11"/>
      <c r="D1520" s="11"/>
      <c r="E1520" s="11"/>
      <c r="F1520" s="11"/>
      <c r="G1520" s="11"/>
    </row>
    <row r="1521">
      <c r="A1521" s="11"/>
      <c r="B1521" s="11"/>
      <c r="C1521" s="11"/>
      <c r="D1521" s="11"/>
      <c r="E1521" s="11"/>
      <c r="F1521" s="11"/>
      <c r="G1521" s="11"/>
    </row>
    <row r="1522">
      <c r="A1522" s="11"/>
      <c r="B1522" s="11"/>
      <c r="C1522" s="11"/>
      <c r="D1522" s="11"/>
      <c r="E1522" s="11"/>
      <c r="F1522" s="11"/>
      <c r="G1522" s="11"/>
    </row>
    <row r="1523">
      <c r="A1523" s="11"/>
      <c r="B1523" s="11"/>
      <c r="C1523" s="11"/>
      <c r="D1523" s="11"/>
      <c r="E1523" s="11"/>
      <c r="F1523" s="11"/>
      <c r="G1523" s="11"/>
    </row>
    <row r="1524">
      <c r="A1524" s="11"/>
      <c r="B1524" s="11"/>
      <c r="C1524" s="11"/>
      <c r="D1524" s="11"/>
      <c r="E1524" s="11"/>
      <c r="F1524" s="11"/>
      <c r="G1524" s="11"/>
    </row>
    <row r="1525">
      <c r="A1525" s="11"/>
      <c r="B1525" s="11"/>
      <c r="C1525" s="11"/>
      <c r="D1525" s="11"/>
      <c r="E1525" s="11"/>
      <c r="F1525" s="11"/>
      <c r="G1525" s="11"/>
    </row>
    <row r="1526">
      <c r="A1526" s="11"/>
      <c r="B1526" s="11"/>
      <c r="C1526" s="11"/>
      <c r="D1526" s="11"/>
      <c r="E1526" s="11"/>
      <c r="F1526" s="11"/>
      <c r="G1526" s="11"/>
    </row>
    <row r="1527">
      <c r="A1527" s="11"/>
      <c r="B1527" s="11"/>
      <c r="C1527" s="11"/>
      <c r="D1527" s="11"/>
      <c r="E1527" s="11"/>
      <c r="F1527" s="11"/>
      <c r="G1527" s="11"/>
    </row>
    <row r="1528">
      <c r="A1528" s="11"/>
      <c r="B1528" s="11"/>
      <c r="C1528" s="11"/>
      <c r="D1528" s="11"/>
      <c r="E1528" s="11"/>
      <c r="F1528" s="11"/>
      <c r="G1528" s="11"/>
    </row>
    <row r="1529">
      <c r="A1529" s="11"/>
      <c r="B1529" s="11"/>
      <c r="C1529" s="11"/>
      <c r="D1529" s="11"/>
      <c r="E1529" s="11"/>
      <c r="F1529" s="11"/>
      <c r="G1529" s="11"/>
    </row>
    <row r="1530">
      <c r="A1530" s="11"/>
      <c r="B1530" s="11"/>
      <c r="C1530" s="11"/>
      <c r="D1530" s="11"/>
      <c r="E1530" s="11"/>
      <c r="F1530" s="11"/>
      <c r="G1530" s="11"/>
    </row>
    <row r="1531">
      <c r="A1531" s="11"/>
      <c r="B1531" s="11"/>
      <c r="C1531" s="11"/>
      <c r="D1531" s="11"/>
      <c r="E1531" s="11"/>
      <c r="F1531" s="11"/>
      <c r="G1531" s="11"/>
    </row>
    <row r="1532">
      <c r="A1532" s="11"/>
      <c r="B1532" s="11"/>
      <c r="C1532" s="11"/>
      <c r="D1532" s="11"/>
      <c r="E1532" s="11"/>
      <c r="F1532" s="11"/>
      <c r="G1532" s="11"/>
    </row>
    <row r="1533">
      <c r="A1533" s="11"/>
      <c r="B1533" s="11"/>
      <c r="C1533" s="11"/>
      <c r="D1533" s="11"/>
      <c r="E1533" s="11"/>
      <c r="F1533" s="11"/>
      <c r="G1533" s="11"/>
    </row>
    <row r="1534">
      <c r="A1534" s="11"/>
      <c r="B1534" s="11"/>
      <c r="C1534" s="11"/>
      <c r="D1534" s="11"/>
      <c r="E1534" s="11"/>
      <c r="F1534" s="11"/>
      <c r="G1534" s="11"/>
    </row>
    <row r="1535">
      <c r="A1535" s="11"/>
      <c r="B1535" s="11"/>
      <c r="C1535" s="11"/>
      <c r="D1535" s="11"/>
      <c r="E1535" s="11"/>
      <c r="F1535" s="11"/>
      <c r="G1535" s="11"/>
    </row>
    <row r="1536">
      <c r="A1536" s="11"/>
      <c r="B1536" s="11"/>
      <c r="C1536" s="11"/>
      <c r="D1536" s="11"/>
      <c r="E1536" s="11"/>
      <c r="F1536" s="11"/>
      <c r="G1536" s="11"/>
    </row>
    <row r="1537">
      <c r="A1537" s="11"/>
      <c r="B1537" s="11"/>
      <c r="C1537" s="11"/>
      <c r="D1537" s="11"/>
      <c r="E1537" s="11"/>
      <c r="F1537" s="11"/>
      <c r="G1537" s="11"/>
    </row>
    <row r="1538">
      <c r="A1538" s="11"/>
      <c r="B1538" s="11"/>
      <c r="C1538" s="11"/>
      <c r="D1538" s="11"/>
      <c r="E1538" s="11"/>
      <c r="F1538" s="11"/>
      <c r="G1538" s="11"/>
    </row>
    <row r="1539">
      <c r="A1539" s="11"/>
      <c r="B1539" s="11"/>
      <c r="C1539" s="11"/>
      <c r="D1539" s="11"/>
      <c r="E1539" s="11"/>
      <c r="F1539" s="11"/>
      <c r="G1539" s="11"/>
    </row>
    <row r="1540">
      <c r="A1540" s="11"/>
      <c r="B1540" s="11"/>
      <c r="C1540" s="11"/>
      <c r="D1540" s="11"/>
      <c r="E1540" s="11"/>
      <c r="F1540" s="11"/>
      <c r="G1540" s="11"/>
    </row>
    <row r="1541">
      <c r="A1541" s="11"/>
      <c r="B1541" s="11"/>
      <c r="C1541" s="11"/>
      <c r="D1541" s="11"/>
      <c r="E1541" s="11"/>
      <c r="F1541" s="11"/>
      <c r="G1541" s="11"/>
    </row>
    <row r="1542">
      <c r="A1542" s="11"/>
      <c r="B1542" s="11"/>
      <c r="C1542" s="11"/>
      <c r="D1542" s="11"/>
      <c r="E1542" s="11"/>
      <c r="F1542" s="11"/>
      <c r="G1542" s="11"/>
    </row>
    <row r="1543">
      <c r="A1543" s="11"/>
      <c r="B1543" s="11"/>
      <c r="C1543" s="11"/>
      <c r="D1543" s="11"/>
      <c r="E1543" s="11"/>
      <c r="F1543" s="11"/>
      <c r="G1543" s="11"/>
    </row>
    <row r="1544">
      <c r="A1544" s="11"/>
      <c r="B1544" s="11"/>
      <c r="C1544" s="11"/>
      <c r="D1544" s="11"/>
      <c r="E1544" s="11"/>
      <c r="F1544" s="11"/>
      <c r="G1544" s="11"/>
    </row>
    <row r="1545">
      <c r="A1545" s="11"/>
      <c r="B1545" s="11"/>
      <c r="C1545" s="11"/>
      <c r="D1545" s="11"/>
      <c r="E1545" s="11"/>
      <c r="F1545" s="11"/>
      <c r="G1545" s="11"/>
    </row>
    <row r="1546">
      <c r="A1546" s="11"/>
      <c r="B1546" s="11"/>
      <c r="C1546" s="11"/>
      <c r="D1546" s="11"/>
      <c r="E1546" s="11"/>
      <c r="F1546" s="11"/>
      <c r="G1546" s="11"/>
    </row>
    <row r="1547">
      <c r="A1547" s="11"/>
      <c r="B1547" s="11"/>
      <c r="C1547" s="11"/>
      <c r="D1547" s="11"/>
      <c r="E1547" s="11"/>
      <c r="F1547" s="11"/>
      <c r="G1547" s="11"/>
    </row>
    <row r="1548">
      <c r="A1548" s="11"/>
      <c r="B1548" s="11"/>
      <c r="C1548" s="11"/>
      <c r="D1548" s="11"/>
      <c r="E1548" s="11"/>
      <c r="F1548" s="11"/>
      <c r="G1548" s="11"/>
    </row>
    <row r="1549">
      <c r="A1549" s="11"/>
      <c r="B1549" s="11"/>
      <c r="C1549" s="11"/>
      <c r="D1549" s="11"/>
      <c r="E1549" s="11"/>
      <c r="F1549" s="11"/>
      <c r="G1549" s="11"/>
    </row>
    <row r="1550">
      <c r="A1550" s="11"/>
      <c r="B1550" s="11"/>
      <c r="C1550" s="11"/>
      <c r="D1550" s="11"/>
      <c r="E1550" s="11"/>
      <c r="F1550" s="11"/>
      <c r="G1550" s="11"/>
    </row>
    <row r="1551">
      <c r="A1551" s="11"/>
      <c r="B1551" s="11"/>
      <c r="C1551" s="11"/>
      <c r="D1551" s="11"/>
      <c r="E1551" s="11"/>
      <c r="F1551" s="11"/>
      <c r="G1551" s="11"/>
    </row>
    <row r="1552">
      <c r="A1552" s="11"/>
      <c r="B1552" s="11"/>
      <c r="C1552" s="11"/>
      <c r="D1552" s="11"/>
      <c r="E1552" s="11"/>
      <c r="F1552" s="11"/>
      <c r="G1552" s="11"/>
    </row>
    <row r="1553">
      <c r="A1553" s="11"/>
      <c r="B1553" s="11"/>
      <c r="C1553" s="11"/>
      <c r="D1553" s="11"/>
      <c r="E1553" s="11"/>
      <c r="F1553" s="11"/>
      <c r="G1553" s="11"/>
    </row>
    <row r="1554">
      <c r="A1554" s="11"/>
      <c r="B1554" s="11"/>
      <c r="C1554" s="11"/>
      <c r="D1554" s="11"/>
      <c r="E1554" s="11"/>
      <c r="F1554" s="11"/>
      <c r="G1554" s="11"/>
    </row>
    <row r="1555">
      <c r="A1555" s="11"/>
      <c r="B1555" s="11"/>
      <c r="C1555" s="11"/>
      <c r="D1555" s="11"/>
      <c r="E1555" s="11"/>
      <c r="F1555" s="11"/>
      <c r="G1555" s="11"/>
    </row>
    <row r="1556">
      <c r="A1556" s="11"/>
      <c r="B1556" s="11"/>
      <c r="C1556" s="11"/>
      <c r="D1556" s="11"/>
      <c r="E1556" s="11"/>
      <c r="F1556" s="11"/>
      <c r="G1556" s="11"/>
    </row>
    <row r="1557">
      <c r="A1557" s="11"/>
      <c r="B1557" s="11"/>
      <c r="C1557" s="11"/>
      <c r="D1557" s="11"/>
      <c r="E1557" s="11"/>
      <c r="F1557" s="11"/>
      <c r="G1557" s="11"/>
    </row>
    <row r="1558">
      <c r="A1558" s="11"/>
      <c r="B1558" s="11"/>
      <c r="C1558" s="11"/>
      <c r="D1558" s="11"/>
      <c r="E1558" s="11"/>
      <c r="F1558" s="11"/>
      <c r="G1558" s="11"/>
    </row>
    <row r="1559">
      <c r="A1559" s="11"/>
      <c r="B1559" s="11"/>
      <c r="C1559" s="11"/>
      <c r="D1559" s="11"/>
      <c r="E1559" s="11"/>
      <c r="F1559" s="11"/>
      <c r="G1559" s="11"/>
    </row>
    <row r="1560">
      <c r="A1560" s="11"/>
      <c r="B1560" s="11"/>
      <c r="C1560" s="11"/>
      <c r="D1560" s="11"/>
      <c r="E1560" s="11"/>
      <c r="F1560" s="11"/>
      <c r="G1560" s="11"/>
    </row>
    <row r="1561">
      <c r="A1561" s="11"/>
      <c r="B1561" s="11"/>
      <c r="C1561" s="11"/>
      <c r="D1561" s="11"/>
      <c r="E1561" s="11"/>
      <c r="F1561" s="11"/>
      <c r="G1561" s="11"/>
    </row>
    <row r="1562">
      <c r="A1562" s="11"/>
      <c r="B1562" s="11"/>
      <c r="C1562" s="11"/>
      <c r="D1562" s="11"/>
      <c r="E1562" s="11"/>
      <c r="F1562" s="11"/>
      <c r="G1562" s="11"/>
    </row>
    <row r="1563">
      <c r="A1563" s="11"/>
      <c r="B1563" s="11"/>
      <c r="C1563" s="11"/>
      <c r="D1563" s="11"/>
      <c r="E1563" s="11"/>
      <c r="F1563" s="11"/>
      <c r="G1563" s="11"/>
    </row>
    <row r="1564">
      <c r="A1564" s="11"/>
      <c r="B1564" s="11"/>
      <c r="C1564" s="11"/>
      <c r="D1564" s="11"/>
      <c r="E1564" s="11"/>
      <c r="F1564" s="11"/>
      <c r="G1564" s="11"/>
    </row>
    <row r="1565">
      <c r="A1565" s="11"/>
      <c r="B1565" s="11"/>
      <c r="C1565" s="11"/>
      <c r="D1565" s="11"/>
      <c r="E1565" s="11"/>
      <c r="F1565" s="11"/>
      <c r="G1565" s="11"/>
    </row>
    <row r="1566">
      <c r="A1566" s="11"/>
      <c r="B1566" s="11"/>
      <c r="C1566" s="11"/>
      <c r="D1566" s="11"/>
      <c r="E1566" s="11"/>
      <c r="F1566" s="11"/>
      <c r="G1566" s="11"/>
    </row>
    <row r="1567">
      <c r="A1567" s="11"/>
      <c r="B1567" s="11"/>
      <c r="C1567" s="11"/>
      <c r="D1567" s="11"/>
      <c r="E1567" s="11"/>
      <c r="F1567" s="11"/>
      <c r="G1567" s="11"/>
    </row>
    <row r="1568">
      <c r="A1568" s="11"/>
      <c r="B1568" s="11"/>
      <c r="C1568" s="11"/>
      <c r="D1568" s="11"/>
      <c r="E1568" s="11"/>
      <c r="F1568" s="11"/>
      <c r="G1568" s="11"/>
    </row>
    <row r="1569">
      <c r="A1569" s="11"/>
      <c r="B1569" s="11"/>
      <c r="C1569" s="11"/>
      <c r="D1569" s="11"/>
      <c r="E1569" s="11"/>
      <c r="F1569" s="11"/>
      <c r="G1569" s="11"/>
    </row>
    <row r="1570">
      <c r="A1570" s="11"/>
      <c r="B1570" s="11"/>
      <c r="C1570" s="11"/>
      <c r="D1570" s="11"/>
      <c r="E1570" s="11"/>
      <c r="F1570" s="11"/>
      <c r="G1570" s="11"/>
    </row>
    <row r="1571">
      <c r="A1571" s="11"/>
      <c r="B1571" s="11"/>
      <c r="C1571" s="11"/>
      <c r="D1571" s="11"/>
      <c r="E1571" s="11"/>
      <c r="F1571" s="11"/>
      <c r="G1571" s="11"/>
    </row>
    <row r="1572">
      <c r="A1572" s="11"/>
      <c r="B1572" s="11"/>
      <c r="C1572" s="11"/>
      <c r="D1572" s="11"/>
      <c r="E1572" s="11"/>
      <c r="F1572" s="11"/>
      <c r="G1572" s="11"/>
    </row>
    <row r="1573">
      <c r="A1573" s="11"/>
      <c r="B1573" s="11"/>
      <c r="C1573" s="11"/>
      <c r="D1573" s="11"/>
      <c r="E1573" s="11"/>
      <c r="F1573" s="11"/>
      <c r="G1573" s="11"/>
    </row>
    <row r="1574">
      <c r="A1574" s="11"/>
      <c r="B1574" s="11"/>
      <c r="C1574" s="11"/>
      <c r="D1574" s="11"/>
      <c r="E1574" s="11"/>
      <c r="F1574" s="11"/>
      <c r="G1574" s="11"/>
    </row>
    <row r="1575">
      <c r="A1575" s="11"/>
      <c r="B1575" s="11"/>
      <c r="C1575" s="11"/>
      <c r="D1575" s="11"/>
      <c r="E1575" s="11"/>
      <c r="F1575" s="11"/>
      <c r="G1575" s="11"/>
    </row>
    <row r="1576">
      <c r="A1576" s="11"/>
      <c r="B1576" s="11"/>
      <c r="C1576" s="11"/>
      <c r="D1576" s="11"/>
      <c r="E1576" s="11"/>
      <c r="F1576" s="11"/>
      <c r="G1576" s="11"/>
    </row>
    <row r="1577">
      <c r="A1577" s="11"/>
      <c r="B1577" s="11"/>
      <c r="C1577" s="11"/>
      <c r="D1577" s="11"/>
      <c r="E1577" s="11"/>
      <c r="F1577" s="11"/>
      <c r="G1577" s="11"/>
    </row>
    <row r="1578">
      <c r="A1578" s="11"/>
      <c r="B1578" s="11"/>
      <c r="C1578" s="11"/>
      <c r="D1578" s="11"/>
      <c r="E1578" s="11"/>
      <c r="F1578" s="11"/>
      <c r="G1578" s="11"/>
    </row>
    <row r="1579">
      <c r="A1579" s="11"/>
      <c r="B1579" s="11"/>
      <c r="C1579" s="11"/>
      <c r="D1579" s="11"/>
      <c r="E1579" s="11"/>
      <c r="F1579" s="11"/>
      <c r="G1579" s="11"/>
    </row>
    <row r="1580">
      <c r="A1580" s="11"/>
      <c r="B1580" s="11"/>
      <c r="C1580" s="11"/>
      <c r="D1580" s="11"/>
      <c r="E1580" s="11"/>
      <c r="F1580" s="11"/>
      <c r="G1580" s="11"/>
    </row>
    <row r="1581">
      <c r="A1581" s="11"/>
      <c r="B1581" s="11"/>
      <c r="C1581" s="11"/>
      <c r="D1581" s="11"/>
      <c r="E1581" s="11"/>
      <c r="F1581" s="11"/>
      <c r="G1581" s="11"/>
    </row>
    <row r="1582">
      <c r="A1582" s="11"/>
      <c r="B1582" s="11"/>
      <c r="C1582" s="11"/>
      <c r="D1582" s="11"/>
      <c r="E1582" s="11"/>
      <c r="F1582" s="11"/>
      <c r="G1582" s="11"/>
    </row>
    <row r="1583">
      <c r="A1583" s="11"/>
      <c r="B1583" s="11"/>
      <c r="C1583" s="11"/>
      <c r="D1583" s="11"/>
      <c r="E1583" s="11"/>
      <c r="F1583" s="11"/>
      <c r="G1583" s="11"/>
    </row>
    <row r="1584">
      <c r="A1584" s="11"/>
      <c r="B1584" s="11"/>
      <c r="C1584" s="11"/>
      <c r="D1584" s="11"/>
      <c r="E1584" s="11"/>
      <c r="F1584" s="11"/>
      <c r="G1584" s="11"/>
    </row>
    <row r="1585">
      <c r="A1585" s="11"/>
      <c r="B1585" s="11"/>
      <c r="C1585" s="11"/>
      <c r="D1585" s="11"/>
      <c r="E1585" s="11"/>
      <c r="F1585" s="11"/>
      <c r="G1585" s="11"/>
    </row>
    <row r="1586">
      <c r="A1586" s="11"/>
      <c r="B1586" s="11"/>
      <c r="C1586" s="11"/>
      <c r="D1586" s="11"/>
      <c r="E1586" s="11"/>
      <c r="F1586" s="11"/>
      <c r="G1586" s="11"/>
    </row>
    <row r="1587">
      <c r="A1587" s="11"/>
      <c r="B1587" s="11"/>
      <c r="C1587" s="11"/>
      <c r="D1587" s="11"/>
      <c r="E1587" s="11"/>
      <c r="F1587" s="11"/>
      <c r="G1587" s="11"/>
    </row>
    <row r="1588">
      <c r="A1588" s="11"/>
      <c r="B1588" s="11"/>
      <c r="C1588" s="11"/>
      <c r="D1588" s="11"/>
      <c r="E1588" s="11"/>
      <c r="F1588" s="11"/>
      <c r="G1588" s="11"/>
    </row>
    <row r="1589">
      <c r="A1589" s="11"/>
      <c r="B1589" s="11"/>
      <c r="C1589" s="11"/>
      <c r="D1589" s="11"/>
      <c r="E1589" s="11"/>
      <c r="F1589" s="11"/>
      <c r="G1589" s="11"/>
    </row>
    <row r="1590">
      <c r="A1590" s="11"/>
      <c r="B1590" s="11"/>
      <c r="C1590" s="11"/>
      <c r="D1590" s="11"/>
      <c r="E1590" s="11"/>
      <c r="F1590" s="11"/>
      <c r="G1590" s="11"/>
    </row>
    <row r="1591">
      <c r="A1591" s="11"/>
      <c r="B1591" s="11"/>
      <c r="C1591" s="11"/>
      <c r="D1591" s="11"/>
      <c r="E1591" s="11"/>
      <c r="F1591" s="11"/>
      <c r="G1591" s="11"/>
    </row>
    <row r="1592">
      <c r="A1592" s="11"/>
      <c r="B1592" s="11"/>
      <c r="C1592" s="11"/>
      <c r="D1592" s="11"/>
      <c r="E1592" s="11"/>
      <c r="F1592" s="11"/>
      <c r="G1592" s="11"/>
    </row>
    <row r="1593">
      <c r="A1593" s="11"/>
      <c r="B1593" s="11"/>
      <c r="C1593" s="11"/>
      <c r="D1593" s="11"/>
      <c r="E1593" s="11"/>
      <c r="F1593" s="11"/>
      <c r="G1593" s="11"/>
    </row>
    <row r="1594">
      <c r="A1594" s="11"/>
      <c r="B1594" s="11"/>
      <c r="C1594" s="11"/>
      <c r="D1594" s="11"/>
      <c r="E1594" s="11"/>
      <c r="F1594" s="11"/>
      <c r="G1594" s="11"/>
    </row>
    <row r="1595">
      <c r="A1595" s="11"/>
      <c r="B1595" s="11"/>
      <c r="C1595" s="11"/>
      <c r="D1595" s="11"/>
      <c r="E1595" s="11"/>
      <c r="F1595" s="11"/>
      <c r="G1595" s="11"/>
    </row>
    <row r="1596">
      <c r="A1596" s="11"/>
      <c r="B1596" s="11"/>
      <c r="C1596" s="11"/>
      <c r="D1596" s="11"/>
      <c r="E1596" s="11"/>
      <c r="F1596" s="11"/>
      <c r="G1596" s="11"/>
    </row>
    <row r="1597">
      <c r="A1597" s="11"/>
      <c r="B1597" s="11"/>
      <c r="C1597" s="11"/>
      <c r="D1597" s="11"/>
      <c r="E1597" s="11"/>
      <c r="F1597" s="11"/>
      <c r="G1597" s="11"/>
    </row>
    <row r="1598">
      <c r="A1598" s="11"/>
      <c r="B1598" s="11"/>
      <c r="C1598" s="11"/>
      <c r="D1598" s="11"/>
      <c r="E1598" s="11"/>
      <c r="F1598" s="11"/>
      <c r="G1598" s="11"/>
    </row>
    <row r="1599">
      <c r="A1599" s="11"/>
      <c r="B1599" s="11"/>
      <c r="C1599" s="11"/>
      <c r="D1599" s="11"/>
      <c r="E1599" s="11"/>
      <c r="F1599" s="11"/>
      <c r="G1599" s="11"/>
    </row>
    <row r="1600">
      <c r="A1600" s="11"/>
      <c r="B1600" s="11"/>
      <c r="C1600" s="11"/>
      <c r="D1600" s="11"/>
      <c r="E1600" s="11"/>
      <c r="F1600" s="11"/>
      <c r="G1600" s="11"/>
    </row>
    <row r="1601">
      <c r="A1601" s="11"/>
      <c r="B1601" s="11"/>
      <c r="C1601" s="11"/>
      <c r="D1601" s="11"/>
      <c r="E1601" s="11"/>
      <c r="F1601" s="11"/>
      <c r="G1601" s="11"/>
    </row>
    <row r="1602">
      <c r="A1602" s="11"/>
      <c r="B1602" s="11"/>
      <c r="C1602" s="11"/>
      <c r="D1602" s="11"/>
      <c r="E1602" s="11"/>
      <c r="F1602" s="11"/>
      <c r="G1602" s="11"/>
    </row>
    <row r="1603">
      <c r="A1603" s="11"/>
      <c r="B1603" s="11"/>
      <c r="C1603" s="11"/>
      <c r="D1603" s="11"/>
      <c r="E1603" s="11"/>
      <c r="F1603" s="11"/>
      <c r="G1603" s="11"/>
    </row>
    <row r="1604">
      <c r="A1604" s="11"/>
      <c r="B1604" s="11"/>
      <c r="C1604" s="11"/>
      <c r="D1604" s="11"/>
      <c r="E1604" s="11"/>
      <c r="F1604" s="11"/>
      <c r="G1604" s="11"/>
    </row>
    <row r="1605">
      <c r="A1605" s="11"/>
      <c r="B1605" s="11"/>
      <c r="C1605" s="11"/>
      <c r="D1605" s="11"/>
      <c r="E1605" s="11"/>
      <c r="F1605" s="11"/>
      <c r="G1605" s="11"/>
    </row>
    <row r="1606">
      <c r="A1606" s="11"/>
      <c r="B1606" s="11"/>
      <c r="C1606" s="11"/>
      <c r="D1606" s="11"/>
      <c r="E1606" s="11"/>
      <c r="F1606" s="11"/>
      <c r="G1606" s="11"/>
    </row>
    <row r="1607">
      <c r="A1607" s="11"/>
      <c r="B1607" s="11"/>
      <c r="C1607" s="11"/>
      <c r="D1607" s="11"/>
      <c r="E1607" s="11"/>
      <c r="F1607" s="11"/>
      <c r="G1607" s="11"/>
    </row>
    <row r="1608">
      <c r="A1608" s="11"/>
      <c r="B1608" s="11"/>
      <c r="C1608" s="11"/>
      <c r="D1608" s="11"/>
      <c r="E1608" s="11"/>
      <c r="F1608" s="11"/>
      <c r="G1608" s="11"/>
    </row>
    <row r="1609">
      <c r="A1609" s="11"/>
      <c r="B1609" s="11"/>
      <c r="C1609" s="11"/>
      <c r="D1609" s="11"/>
      <c r="E1609" s="11"/>
      <c r="F1609" s="11"/>
      <c r="G1609" s="11"/>
    </row>
    <row r="1610">
      <c r="A1610" s="11"/>
      <c r="B1610" s="11"/>
      <c r="C1610" s="11"/>
      <c r="D1610" s="11"/>
      <c r="E1610" s="11"/>
      <c r="F1610" s="11"/>
      <c r="G1610" s="11"/>
    </row>
    <row r="1611">
      <c r="A1611" s="11"/>
      <c r="B1611" s="11"/>
      <c r="C1611" s="11"/>
      <c r="D1611" s="11"/>
      <c r="E1611" s="11"/>
      <c r="F1611" s="11"/>
      <c r="G1611" s="11"/>
    </row>
    <row r="1612">
      <c r="A1612" s="11"/>
      <c r="B1612" s="11"/>
      <c r="C1612" s="11"/>
      <c r="D1612" s="11"/>
      <c r="E1612" s="11"/>
      <c r="F1612" s="11"/>
      <c r="G1612" s="11"/>
    </row>
    <row r="1613">
      <c r="A1613" s="11"/>
      <c r="B1613" s="11"/>
      <c r="C1613" s="11"/>
      <c r="D1613" s="11"/>
      <c r="E1613" s="11"/>
      <c r="F1613" s="11"/>
      <c r="G1613" s="11"/>
    </row>
    <row r="1614">
      <c r="A1614" s="11"/>
      <c r="B1614" s="11"/>
      <c r="C1614" s="11"/>
      <c r="D1614" s="11"/>
      <c r="E1614" s="11"/>
      <c r="F1614" s="11"/>
      <c r="G1614" s="11"/>
    </row>
    <row r="1615">
      <c r="A1615" s="11"/>
      <c r="B1615" s="11"/>
      <c r="C1615" s="11"/>
      <c r="D1615" s="11"/>
      <c r="E1615" s="11"/>
      <c r="F1615" s="11"/>
      <c r="G1615" s="11"/>
    </row>
    <row r="1616">
      <c r="A1616" s="11"/>
      <c r="B1616" s="11"/>
      <c r="C1616" s="11"/>
      <c r="D1616" s="11"/>
      <c r="E1616" s="11"/>
      <c r="F1616" s="11"/>
      <c r="G1616" s="11"/>
    </row>
    <row r="1617">
      <c r="A1617" s="11"/>
      <c r="B1617" s="11"/>
      <c r="C1617" s="11"/>
      <c r="D1617" s="11"/>
      <c r="E1617" s="11"/>
      <c r="F1617" s="11"/>
      <c r="G1617" s="11"/>
    </row>
    <row r="1618">
      <c r="A1618" s="11"/>
      <c r="B1618" s="11"/>
      <c r="C1618" s="11"/>
      <c r="D1618" s="11"/>
      <c r="E1618" s="11"/>
      <c r="F1618" s="11"/>
      <c r="G1618" s="11"/>
    </row>
    <row r="1619">
      <c r="A1619" s="11"/>
      <c r="B1619" s="11"/>
      <c r="C1619" s="11"/>
      <c r="D1619" s="11"/>
      <c r="E1619" s="11"/>
      <c r="F1619" s="11"/>
      <c r="G1619" s="11"/>
    </row>
    <row r="1620">
      <c r="A1620" s="11"/>
      <c r="B1620" s="11"/>
      <c r="C1620" s="11"/>
      <c r="D1620" s="11"/>
      <c r="E1620" s="11"/>
      <c r="F1620" s="11"/>
      <c r="G1620" s="11"/>
    </row>
    <row r="1621">
      <c r="A1621" s="11"/>
      <c r="B1621" s="11"/>
      <c r="C1621" s="11"/>
      <c r="D1621" s="11"/>
      <c r="E1621" s="11"/>
      <c r="F1621" s="11"/>
      <c r="G1621" s="11"/>
    </row>
    <row r="1622">
      <c r="A1622" s="11"/>
      <c r="B1622" s="11"/>
      <c r="C1622" s="11"/>
      <c r="D1622" s="11"/>
      <c r="E1622" s="11"/>
      <c r="F1622" s="11"/>
      <c r="G1622" s="11"/>
    </row>
    <row r="1623">
      <c r="A1623" s="11"/>
      <c r="B1623" s="11"/>
      <c r="C1623" s="11"/>
      <c r="D1623" s="11"/>
      <c r="E1623" s="11"/>
      <c r="F1623" s="11"/>
      <c r="G1623" s="11"/>
    </row>
    <row r="1624">
      <c r="A1624" s="11"/>
      <c r="B1624" s="11"/>
      <c r="C1624" s="11"/>
      <c r="D1624" s="11"/>
      <c r="E1624" s="11"/>
      <c r="F1624" s="11"/>
      <c r="G1624" s="11"/>
    </row>
    <row r="1625">
      <c r="A1625" s="11"/>
      <c r="B1625" s="11"/>
      <c r="C1625" s="11"/>
      <c r="D1625" s="11"/>
      <c r="E1625" s="11"/>
      <c r="F1625" s="11"/>
      <c r="G1625" s="11"/>
    </row>
    <row r="1626">
      <c r="A1626" s="11"/>
      <c r="B1626" s="11"/>
      <c r="C1626" s="11"/>
      <c r="D1626" s="11"/>
      <c r="E1626" s="11"/>
      <c r="F1626" s="11"/>
      <c r="G1626" s="11"/>
    </row>
    <row r="1627">
      <c r="A1627" s="11"/>
      <c r="B1627" s="11"/>
      <c r="C1627" s="11"/>
      <c r="D1627" s="11"/>
      <c r="E1627" s="11"/>
      <c r="F1627" s="11"/>
      <c r="G1627" s="11"/>
    </row>
    <row r="1628">
      <c r="A1628" s="11"/>
      <c r="B1628" s="11"/>
      <c r="C1628" s="11"/>
      <c r="D1628" s="11"/>
      <c r="E1628" s="11"/>
      <c r="F1628" s="11"/>
      <c r="G1628" s="11"/>
    </row>
    <row r="1629">
      <c r="A1629" s="11"/>
      <c r="B1629" s="11"/>
      <c r="C1629" s="11"/>
      <c r="D1629" s="11"/>
      <c r="E1629" s="11"/>
      <c r="F1629" s="11"/>
      <c r="G1629" s="11"/>
    </row>
    <row r="1630">
      <c r="A1630" s="11"/>
      <c r="B1630" s="11"/>
      <c r="C1630" s="11"/>
      <c r="D1630" s="11"/>
      <c r="E1630" s="11"/>
      <c r="F1630" s="11"/>
      <c r="G1630" s="11"/>
    </row>
    <row r="1631">
      <c r="A1631" s="11"/>
      <c r="B1631" s="11"/>
      <c r="C1631" s="11"/>
      <c r="D1631" s="11"/>
      <c r="E1631" s="11"/>
      <c r="F1631" s="11"/>
      <c r="G1631" s="11"/>
    </row>
    <row r="1632">
      <c r="A1632" s="11"/>
      <c r="B1632" s="11"/>
      <c r="C1632" s="11"/>
      <c r="D1632" s="11"/>
      <c r="E1632" s="11"/>
      <c r="F1632" s="11"/>
      <c r="G1632" s="11"/>
    </row>
    <row r="1633">
      <c r="A1633" s="11"/>
      <c r="B1633" s="11"/>
      <c r="C1633" s="11"/>
      <c r="D1633" s="11"/>
      <c r="E1633" s="11"/>
      <c r="F1633" s="11"/>
      <c r="G1633" s="11"/>
    </row>
    <row r="1634">
      <c r="A1634" s="11"/>
      <c r="B1634" s="11"/>
      <c r="C1634" s="11"/>
      <c r="D1634" s="11"/>
      <c r="E1634" s="11"/>
      <c r="F1634" s="11"/>
      <c r="G1634" s="11"/>
    </row>
    <row r="1635">
      <c r="A1635" s="11"/>
      <c r="B1635" s="11"/>
      <c r="C1635" s="11"/>
      <c r="D1635" s="11"/>
      <c r="E1635" s="11"/>
      <c r="F1635" s="11"/>
      <c r="G1635" s="11"/>
    </row>
    <row r="1636">
      <c r="A1636" s="11"/>
      <c r="B1636" s="11"/>
      <c r="C1636" s="11"/>
      <c r="D1636" s="11"/>
      <c r="E1636" s="11"/>
      <c r="F1636" s="11"/>
      <c r="G1636" s="11"/>
    </row>
    <row r="1637">
      <c r="A1637" s="11"/>
      <c r="B1637" s="11"/>
      <c r="C1637" s="11"/>
      <c r="D1637" s="11"/>
      <c r="E1637" s="11"/>
      <c r="F1637" s="11"/>
      <c r="G1637" s="11"/>
    </row>
    <row r="1638">
      <c r="A1638" s="11"/>
      <c r="B1638" s="11"/>
      <c r="C1638" s="11"/>
      <c r="D1638" s="11"/>
      <c r="E1638" s="11"/>
      <c r="F1638" s="11"/>
      <c r="G1638" s="11"/>
    </row>
    <row r="1639">
      <c r="A1639" s="11"/>
      <c r="B1639" s="11"/>
      <c r="C1639" s="11"/>
      <c r="D1639" s="11"/>
      <c r="E1639" s="11"/>
      <c r="F1639" s="11"/>
      <c r="G1639" s="11"/>
    </row>
    <row r="1640">
      <c r="A1640" s="11"/>
      <c r="B1640" s="11"/>
      <c r="C1640" s="11"/>
      <c r="D1640" s="11"/>
      <c r="E1640" s="11"/>
      <c r="F1640" s="11"/>
      <c r="G1640" s="11"/>
    </row>
    <row r="1641">
      <c r="A1641" s="11"/>
      <c r="B1641" s="11"/>
      <c r="C1641" s="11"/>
      <c r="D1641" s="11"/>
      <c r="E1641" s="11"/>
      <c r="F1641" s="11"/>
      <c r="G1641" s="11"/>
    </row>
    <row r="1642">
      <c r="A1642" s="11"/>
      <c r="B1642" s="11"/>
      <c r="C1642" s="11"/>
      <c r="D1642" s="11"/>
      <c r="E1642" s="11"/>
      <c r="F1642" s="11"/>
      <c r="G1642" s="11"/>
    </row>
    <row r="1643">
      <c r="A1643" s="11"/>
      <c r="B1643" s="11"/>
      <c r="C1643" s="11"/>
      <c r="D1643" s="11"/>
      <c r="E1643" s="11"/>
      <c r="F1643" s="11"/>
      <c r="G1643" s="11"/>
    </row>
    <row r="1644">
      <c r="A1644" s="11"/>
      <c r="B1644" s="11"/>
      <c r="C1644" s="11"/>
      <c r="D1644" s="11"/>
      <c r="E1644" s="11"/>
      <c r="F1644" s="11"/>
      <c r="G1644" s="11"/>
    </row>
    <row r="1645">
      <c r="A1645" s="11"/>
      <c r="B1645" s="11"/>
      <c r="C1645" s="11"/>
      <c r="D1645" s="11"/>
      <c r="E1645" s="11"/>
      <c r="F1645" s="11"/>
      <c r="G1645" s="11"/>
    </row>
    <row r="1646">
      <c r="A1646" s="11"/>
      <c r="B1646" s="11"/>
      <c r="C1646" s="11"/>
      <c r="D1646" s="11"/>
      <c r="E1646" s="11"/>
      <c r="F1646" s="11"/>
      <c r="G1646" s="11"/>
    </row>
    <row r="1647">
      <c r="A1647" s="11"/>
      <c r="B1647" s="11"/>
      <c r="C1647" s="11"/>
      <c r="D1647" s="11"/>
      <c r="E1647" s="11"/>
      <c r="F1647" s="11"/>
      <c r="G1647" s="11"/>
    </row>
    <row r="1648">
      <c r="A1648" s="11"/>
      <c r="B1648" s="11"/>
      <c r="C1648" s="11"/>
      <c r="D1648" s="11"/>
      <c r="E1648" s="11"/>
      <c r="F1648" s="11"/>
      <c r="G1648" s="11"/>
    </row>
    <row r="1649">
      <c r="A1649" s="11"/>
      <c r="B1649" s="11"/>
      <c r="C1649" s="11"/>
      <c r="D1649" s="11"/>
      <c r="E1649" s="11"/>
      <c r="F1649" s="11"/>
      <c r="G1649" s="11"/>
    </row>
    <row r="1650">
      <c r="A1650" s="11"/>
      <c r="B1650" s="11"/>
      <c r="C1650" s="11"/>
      <c r="D1650" s="11"/>
      <c r="E1650" s="11"/>
      <c r="F1650" s="11"/>
      <c r="G1650" s="11"/>
    </row>
    <row r="1651">
      <c r="A1651" s="11"/>
      <c r="B1651" s="11"/>
      <c r="C1651" s="11"/>
      <c r="D1651" s="11"/>
      <c r="E1651" s="11"/>
      <c r="F1651" s="11"/>
      <c r="G1651" s="11"/>
    </row>
    <row r="1652">
      <c r="A1652" s="11"/>
      <c r="B1652" s="11"/>
      <c r="C1652" s="11"/>
      <c r="D1652" s="11"/>
      <c r="E1652" s="11"/>
      <c r="F1652" s="11"/>
      <c r="G1652" s="11"/>
    </row>
    <row r="1653">
      <c r="A1653" s="11"/>
      <c r="B1653" s="11"/>
      <c r="C1653" s="11"/>
      <c r="D1653" s="11"/>
      <c r="E1653" s="11"/>
      <c r="F1653" s="11"/>
      <c r="G1653" s="11"/>
    </row>
    <row r="1654">
      <c r="A1654" s="11"/>
      <c r="B1654" s="11"/>
      <c r="C1654" s="11"/>
      <c r="D1654" s="11"/>
      <c r="E1654" s="11"/>
      <c r="F1654" s="11"/>
      <c r="G1654" s="11"/>
    </row>
    <row r="1655">
      <c r="A1655" s="11"/>
      <c r="B1655" s="11"/>
      <c r="C1655" s="11"/>
      <c r="D1655" s="11"/>
      <c r="E1655" s="11"/>
      <c r="F1655" s="11"/>
      <c r="G1655" s="11"/>
    </row>
    <row r="1656">
      <c r="A1656" s="11"/>
      <c r="B1656" s="11"/>
      <c r="C1656" s="11"/>
      <c r="D1656" s="11"/>
      <c r="E1656" s="11"/>
      <c r="F1656" s="11"/>
      <c r="G1656" s="11"/>
    </row>
    <row r="1657">
      <c r="A1657" s="11"/>
      <c r="B1657" s="11"/>
      <c r="C1657" s="11"/>
      <c r="D1657" s="11"/>
      <c r="E1657" s="11"/>
      <c r="F1657" s="11"/>
      <c r="G1657" s="11"/>
    </row>
    <row r="1658">
      <c r="A1658" s="11"/>
      <c r="B1658" s="11"/>
      <c r="C1658" s="11"/>
      <c r="D1658" s="11"/>
      <c r="E1658" s="11"/>
      <c r="F1658" s="11"/>
      <c r="G1658" s="11"/>
    </row>
    <row r="1659">
      <c r="A1659" s="11"/>
      <c r="B1659" s="11"/>
      <c r="C1659" s="11"/>
      <c r="D1659" s="11"/>
      <c r="E1659" s="11"/>
      <c r="F1659" s="11"/>
      <c r="G1659" s="11"/>
    </row>
    <row r="1660">
      <c r="A1660" s="11"/>
      <c r="B1660" s="11"/>
      <c r="C1660" s="11"/>
      <c r="D1660" s="11"/>
      <c r="E1660" s="11"/>
      <c r="F1660" s="11"/>
      <c r="G1660" s="11"/>
    </row>
    <row r="1661">
      <c r="A1661" s="11"/>
      <c r="B1661" s="11"/>
      <c r="C1661" s="11"/>
      <c r="D1661" s="11"/>
      <c r="E1661" s="11"/>
      <c r="F1661" s="11"/>
      <c r="G1661" s="11"/>
    </row>
    <row r="1662">
      <c r="A1662" s="11"/>
      <c r="B1662" s="11"/>
      <c r="C1662" s="11"/>
      <c r="D1662" s="11"/>
      <c r="E1662" s="11"/>
      <c r="F1662" s="11"/>
      <c r="G1662" s="11"/>
    </row>
    <row r="1663">
      <c r="A1663" s="11"/>
      <c r="B1663" s="11"/>
      <c r="C1663" s="11"/>
      <c r="D1663" s="11"/>
      <c r="E1663" s="11"/>
      <c r="F1663" s="11"/>
      <c r="G1663" s="11"/>
    </row>
    <row r="1664">
      <c r="A1664" s="11"/>
      <c r="B1664" s="11"/>
      <c r="C1664" s="11"/>
      <c r="D1664" s="11"/>
      <c r="E1664" s="11"/>
      <c r="F1664" s="11"/>
      <c r="G1664" s="11"/>
    </row>
    <row r="1665">
      <c r="A1665" s="11"/>
      <c r="B1665" s="11"/>
      <c r="C1665" s="11"/>
      <c r="D1665" s="11"/>
      <c r="E1665" s="11"/>
      <c r="F1665" s="11"/>
      <c r="G1665" s="11"/>
    </row>
    <row r="1666">
      <c r="A1666" s="11"/>
      <c r="B1666" s="11"/>
      <c r="C1666" s="11"/>
      <c r="D1666" s="11"/>
      <c r="E1666" s="11"/>
      <c r="F1666" s="11"/>
      <c r="G1666" s="11"/>
    </row>
    <row r="1667">
      <c r="A1667" s="11"/>
      <c r="B1667" s="11"/>
      <c r="C1667" s="11"/>
      <c r="D1667" s="11"/>
      <c r="E1667" s="11"/>
      <c r="F1667" s="11"/>
      <c r="G1667" s="11"/>
    </row>
    <row r="1668">
      <c r="A1668" s="11"/>
      <c r="B1668" s="11"/>
      <c r="C1668" s="11"/>
      <c r="D1668" s="11"/>
      <c r="E1668" s="11"/>
      <c r="F1668" s="11"/>
      <c r="G1668" s="11"/>
    </row>
    <row r="1669">
      <c r="A1669" s="11"/>
      <c r="B1669" s="11"/>
      <c r="C1669" s="11"/>
      <c r="D1669" s="11"/>
      <c r="E1669" s="11"/>
      <c r="F1669" s="11"/>
      <c r="G1669" s="11"/>
    </row>
    <row r="1670">
      <c r="A1670" s="11"/>
      <c r="B1670" s="11"/>
      <c r="C1670" s="11"/>
      <c r="D1670" s="11"/>
      <c r="E1670" s="11"/>
      <c r="F1670" s="11"/>
      <c r="G1670" s="11"/>
    </row>
    <row r="1671">
      <c r="A1671" s="11"/>
      <c r="B1671" s="11"/>
      <c r="C1671" s="11"/>
      <c r="D1671" s="11"/>
      <c r="E1671" s="11"/>
      <c r="F1671" s="11"/>
      <c r="G1671" s="11"/>
    </row>
    <row r="1672">
      <c r="A1672" s="11"/>
      <c r="B1672" s="11"/>
      <c r="C1672" s="11"/>
      <c r="D1672" s="11"/>
      <c r="E1672" s="11"/>
      <c r="F1672" s="11"/>
      <c r="G1672" s="11"/>
    </row>
    <row r="1673">
      <c r="A1673" s="11"/>
      <c r="B1673" s="11"/>
      <c r="C1673" s="11"/>
      <c r="D1673" s="11"/>
      <c r="E1673" s="11"/>
      <c r="F1673" s="11"/>
      <c r="G1673" s="11"/>
    </row>
    <row r="1674">
      <c r="A1674" s="11"/>
      <c r="B1674" s="11"/>
      <c r="C1674" s="11"/>
      <c r="D1674" s="11"/>
      <c r="E1674" s="11"/>
      <c r="F1674" s="11"/>
      <c r="G1674" s="11"/>
    </row>
    <row r="1675">
      <c r="A1675" s="11"/>
      <c r="B1675" s="11"/>
      <c r="C1675" s="11"/>
      <c r="D1675" s="11"/>
      <c r="E1675" s="11"/>
      <c r="F1675" s="11"/>
      <c r="G1675" s="11"/>
    </row>
    <row r="1676">
      <c r="A1676" s="11"/>
      <c r="B1676" s="11"/>
      <c r="C1676" s="11"/>
      <c r="D1676" s="11"/>
      <c r="E1676" s="11"/>
      <c r="F1676" s="11"/>
      <c r="G1676" s="11"/>
    </row>
    <row r="1677">
      <c r="A1677" s="11"/>
      <c r="B1677" s="11"/>
      <c r="C1677" s="11"/>
      <c r="D1677" s="11"/>
      <c r="E1677" s="11"/>
      <c r="F1677" s="11"/>
      <c r="G1677" s="11"/>
    </row>
    <row r="1678">
      <c r="A1678" s="11"/>
      <c r="B1678" s="11"/>
      <c r="C1678" s="11"/>
      <c r="D1678" s="11"/>
      <c r="E1678" s="11"/>
      <c r="F1678" s="11"/>
      <c r="G1678" s="11"/>
    </row>
    <row r="1679">
      <c r="A1679" s="11"/>
      <c r="B1679" s="11"/>
      <c r="C1679" s="11"/>
      <c r="D1679" s="11"/>
      <c r="E1679" s="11"/>
      <c r="F1679" s="11"/>
      <c r="G1679" s="11"/>
    </row>
    <row r="1680">
      <c r="A1680" s="11"/>
      <c r="B1680" s="11"/>
      <c r="C1680" s="11"/>
      <c r="D1680" s="11"/>
      <c r="E1680" s="11"/>
      <c r="F1680" s="11"/>
      <c r="G1680" s="11"/>
    </row>
    <row r="1681">
      <c r="A1681" s="11"/>
      <c r="B1681" s="11"/>
      <c r="C1681" s="11"/>
      <c r="D1681" s="11"/>
      <c r="E1681" s="11"/>
      <c r="F1681" s="11"/>
      <c r="G1681" s="11"/>
    </row>
    <row r="1682">
      <c r="A1682" s="11"/>
      <c r="B1682" s="11"/>
      <c r="C1682" s="11"/>
      <c r="D1682" s="11"/>
      <c r="E1682" s="11"/>
      <c r="F1682" s="11"/>
      <c r="G1682" s="11"/>
    </row>
    <row r="1683">
      <c r="A1683" s="11"/>
      <c r="B1683" s="11"/>
      <c r="C1683" s="11"/>
      <c r="D1683" s="11"/>
      <c r="E1683" s="11"/>
      <c r="F1683" s="11"/>
      <c r="G1683" s="11"/>
    </row>
    <row r="1684">
      <c r="A1684" s="11"/>
      <c r="B1684" s="11"/>
      <c r="C1684" s="11"/>
      <c r="D1684" s="11"/>
      <c r="E1684" s="11"/>
      <c r="F1684" s="11"/>
      <c r="G1684" s="11"/>
    </row>
    <row r="1685">
      <c r="A1685" s="11"/>
      <c r="B1685" s="11"/>
      <c r="C1685" s="11"/>
      <c r="D1685" s="11"/>
      <c r="E1685" s="11"/>
      <c r="F1685" s="11"/>
      <c r="G1685" s="11"/>
    </row>
    <row r="1686">
      <c r="A1686" s="11"/>
      <c r="B1686" s="11"/>
      <c r="C1686" s="11"/>
      <c r="D1686" s="11"/>
      <c r="E1686" s="11"/>
      <c r="F1686" s="11"/>
      <c r="G1686" s="11"/>
    </row>
    <row r="1687">
      <c r="A1687" s="11"/>
      <c r="B1687" s="11"/>
      <c r="C1687" s="11"/>
      <c r="D1687" s="11"/>
      <c r="E1687" s="11"/>
      <c r="F1687" s="11"/>
      <c r="G1687" s="11"/>
    </row>
    <row r="1688">
      <c r="A1688" s="11"/>
      <c r="B1688" s="11"/>
      <c r="C1688" s="11"/>
      <c r="D1688" s="11"/>
      <c r="E1688" s="11"/>
      <c r="F1688" s="11"/>
      <c r="G1688" s="11"/>
    </row>
    <row r="1689">
      <c r="A1689" s="11"/>
      <c r="B1689" s="11"/>
      <c r="C1689" s="11"/>
      <c r="D1689" s="11"/>
      <c r="E1689" s="11"/>
      <c r="F1689" s="11"/>
      <c r="G1689" s="11"/>
    </row>
    <row r="1690">
      <c r="A1690" s="11"/>
      <c r="B1690" s="11"/>
      <c r="C1690" s="11"/>
      <c r="D1690" s="11"/>
      <c r="E1690" s="11"/>
      <c r="F1690" s="11"/>
      <c r="G1690" s="11"/>
    </row>
    <row r="1691">
      <c r="A1691" s="11"/>
      <c r="B1691" s="11"/>
      <c r="C1691" s="11"/>
      <c r="D1691" s="11"/>
      <c r="E1691" s="11"/>
      <c r="F1691" s="11"/>
      <c r="G1691" s="11"/>
    </row>
    <row r="1692">
      <c r="A1692" s="11"/>
      <c r="B1692" s="11"/>
      <c r="C1692" s="11"/>
      <c r="D1692" s="11"/>
      <c r="E1692" s="11"/>
      <c r="F1692" s="11"/>
      <c r="G1692" s="11"/>
    </row>
    <row r="1693">
      <c r="A1693" s="11"/>
      <c r="B1693" s="11"/>
      <c r="C1693" s="11"/>
      <c r="D1693" s="11"/>
      <c r="E1693" s="11"/>
      <c r="F1693" s="11"/>
      <c r="G1693" s="11"/>
    </row>
    <row r="1694">
      <c r="A1694" s="11"/>
      <c r="B1694" s="11"/>
      <c r="C1694" s="11"/>
      <c r="D1694" s="11"/>
      <c r="E1694" s="11"/>
      <c r="F1694" s="11"/>
      <c r="G1694" s="11"/>
    </row>
    <row r="1695">
      <c r="A1695" s="11"/>
      <c r="B1695" s="11"/>
      <c r="C1695" s="11"/>
      <c r="D1695" s="11"/>
      <c r="E1695" s="11"/>
      <c r="F1695" s="11"/>
      <c r="G1695" s="11"/>
    </row>
    <row r="1696">
      <c r="A1696" s="11"/>
      <c r="B1696" s="11"/>
      <c r="C1696" s="11"/>
      <c r="D1696" s="11"/>
      <c r="E1696" s="11"/>
      <c r="F1696" s="11"/>
      <c r="G1696" s="11"/>
    </row>
    <row r="1697">
      <c r="A1697" s="11"/>
      <c r="B1697" s="11"/>
      <c r="C1697" s="11"/>
      <c r="D1697" s="11"/>
      <c r="E1697" s="11"/>
      <c r="F1697" s="11"/>
      <c r="G1697" s="11"/>
    </row>
    <row r="1698">
      <c r="A1698" s="11"/>
      <c r="B1698" s="11"/>
      <c r="C1698" s="11"/>
      <c r="D1698" s="11"/>
      <c r="E1698" s="11"/>
      <c r="F1698" s="11"/>
      <c r="G1698" s="11"/>
    </row>
    <row r="1699">
      <c r="A1699" s="11"/>
      <c r="B1699" s="11"/>
      <c r="C1699" s="11"/>
      <c r="D1699" s="11"/>
      <c r="E1699" s="11"/>
      <c r="F1699" s="11"/>
      <c r="G1699" s="11"/>
    </row>
    <row r="1700">
      <c r="A1700" s="11"/>
      <c r="B1700" s="11"/>
      <c r="C1700" s="11"/>
      <c r="D1700" s="11"/>
      <c r="E1700" s="11"/>
      <c r="F1700" s="11"/>
      <c r="G1700" s="11"/>
    </row>
    <row r="1701">
      <c r="A1701" s="11"/>
      <c r="B1701" s="11"/>
      <c r="C1701" s="11"/>
      <c r="D1701" s="11"/>
      <c r="E1701" s="11"/>
      <c r="F1701" s="11"/>
      <c r="G1701" s="11"/>
    </row>
    <row r="1702">
      <c r="A1702" s="11"/>
      <c r="B1702" s="11"/>
      <c r="C1702" s="11"/>
      <c r="D1702" s="11"/>
      <c r="E1702" s="11"/>
      <c r="F1702" s="11"/>
      <c r="G1702" s="11"/>
    </row>
    <row r="1703">
      <c r="A1703" s="11"/>
      <c r="B1703" s="11"/>
      <c r="C1703" s="11"/>
      <c r="D1703" s="11"/>
      <c r="E1703" s="11"/>
      <c r="F1703" s="11"/>
      <c r="G1703" s="11"/>
    </row>
    <row r="1704">
      <c r="A1704" s="11"/>
      <c r="B1704" s="11"/>
      <c r="C1704" s="11"/>
      <c r="D1704" s="11"/>
      <c r="E1704" s="11"/>
      <c r="F1704" s="11"/>
      <c r="G1704" s="11"/>
    </row>
    <row r="1705">
      <c r="A1705" s="11"/>
      <c r="B1705" s="11"/>
      <c r="C1705" s="11"/>
      <c r="D1705" s="11"/>
      <c r="E1705" s="11"/>
      <c r="F1705" s="11"/>
      <c r="G1705" s="11"/>
    </row>
    <row r="1706">
      <c r="A1706" s="11"/>
      <c r="B1706" s="11"/>
      <c r="C1706" s="11"/>
      <c r="D1706" s="11"/>
      <c r="E1706" s="11"/>
      <c r="F1706" s="11"/>
      <c r="G1706" s="11"/>
    </row>
    <row r="1707">
      <c r="A1707" s="11"/>
      <c r="B1707" s="11"/>
      <c r="C1707" s="11"/>
      <c r="D1707" s="11"/>
      <c r="E1707" s="11"/>
      <c r="F1707" s="11"/>
      <c r="G1707" s="11"/>
    </row>
    <row r="1708">
      <c r="A1708" s="11"/>
      <c r="B1708" s="11"/>
      <c r="C1708" s="11"/>
      <c r="D1708" s="11"/>
      <c r="E1708" s="11"/>
      <c r="F1708" s="11"/>
      <c r="G1708" s="11"/>
    </row>
    <row r="1709">
      <c r="A1709" s="11"/>
      <c r="B1709" s="11"/>
      <c r="C1709" s="11"/>
      <c r="D1709" s="11"/>
      <c r="E1709" s="11"/>
      <c r="F1709" s="11"/>
      <c r="G1709" s="11"/>
    </row>
    <row r="1710">
      <c r="A1710" s="11"/>
      <c r="B1710" s="11"/>
      <c r="C1710" s="11"/>
      <c r="D1710" s="11"/>
      <c r="E1710" s="11"/>
      <c r="F1710" s="11"/>
      <c r="G1710" s="11"/>
    </row>
    <row r="1711">
      <c r="A1711" s="11"/>
      <c r="B1711" s="11"/>
      <c r="C1711" s="11"/>
      <c r="D1711" s="11"/>
      <c r="E1711" s="11"/>
      <c r="F1711" s="11"/>
      <c r="G1711" s="11"/>
    </row>
    <row r="1712">
      <c r="A1712" s="11"/>
      <c r="B1712" s="11"/>
      <c r="C1712" s="11"/>
      <c r="D1712" s="11"/>
      <c r="E1712" s="11"/>
      <c r="F1712" s="11"/>
      <c r="G1712" s="11"/>
    </row>
    <row r="1713">
      <c r="A1713" s="11"/>
      <c r="B1713" s="11"/>
      <c r="C1713" s="11"/>
      <c r="D1713" s="11"/>
      <c r="E1713" s="11"/>
      <c r="F1713" s="11"/>
      <c r="G1713" s="11"/>
    </row>
    <row r="1714">
      <c r="A1714" s="11"/>
      <c r="B1714" s="11"/>
      <c r="C1714" s="11"/>
      <c r="D1714" s="11"/>
      <c r="E1714" s="11"/>
      <c r="F1714" s="11"/>
      <c r="G1714" s="11"/>
    </row>
    <row r="1715">
      <c r="A1715" s="11"/>
      <c r="B1715" s="11"/>
      <c r="C1715" s="11"/>
      <c r="D1715" s="11"/>
      <c r="E1715" s="11"/>
      <c r="F1715" s="11"/>
      <c r="G1715" s="11"/>
    </row>
    <row r="1716">
      <c r="A1716" s="11"/>
      <c r="B1716" s="11"/>
      <c r="C1716" s="11"/>
      <c r="D1716" s="11"/>
      <c r="E1716" s="11"/>
      <c r="F1716" s="11"/>
      <c r="G1716" s="11"/>
    </row>
    <row r="1717">
      <c r="A1717" s="11"/>
      <c r="B1717" s="11"/>
      <c r="C1717" s="11"/>
      <c r="D1717" s="11"/>
      <c r="E1717" s="11"/>
      <c r="F1717" s="11"/>
      <c r="G1717" s="11"/>
    </row>
    <row r="1718">
      <c r="A1718" s="11"/>
      <c r="B1718" s="11"/>
      <c r="C1718" s="11"/>
      <c r="D1718" s="11"/>
      <c r="E1718" s="11"/>
      <c r="F1718" s="11"/>
      <c r="G1718" s="11"/>
    </row>
    <row r="1719">
      <c r="A1719" s="11"/>
      <c r="B1719" s="11"/>
      <c r="C1719" s="11"/>
      <c r="D1719" s="11"/>
      <c r="E1719" s="11"/>
      <c r="F1719" s="11"/>
      <c r="G1719" s="11"/>
    </row>
    <row r="1720">
      <c r="A1720" s="11"/>
      <c r="B1720" s="11"/>
      <c r="C1720" s="11"/>
      <c r="D1720" s="11"/>
      <c r="E1720" s="11"/>
      <c r="F1720" s="11"/>
      <c r="G1720" s="11"/>
    </row>
    <row r="1721">
      <c r="A1721" s="11"/>
      <c r="B1721" s="11"/>
      <c r="C1721" s="11"/>
      <c r="D1721" s="11"/>
      <c r="E1721" s="11"/>
      <c r="F1721" s="11"/>
      <c r="G1721" s="11"/>
    </row>
    <row r="1722">
      <c r="A1722" s="11"/>
      <c r="B1722" s="11"/>
      <c r="C1722" s="11"/>
      <c r="D1722" s="11"/>
      <c r="E1722" s="11"/>
      <c r="F1722" s="11"/>
      <c r="G1722" s="11"/>
    </row>
    <row r="1723">
      <c r="A1723" s="11"/>
      <c r="B1723" s="11"/>
      <c r="C1723" s="11"/>
      <c r="D1723" s="11"/>
      <c r="E1723" s="11"/>
      <c r="F1723" s="11"/>
      <c r="G1723" s="11"/>
    </row>
    <row r="1724">
      <c r="A1724" s="11"/>
      <c r="B1724" s="11"/>
      <c r="C1724" s="11"/>
      <c r="D1724" s="11"/>
      <c r="E1724" s="11"/>
      <c r="F1724" s="11"/>
      <c r="G1724" s="11"/>
    </row>
    <row r="1725">
      <c r="A1725" s="11"/>
      <c r="B1725" s="11"/>
      <c r="C1725" s="11"/>
      <c r="D1725" s="11"/>
      <c r="E1725" s="11"/>
      <c r="F1725" s="11"/>
      <c r="G1725" s="11"/>
    </row>
    <row r="1726">
      <c r="A1726" s="11"/>
      <c r="B1726" s="11"/>
      <c r="C1726" s="11"/>
      <c r="D1726" s="11"/>
      <c r="E1726" s="11"/>
      <c r="F1726" s="11"/>
      <c r="G1726" s="11"/>
    </row>
    <row r="1727">
      <c r="A1727" s="11"/>
      <c r="B1727" s="11"/>
      <c r="C1727" s="11"/>
      <c r="D1727" s="11"/>
      <c r="E1727" s="11"/>
      <c r="F1727" s="11"/>
      <c r="G1727" s="11"/>
    </row>
    <row r="1728">
      <c r="A1728" s="11"/>
      <c r="B1728" s="11"/>
      <c r="C1728" s="11"/>
      <c r="D1728" s="11"/>
      <c r="E1728" s="11"/>
      <c r="F1728" s="11"/>
      <c r="G1728" s="11"/>
    </row>
    <row r="1729">
      <c r="A1729" s="11"/>
      <c r="B1729" s="11"/>
      <c r="C1729" s="11"/>
      <c r="D1729" s="11"/>
      <c r="E1729" s="11"/>
      <c r="F1729" s="11"/>
      <c r="G1729" s="11"/>
    </row>
    <row r="1730">
      <c r="A1730" s="11"/>
      <c r="B1730" s="11"/>
      <c r="C1730" s="11"/>
      <c r="D1730" s="11"/>
      <c r="E1730" s="11"/>
      <c r="F1730" s="11"/>
      <c r="G1730" s="11"/>
    </row>
    <row r="1731">
      <c r="A1731" s="11"/>
      <c r="B1731" s="11"/>
      <c r="C1731" s="11"/>
      <c r="D1731" s="11"/>
      <c r="E1731" s="11"/>
      <c r="F1731" s="11"/>
      <c r="G1731" s="11"/>
    </row>
    <row r="1732">
      <c r="A1732" s="11"/>
      <c r="B1732" s="11"/>
      <c r="C1732" s="11"/>
      <c r="D1732" s="11"/>
      <c r="E1732" s="11"/>
      <c r="F1732" s="11"/>
      <c r="G1732" s="11"/>
    </row>
    <row r="1733">
      <c r="A1733" s="11"/>
      <c r="B1733" s="11"/>
      <c r="C1733" s="11"/>
      <c r="D1733" s="11"/>
      <c r="E1733" s="11"/>
      <c r="F1733" s="11"/>
      <c r="G1733" s="11"/>
    </row>
    <row r="1734">
      <c r="A1734" s="11"/>
      <c r="B1734" s="11"/>
      <c r="C1734" s="11"/>
      <c r="D1734" s="11"/>
      <c r="E1734" s="11"/>
      <c r="F1734" s="11"/>
      <c r="G1734" s="11"/>
    </row>
    <row r="1735">
      <c r="A1735" s="11"/>
      <c r="B1735" s="11"/>
      <c r="C1735" s="11"/>
      <c r="D1735" s="11"/>
      <c r="E1735" s="11"/>
      <c r="F1735" s="11"/>
      <c r="G1735" s="11"/>
    </row>
    <row r="1736">
      <c r="A1736" s="11"/>
      <c r="B1736" s="11"/>
      <c r="C1736" s="11"/>
      <c r="D1736" s="11"/>
      <c r="E1736" s="11"/>
      <c r="F1736" s="11"/>
      <c r="G1736" s="11"/>
    </row>
    <row r="1737">
      <c r="A1737" s="11"/>
      <c r="B1737" s="11"/>
      <c r="C1737" s="11"/>
      <c r="D1737" s="11"/>
      <c r="E1737" s="11"/>
      <c r="F1737" s="11"/>
      <c r="G1737" s="11"/>
    </row>
    <row r="1738">
      <c r="A1738" s="11"/>
      <c r="B1738" s="11"/>
      <c r="C1738" s="11"/>
      <c r="D1738" s="11"/>
      <c r="E1738" s="11"/>
      <c r="F1738" s="11"/>
      <c r="G1738" s="11"/>
    </row>
    <row r="1739">
      <c r="A1739" s="11"/>
      <c r="B1739" s="11"/>
      <c r="C1739" s="11"/>
      <c r="D1739" s="11"/>
      <c r="E1739" s="11"/>
      <c r="F1739" s="11"/>
      <c r="G1739" s="11"/>
    </row>
    <row r="1740">
      <c r="A1740" s="11"/>
      <c r="B1740" s="11"/>
      <c r="C1740" s="11"/>
      <c r="D1740" s="11"/>
      <c r="E1740" s="11"/>
      <c r="F1740" s="11"/>
      <c r="G1740" s="11"/>
    </row>
    <row r="1741">
      <c r="A1741" s="11"/>
      <c r="B1741" s="11"/>
      <c r="C1741" s="11"/>
      <c r="D1741" s="11"/>
      <c r="E1741" s="11"/>
      <c r="F1741" s="11"/>
      <c r="G1741" s="11"/>
    </row>
    <row r="1742">
      <c r="A1742" s="11"/>
      <c r="B1742" s="11"/>
      <c r="C1742" s="11"/>
      <c r="D1742" s="11"/>
      <c r="E1742" s="11"/>
      <c r="F1742" s="11"/>
      <c r="G1742" s="11"/>
    </row>
    <row r="1743">
      <c r="A1743" s="11"/>
      <c r="B1743" s="11"/>
      <c r="C1743" s="11"/>
      <c r="D1743" s="11"/>
      <c r="E1743" s="11"/>
      <c r="F1743" s="11"/>
      <c r="G1743" s="11"/>
    </row>
    <row r="1744">
      <c r="A1744" s="11"/>
      <c r="B1744" s="11"/>
      <c r="C1744" s="11"/>
      <c r="D1744" s="11"/>
      <c r="E1744" s="11"/>
      <c r="F1744" s="11"/>
      <c r="G1744" s="11"/>
    </row>
    <row r="1745">
      <c r="A1745" s="11"/>
      <c r="B1745" s="11"/>
      <c r="C1745" s="11"/>
      <c r="D1745" s="11"/>
      <c r="E1745" s="11"/>
      <c r="F1745" s="11"/>
      <c r="G1745" s="11"/>
    </row>
    <row r="1746">
      <c r="A1746" s="11"/>
      <c r="B1746" s="11"/>
      <c r="C1746" s="11"/>
      <c r="D1746" s="11"/>
      <c r="E1746" s="11"/>
      <c r="F1746" s="11"/>
      <c r="G1746" s="11"/>
    </row>
    <row r="1747">
      <c r="A1747" s="11"/>
      <c r="B1747" s="11"/>
      <c r="C1747" s="11"/>
      <c r="D1747" s="11"/>
      <c r="E1747" s="11"/>
      <c r="F1747" s="11"/>
      <c r="G1747" s="11"/>
    </row>
    <row r="1748">
      <c r="A1748" s="11"/>
      <c r="B1748" s="11"/>
      <c r="C1748" s="11"/>
      <c r="D1748" s="11"/>
      <c r="E1748" s="11"/>
      <c r="F1748" s="11"/>
      <c r="G1748" s="11"/>
    </row>
    <row r="1749">
      <c r="A1749" s="11"/>
      <c r="B1749" s="11"/>
      <c r="C1749" s="11"/>
      <c r="D1749" s="11"/>
      <c r="E1749" s="11"/>
      <c r="F1749" s="11"/>
      <c r="G1749" s="11"/>
    </row>
    <row r="1750">
      <c r="A1750" s="11"/>
      <c r="B1750" s="11"/>
      <c r="C1750" s="11"/>
      <c r="D1750" s="11"/>
      <c r="E1750" s="11"/>
      <c r="F1750" s="11"/>
      <c r="G1750" s="11"/>
    </row>
    <row r="1751">
      <c r="A1751" s="11"/>
      <c r="B1751" s="11"/>
      <c r="C1751" s="11"/>
      <c r="D1751" s="11"/>
      <c r="E1751" s="11"/>
      <c r="F1751" s="11"/>
      <c r="G1751" s="11"/>
    </row>
    <row r="1752">
      <c r="A1752" s="11"/>
      <c r="B1752" s="11"/>
      <c r="C1752" s="11"/>
      <c r="D1752" s="11"/>
      <c r="E1752" s="11"/>
      <c r="F1752" s="11"/>
      <c r="G1752" s="11"/>
    </row>
    <row r="1753">
      <c r="A1753" s="11"/>
      <c r="B1753" s="11"/>
      <c r="C1753" s="11"/>
      <c r="D1753" s="11"/>
      <c r="E1753" s="11"/>
      <c r="F1753" s="11"/>
      <c r="G1753" s="11"/>
    </row>
    <row r="1754">
      <c r="A1754" s="11"/>
      <c r="B1754" s="11"/>
      <c r="C1754" s="11"/>
      <c r="D1754" s="11"/>
      <c r="E1754" s="11"/>
      <c r="F1754" s="11"/>
      <c r="G1754" s="11"/>
    </row>
    <row r="1755">
      <c r="A1755" s="11"/>
      <c r="B1755" s="11"/>
      <c r="C1755" s="11"/>
      <c r="D1755" s="11"/>
      <c r="E1755" s="11"/>
      <c r="F1755" s="11"/>
      <c r="G1755" s="11"/>
    </row>
    <row r="1756">
      <c r="A1756" s="11"/>
      <c r="B1756" s="11"/>
      <c r="C1756" s="11"/>
      <c r="D1756" s="11"/>
      <c r="E1756" s="11"/>
      <c r="F1756" s="11"/>
      <c r="G1756" s="11"/>
    </row>
    <row r="1757">
      <c r="A1757" s="11"/>
      <c r="B1757" s="11"/>
      <c r="C1757" s="11"/>
      <c r="D1757" s="11"/>
      <c r="E1757" s="11"/>
      <c r="F1757" s="11"/>
      <c r="G1757" s="11"/>
    </row>
    <row r="1758">
      <c r="A1758" s="11"/>
      <c r="B1758" s="11"/>
      <c r="C1758" s="11"/>
      <c r="D1758" s="11"/>
      <c r="E1758" s="11"/>
      <c r="F1758" s="11"/>
      <c r="G1758" s="11"/>
    </row>
    <row r="1759">
      <c r="A1759" s="11"/>
      <c r="B1759" s="11"/>
      <c r="C1759" s="11"/>
      <c r="D1759" s="11"/>
      <c r="E1759" s="11"/>
      <c r="F1759" s="11"/>
      <c r="G1759" s="11"/>
    </row>
    <row r="1760">
      <c r="A1760" s="11"/>
      <c r="B1760" s="11"/>
      <c r="C1760" s="11"/>
      <c r="D1760" s="11"/>
      <c r="E1760" s="11"/>
      <c r="F1760" s="11"/>
      <c r="G1760" s="11"/>
    </row>
    <row r="1761">
      <c r="A1761" s="11"/>
      <c r="B1761" s="11"/>
      <c r="C1761" s="11"/>
      <c r="D1761" s="11"/>
      <c r="E1761" s="11"/>
      <c r="F1761" s="11"/>
      <c r="G1761" s="11"/>
    </row>
    <row r="1762">
      <c r="A1762" s="11"/>
      <c r="B1762" s="11"/>
      <c r="C1762" s="11"/>
      <c r="D1762" s="11"/>
      <c r="E1762" s="11"/>
      <c r="F1762" s="11"/>
      <c r="G1762" s="11"/>
    </row>
    <row r="1763">
      <c r="A1763" s="11"/>
      <c r="B1763" s="11"/>
      <c r="C1763" s="11"/>
      <c r="D1763" s="11"/>
      <c r="E1763" s="11"/>
      <c r="F1763" s="11"/>
      <c r="G1763" s="11"/>
    </row>
    <row r="1764">
      <c r="A1764" s="11"/>
      <c r="B1764" s="11"/>
      <c r="C1764" s="11"/>
      <c r="D1764" s="11"/>
      <c r="E1764" s="11"/>
      <c r="F1764" s="11"/>
      <c r="G1764" s="11"/>
    </row>
    <row r="1765">
      <c r="A1765" s="11"/>
      <c r="B1765" s="11"/>
      <c r="C1765" s="11"/>
      <c r="D1765" s="11"/>
      <c r="E1765" s="11"/>
      <c r="F1765" s="11"/>
      <c r="G1765" s="11"/>
    </row>
    <row r="1766">
      <c r="A1766" s="11"/>
      <c r="B1766" s="11"/>
      <c r="C1766" s="11"/>
      <c r="D1766" s="11"/>
      <c r="E1766" s="11"/>
      <c r="F1766" s="11"/>
      <c r="G1766" s="11"/>
    </row>
    <row r="1767">
      <c r="A1767" s="11"/>
      <c r="B1767" s="11"/>
      <c r="C1767" s="11"/>
      <c r="D1767" s="11"/>
      <c r="E1767" s="11"/>
      <c r="F1767" s="11"/>
      <c r="G1767" s="11"/>
    </row>
    <row r="1768">
      <c r="A1768" s="11"/>
      <c r="B1768" s="11"/>
      <c r="C1768" s="11"/>
      <c r="D1768" s="11"/>
      <c r="E1768" s="11"/>
      <c r="F1768" s="11"/>
      <c r="G1768" s="11"/>
    </row>
    <row r="1769">
      <c r="A1769" s="11"/>
      <c r="B1769" s="11"/>
      <c r="C1769" s="11"/>
      <c r="D1769" s="11"/>
      <c r="E1769" s="11"/>
      <c r="F1769" s="11"/>
      <c r="G1769" s="11"/>
    </row>
    <row r="1770">
      <c r="A1770" s="11"/>
      <c r="B1770" s="11"/>
      <c r="C1770" s="11"/>
      <c r="D1770" s="11"/>
      <c r="E1770" s="11"/>
      <c r="F1770" s="11"/>
      <c r="G1770" s="11"/>
    </row>
    <row r="1771">
      <c r="A1771" s="11"/>
      <c r="B1771" s="11"/>
      <c r="C1771" s="11"/>
      <c r="D1771" s="11"/>
      <c r="E1771" s="11"/>
      <c r="F1771" s="11"/>
      <c r="G1771" s="11"/>
    </row>
    <row r="1772">
      <c r="A1772" s="11"/>
      <c r="B1772" s="11"/>
      <c r="C1772" s="11"/>
      <c r="D1772" s="11"/>
      <c r="E1772" s="11"/>
      <c r="F1772" s="11"/>
      <c r="G1772" s="11"/>
    </row>
    <row r="1773">
      <c r="A1773" s="11"/>
      <c r="B1773" s="11"/>
      <c r="C1773" s="11"/>
      <c r="D1773" s="11"/>
      <c r="E1773" s="11"/>
      <c r="F1773" s="11"/>
      <c r="G1773" s="11"/>
    </row>
    <row r="1774">
      <c r="A1774" s="11"/>
      <c r="B1774" s="11"/>
      <c r="C1774" s="11"/>
      <c r="D1774" s="11"/>
      <c r="E1774" s="11"/>
      <c r="F1774" s="11"/>
      <c r="G1774" s="11"/>
    </row>
    <row r="1775">
      <c r="A1775" s="11"/>
      <c r="B1775" s="11"/>
      <c r="C1775" s="11"/>
      <c r="D1775" s="11"/>
      <c r="E1775" s="11"/>
      <c r="F1775" s="11"/>
      <c r="G1775" s="11"/>
    </row>
    <row r="1776">
      <c r="A1776" s="11"/>
      <c r="B1776" s="11"/>
      <c r="C1776" s="11"/>
      <c r="D1776" s="11"/>
      <c r="E1776" s="11"/>
      <c r="F1776" s="11"/>
      <c r="G1776" s="11"/>
    </row>
    <row r="1777">
      <c r="A1777" s="11"/>
      <c r="B1777" s="11"/>
      <c r="C1777" s="11"/>
      <c r="D1777" s="11"/>
      <c r="E1777" s="11"/>
      <c r="F1777" s="11"/>
      <c r="G1777" s="11"/>
    </row>
    <row r="1778">
      <c r="A1778" s="11"/>
      <c r="B1778" s="11"/>
      <c r="C1778" s="11"/>
      <c r="D1778" s="11"/>
      <c r="E1778" s="11"/>
      <c r="F1778" s="11"/>
      <c r="G1778" s="11"/>
    </row>
    <row r="1779">
      <c r="A1779" s="11"/>
      <c r="B1779" s="11"/>
      <c r="C1779" s="11"/>
      <c r="D1779" s="11"/>
      <c r="E1779" s="11"/>
      <c r="F1779" s="11"/>
      <c r="G1779" s="11"/>
    </row>
    <row r="1780">
      <c r="A1780" s="11"/>
      <c r="B1780" s="11"/>
      <c r="C1780" s="11"/>
      <c r="D1780" s="11"/>
      <c r="E1780" s="11"/>
      <c r="F1780" s="11"/>
      <c r="G1780" s="11"/>
    </row>
    <row r="1781">
      <c r="A1781" s="11"/>
      <c r="B1781" s="11"/>
      <c r="C1781" s="11"/>
      <c r="D1781" s="11"/>
      <c r="E1781" s="11"/>
      <c r="F1781" s="11"/>
      <c r="G1781" s="11"/>
    </row>
    <row r="1782">
      <c r="A1782" s="11"/>
      <c r="B1782" s="11"/>
      <c r="C1782" s="11"/>
      <c r="D1782" s="11"/>
      <c r="E1782" s="11"/>
      <c r="F1782" s="11"/>
      <c r="G1782" s="11"/>
    </row>
    <row r="1783">
      <c r="A1783" s="11"/>
      <c r="B1783" s="11"/>
      <c r="C1783" s="11"/>
      <c r="D1783" s="11"/>
      <c r="E1783" s="11"/>
      <c r="F1783" s="11"/>
      <c r="G1783" s="11"/>
    </row>
    <row r="1784">
      <c r="A1784" s="11"/>
      <c r="B1784" s="11"/>
      <c r="C1784" s="11"/>
      <c r="D1784" s="11"/>
      <c r="E1784" s="11"/>
      <c r="F1784" s="11"/>
      <c r="G1784" s="11"/>
    </row>
    <row r="1785">
      <c r="A1785" s="11"/>
      <c r="B1785" s="11"/>
      <c r="C1785" s="11"/>
      <c r="D1785" s="11"/>
      <c r="E1785" s="11"/>
      <c r="F1785" s="11"/>
      <c r="G1785" s="11"/>
    </row>
    <row r="1786">
      <c r="A1786" s="11"/>
      <c r="B1786" s="11"/>
      <c r="C1786" s="11"/>
      <c r="D1786" s="11"/>
      <c r="E1786" s="11"/>
      <c r="F1786" s="11"/>
      <c r="G1786" s="11"/>
    </row>
    <row r="1787">
      <c r="A1787" s="11"/>
      <c r="B1787" s="11"/>
      <c r="C1787" s="11"/>
      <c r="D1787" s="11"/>
      <c r="E1787" s="11"/>
      <c r="F1787" s="11"/>
      <c r="G1787" s="11"/>
    </row>
    <row r="1788">
      <c r="A1788" s="11"/>
      <c r="B1788" s="11"/>
      <c r="C1788" s="11"/>
      <c r="D1788" s="11"/>
      <c r="E1788" s="11"/>
      <c r="F1788" s="11"/>
      <c r="G1788" s="11"/>
    </row>
    <row r="1789">
      <c r="A1789" s="11"/>
      <c r="B1789" s="11"/>
      <c r="C1789" s="11"/>
      <c r="D1789" s="11"/>
      <c r="E1789" s="11"/>
      <c r="F1789" s="11"/>
      <c r="G1789" s="11"/>
    </row>
    <row r="1790">
      <c r="A1790" s="11"/>
      <c r="B1790" s="11"/>
      <c r="C1790" s="11"/>
      <c r="D1790" s="11"/>
      <c r="E1790" s="11"/>
      <c r="F1790" s="11"/>
      <c r="G1790" s="11"/>
    </row>
    <row r="1791">
      <c r="A1791" s="11"/>
      <c r="B1791" s="11"/>
      <c r="C1791" s="11"/>
      <c r="D1791" s="11"/>
      <c r="E1791" s="11"/>
      <c r="F1791" s="11"/>
      <c r="G1791" s="11"/>
    </row>
    <row r="1792">
      <c r="A1792" s="11"/>
      <c r="B1792" s="11"/>
      <c r="C1792" s="11"/>
      <c r="D1792" s="11"/>
      <c r="E1792" s="11"/>
      <c r="F1792" s="11"/>
      <c r="G1792" s="11"/>
    </row>
    <row r="1793">
      <c r="A1793" s="11"/>
      <c r="B1793" s="11"/>
      <c r="C1793" s="11"/>
      <c r="D1793" s="11"/>
      <c r="E1793" s="11"/>
      <c r="F1793" s="11"/>
      <c r="G1793" s="11"/>
    </row>
    <row r="1794">
      <c r="A1794" s="11"/>
      <c r="B1794" s="11"/>
      <c r="C1794" s="11"/>
      <c r="D1794" s="11"/>
      <c r="E1794" s="11"/>
      <c r="F1794" s="11"/>
      <c r="G1794" s="11"/>
    </row>
    <row r="1795">
      <c r="A1795" s="11"/>
      <c r="B1795" s="11"/>
      <c r="C1795" s="11"/>
      <c r="D1795" s="11"/>
      <c r="E1795" s="11"/>
      <c r="F1795" s="11"/>
      <c r="G1795" s="11"/>
    </row>
    <row r="1796">
      <c r="A1796" s="11"/>
      <c r="B1796" s="11"/>
      <c r="C1796" s="11"/>
      <c r="D1796" s="11"/>
      <c r="E1796" s="11"/>
      <c r="F1796" s="11"/>
      <c r="G1796" s="11"/>
    </row>
    <row r="1797">
      <c r="A1797" s="11"/>
      <c r="B1797" s="11"/>
      <c r="C1797" s="11"/>
      <c r="D1797" s="11"/>
      <c r="E1797" s="11"/>
      <c r="F1797" s="11"/>
      <c r="G1797" s="11"/>
    </row>
    <row r="1798">
      <c r="A1798" s="11"/>
      <c r="B1798" s="11"/>
      <c r="C1798" s="11"/>
      <c r="D1798" s="11"/>
      <c r="E1798" s="11"/>
      <c r="F1798" s="11"/>
      <c r="G1798" s="11"/>
    </row>
    <row r="1799">
      <c r="A1799" s="11"/>
      <c r="B1799" s="11"/>
      <c r="C1799" s="11"/>
      <c r="D1799" s="11"/>
      <c r="E1799" s="11"/>
      <c r="F1799" s="11"/>
      <c r="G1799" s="11"/>
    </row>
    <row r="1800">
      <c r="A1800" s="11"/>
      <c r="B1800" s="11"/>
      <c r="C1800" s="11"/>
      <c r="D1800" s="11"/>
      <c r="E1800" s="11"/>
      <c r="F1800" s="11"/>
      <c r="G1800" s="11"/>
    </row>
    <row r="1801">
      <c r="A1801" s="11"/>
      <c r="B1801" s="11"/>
      <c r="C1801" s="11"/>
      <c r="D1801" s="11"/>
      <c r="E1801" s="11"/>
      <c r="F1801" s="11"/>
      <c r="G1801" s="11"/>
    </row>
    <row r="1802">
      <c r="A1802" s="11"/>
      <c r="B1802" s="11"/>
      <c r="C1802" s="11"/>
      <c r="D1802" s="11"/>
      <c r="E1802" s="11"/>
      <c r="F1802" s="11"/>
      <c r="G1802" s="11"/>
    </row>
    <row r="1803">
      <c r="A1803" s="11"/>
      <c r="B1803" s="11"/>
      <c r="C1803" s="11"/>
      <c r="D1803" s="11"/>
      <c r="E1803" s="11"/>
      <c r="F1803" s="11"/>
      <c r="G1803" s="11"/>
    </row>
    <row r="1804">
      <c r="A1804" s="11"/>
      <c r="B1804" s="11"/>
      <c r="C1804" s="11"/>
      <c r="D1804" s="11"/>
      <c r="E1804" s="11"/>
      <c r="F1804" s="11"/>
      <c r="G1804" s="11"/>
    </row>
    <row r="1805">
      <c r="A1805" s="11"/>
      <c r="B1805" s="11"/>
      <c r="C1805" s="11"/>
      <c r="D1805" s="11"/>
      <c r="E1805" s="11"/>
      <c r="F1805" s="11"/>
      <c r="G1805" s="11"/>
    </row>
    <row r="1806">
      <c r="A1806" s="11"/>
      <c r="B1806" s="11"/>
      <c r="C1806" s="11"/>
      <c r="D1806" s="11"/>
      <c r="E1806" s="11"/>
      <c r="F1806" s="11"/>
      <c r="G1806" s="11"/>
    </row>
    <row r="1807">
      <c r="A1807" s="11"/>
      <c r="B1807" s="11"/>
      <c r="C1807" s="11"/>
      <c r="D1807" s="11"/>
      <c r="E1807" s="11"/>
      <c r="F1807" s="11"/>
      <c r="G1807" s="11"/>
    </row>
    <row r="1808">
      <c r="A1808" s="11"/>
      <c r="B1808" s="11"/>
      <c r="C1808" s="11"/>
      <c r="D1808" s="11"/>
      <c r="E1808" s="11"/>
      <c r="F1808" s="11"/>
      <c r="G1808" s="11"/>
    </row>
    <row r="1809">
      <c r="A1809" s="11"/>
      <c r="B1809" s="11"/>
      <c r="C1809" s="11"/>
      <c r="D1809" s="11"/>
      <c r="E1809" s="11"/>
      <c r="F1809" s="11"/>
      <c r="G1809" s="11"/>
    </row>
    <row r="1810">
      <c r="A1810" s="11"/>
      <c r="B1810" s="11"/>
      <c r="C1810" s="11"/>
      <c r="D1810" s="11"/>
      <c r="E1810" s="11"/>
      <c r="F1810" s="11"/>
      <c r="G1810" s="11"/>
    </row>
    <row r="1811">
      <c r="A1811" s="11"/>
      <c r="B1811" s="11"/>
      <c r="C1811" s="11"/>
      <c r="D1811" s="11"/>
      <c r="E1811" s="11"/>
      <c r="F1811" s="11"/>
      <c r="G1811" s="11"/>
    </row>
    <row r="1812">
      <c r="A1812" s="11"/>
      <c r="B1812" s="11"/>
      <c r="C1812" s="11"/>
      <c r="D1812" s="11"/>
      <c r="E1812" s="11"/>
      <c r="F1812" s="11"/>
      <c r="G1812" s="11"/>
    </row>
    <row r="1813">
      <c r="A1813" s="11"/>
      <c r="B1813" s="11"/>
      <c r="C1813" s="11"/>
      <c r="D1813" s="11"/>
      <c r="E1813" s="11"/>
      <c r="F1813" s="11"/>
      <c r="G1813" s="11"/>
    </row>
    <row r="1814">
      <c r="A1814" s="11"/>
      <c r="B1814" s="11"/>
      <c r="C1814" s="11"/>
      <c r="D1814" s="11"/>
      <c r="E1814" s="11"/>
      <c r="F1814" s="11"/>
      <c r="G1814" s="11"/>
    </row>
    <row r="1815">
      <c r="A1815" s="11"/>
      <c r="B1815" s="11"/>
      <c r="C1815" s="11"/>
      <c r="D1815" s="11"/>
      <c r="E1815" s="11"/>
      <c r="F1815" s="11"/>
      <c r="G1815" s="11"/>
    </row>
    <row r="1816">
      <c r="A1816" s="11"/>
      <c r="B1816" s="11"/>
      <c r="C1816" s="11"/>
      <c r="D1816" s="11"/>
      <c r="E1816" s="11"/>
      <c r="F1816" s="11"/>
      <c r="G1816" s="11"/>
    </row>
    <row r="1817">
      <c r="A1817" s="11"/>
      <c r="B1817" s="11"/>
      <c r="C1817" s="11"/>
      <c r="D1817" s="11"/>
      <c r="E1817" s="11"/>
      <c r="F1817" s="11"/>
      <c r="G1817" s="11"/>
    </row>
    <row r="1818">
      <c r="A1818" s="11"/>
      <c r="B1818" s="11"/>
      <c r="C1818" s="11"/>
      <c r="D1818" s="11"/>
      <c r="E1818" s="11"/>
      <c r="F1818" s="11"/>
      <c r="G1818" s="11"/>
    </row>
    <row r="1819">
      <c r="A1819" s="11"/>
      <c r="B1819" s="11"/>
      <c r="C1819" s="11"/>
      <c r="D1819" s="11"/>
      <c r="E1819" s="11"/>
      <c r="F1819" s="11"/>
      <c r="G1819" s="11"/>
    </row>
    <row r="1820">
      <c r="A1820" s="11"/>
      <c r="B1820" s="11"/>
      <c r="C1820" s="11"/>
      <c r="D1820" s="11"/>
      <c r="E1820" s="11"/>
      <c r="F1820" s="11"/>
      <c r="G1820" s="11"/>
    </row>
    <row r="1821">
      <c r="A1821" s="11"/>
      <c r="B1821" s="11"/>
      <c r="C1821" s="11"/>
      <c r="D1821" s="11"/>
      <c r="E1821" s="11"/>
      <c r="F1821" s="11"/>
      <c r="G1821" s="11"/>
    </row>
    <row r="1822">
      <c r="A1822" s="11"/>
      <c r="B1822" s="11"/>
      <c r="C1822" s="11"/>
      <c r="D1822" s="11"/>
      <c r="E1822" s="11"/>
      <c r="F1822" s="11"/>
      <c r="G1822" s="11"/>
    </row>
    <row r="1823">
      <c r="A1823" s="11"/>
      <c r="B1823" s="11"/>
      <c r="C1823" s="11"/>
      <c r="D1823" s="11"/>
      <c r="E1823" s="11"/>
      <c r="F1823" s="11"/>
      <c r="G1823" s="11"/>
    </row>
    <row r="1824">
      <c r="A1824" s="11"/>
      <c r="B1824" s="11"/>
      <c r="C1824" s="11"/>
      <c r="D1824" s="11"/>
      <c r="E1824" s="11"/>
      <c r="F1824" s="11"/>
      <c r="G1824" s="11"/>
    </row>
    <row r="1825">
      <c r="A1825" s="11"/>
      <c r="B1825" s="11"/>
      <c r="C1825" s="11"/>
      <c r="D1825" s="11"/>
      <c r="E1825" s="11"/>
      <c r="F1825" s="11"/>
      <c r="G1825" s="11"/>
    </row>
    <row r="1826">
      <c r="A1826" s="11"/>
      <c r="B1826" s="11"/>
      <c r="C1826" s="11"/>
      <c r="D1826" s="11"/>
      <c r="E1826" s="11"/>
      <c r="F1826" s="11"/>
      <c r="G1826" s="11"/>
    </row>
    <row r="1827">
      <c r="A1827" s="11"/>
      <c r="B1827" s="11"/>
      <c r="C1827" s="11"/>
      <c r="D1827" s="11"/>
      <c r="E1827" s="11"/>
      <c r="F1827" s="11"/>
      <c r="G1827" s="11"/>
    </row>
    <row r="1828">
      <c r="A1828" s="11"/>
      <c r="B1828" s="11"/>
      <c r="C1828" s="11"/>
      <c r="D1828" s="11"/>
      <c r="E1828" s="11"/>
      <c r="F1828" s="11"/>
      <c r="G1828" s="11"/>
    </row>
    <row r="1829">
      <c r="A1829" s="11"/>
      <c r="B1829" s="11"/>
      <c r="C1829" s="11"/>
      <c r="D1829" s="11"/>
      <c r="E1829" s="11"/>
      <c r="F1829" s="11"/>
      <c r="G1829" s="11"/>
    </row>
    <row r="1830">
      <c r="A1830" s="11"/>
      <c r="B1830" s="11"/>
      <c r="C1830" s="11"/>
      <c r="D1830" s="11"/>
      <c r="E1830" s="11"/>
      <c r="F1830" s="11"/>
      <c r="G1830" s="11"/>
    </row>
    <row r="1831">
      <c r="A1831" s="11"/>
      <c r="B1831" s="11"/>
      <c r="C1831" s="11"/>
      <c r="D1831" s="11"/>
      <c r="E1831" s="11"/>
      <c r="F1831" s="11"/>
      <c r="G1831" s="11"/>
    </row>
    <row r="1832">
      <c r="A1832" s="11"/>
      <c r="B1832" s="11"/>
      <c r="C1832" s="11"/>
      <c r="D1832" s="11"/>
      <c r="E1832" s="11"/>
      <c r="F1832" s="11"/>
      <c r="G1832" s="11"/>
    </row>
    <row r="1833">
      <c r="A1833" s="11"/>
      <c r="B1833" s="11"/>
      <c r="C1833" s="11"/>
      <c r="D1833" s="11"/>
      <c r="E1833" s="11"/>
      <c r="F1833" s="11"/>
      <c r="G1833" s="11"/>
    </row>
    <row r="1834">
      <c r="A1834" s="11"/>
      <c r="B1834" s="11"/>
      <c r="C1834" s="11"/>
      <c r="D1834" s="11"/>
      <c r="E1834" s="11"/>
      <c r="F1834" s="11"/>
      <c r="G1834" s="11"/>
    </row>
    <row r="1835">
      <c r="A1835" s="11"/>
      <c r="B1835" s="11"/>
      <c r="C1835" s="11"/>
      <c r="D1835" s="11"/>
      <c r="E1835" s="11"/>
      <c r="F1835" s="11"/>
      <c r="G1835" s="11"/>
    </row>
    <row r="1836">
      <c r="A1836" s="11"/>
      <c r="B1836" s="11"/>
      <c r="C1836" s="11"/>
      <c r="D1836" s="11"/>
      <c r="E1836" s="11"/>
      <c r="F1836" s="11"/>
      <c r="G1836" s="11"/>
    </row>
    <row r="1837">
      <c r="A1837" s="11"/>
      <c r="B1837" s="11"/>
      <c r="C1837" s="11"/>
      <c r="D1837" s="11"/>
      <c r="E1837" s="11"/>
      <c r="F1837" s="11"/>
      <c r="G1837" s="11"/>
    </row>
    <row r="1838">
      <c r="A1838" s="11"/>
      <c r="B1838" s="11"/>
      <c r="C1838" s="11"/>
      <c r="D1838" s="11"/>
      <c r="E1838" s="11"/>
      <c r="F1838" s="11"/>
      <c r="G1838" s="11"/>
    </row>
    <row r="1839">
      <c r="A1839" s="11"/>
      <c r="B1839" s="11"/>
      <c r="C1839" s="11"/>
      <c r="D1839" s="11"/>
      <c r="E1839" s="11"/>
      <c r="F1839" s="11"/>
      <c r="G1839" s="11"/>
    </row>
    <row r="1840">
      <c r="A1840" s="11"/>
      <c r="B1840" s="11"/>
      <c r="C1840" s="11"/>
      <c r="D1840" s="11"/>
      <c r="E1840" s="11"/>
      <c r="F1840" s="11"/>
      <c r="G1840" s="11"/>
    </row>
    <row r="1841">
      <c r="A1841" s="11"/>
      <c r="B1841" s="11"/>
      <c r="C1841" s="11"/>
      <c r="D1841" s="11"/>
      <c r="E1841" s="11"/>
      <c r="F1841" s="11"/>
      <c r="G1841" s="11"/>
    </row>
    <row r="1842">
      <c r="A1842" s="11"/>
      <c r="B1842" s="11"/>
      <c r="C1842" s="11"/>
      <c r="D1842" s="11"/>
      <c r="E1842" s="11"/>
      <c r="F1842" s="11"/>
      <c r="G184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3.0"/>
    <col customWidth="1" min="3" max="3" width="14.63"/>
    <col customWidth="1" min="4" max="4" width="12.0"/>
    <col customWidth="1" min="5" max="5" width="11.38"/>
    <col customWidth="1" min="6" max="6" width="12.25"/>
    <col customWidth="1" min="7" max="7" width="33.88"/>
    <col customWidth="1" min="8" max="8" width="12.38"/>
    <col customWidth="1" min="9" max="9" width="15.13"/>
    <col customWidth="1" min="10" max="10" width="16.63"/>
    <col customWidth="1" min="11" max="11" width="12.5"/>
    <col customWidth="1" min="12" max="12" width="17.75"/>
    <col customWidth="1" min="13" max="13" width="28.63"/>
    <col customWidth="1" min="14" max="14" width="17.75"/>
    <col customWidth="1" min="15" max="15" width="14.63"/>
    <col customWidth="1" min="16" max="16" width="21.13"/>
  </cols>
  <sheetData>
    <row r="1">
      <c r="A1" s="44" t="s">
        <v>0</v>
      </c>
      <c r="B1" s="44" t="s">
        <v>1</v>
      </c>
      <c r="C1" s="44" t="s">
        <v>4</v>
      </c>
      <c r="D1" s="44" t="s">
        <v>3</v>
      </c>
      <c r="E1" s="44" t="s">
        <v>2827</v>
      </c>
      <c r="F1" s="44" t="s">
        <v>2</v>
      </c>
      <c r="G1" s="44" t="s">
        <v>2828</v>
      </c>
      <c r="H1" s="44" t="s">
        <v>2829</v>
      </c>
      <c r="I1" s="44" t="s">
        <v>2830</v>
      </c>
      <c r="J1" s="44" t="s">
        <v>5</v>
      </c>
      <c r="K1" s="44" t="s">
        <v>2831</v>
      </c>
      <c r="L1" s="44" t="s">
        <v>2832</v>
      </c>
      <c r="M1" s="44" t="s">
        <v>2833</v>
      </c>
      <c r="N1" s="44" t="s">
        <v>2834</v>
      </c>
      <c r="O1" s="44" t="s">
        <v>2835</v>
      </c>
      <c r="P1" s="44" t="s">
        <v>2836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>
      <c r="A2" s="46" t="s">
        <v>2837</v>
      </c>
      <c r="B2" s="46" t="s">
        <v>2837</v>
      </c>
      <c r="C2" s="46" t="s">
        <v>2837</v>
      </c>
      <c r="D2" s="46" t="s">
        <v>1960</v>
      </c>
      <c r="E2" s="46" t="s">
        <v>2838</v>
      </c>
      <c r="F2" s="46" t="s">
        <v>2839</v>
      </c>
      <c r="G2" s="46" t="s">
        <v>2840</v>
      </c>
      <c r="H2" s="46" t="s">
        <v>2841</v>
      </c>
      <c r="I2" s="46" t="s">
        <v>2842</v>
      </c>
      <c r="J2" s="46" t="s">
        <v>2843</v>
      </c>
      <c r="K2" s="46" t="s">
        <v>2844</v>
      </c>
      <c r="L2" s="47" t="s">
        <v>2845</v>
      </c>
      <c r="M2" s="46" t="s">
        <v>2846</v>
      </c>
      <c r="N2" s="46" t="s">
        <v>2847</v>
      </c>
      <c r="O2" s="46" t="s">
        <v>2842</v>
      </c>
      <c r="P2" s="48">
        <v>46075.527111365736</v>
      </c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>
      <c r="A3" s="46" t="s">
        <v>2848</v>
      </c>
      <c r="B3" s="46" t="s">
        <v>2843</v>
      </c>
      <c r="C3" s="46" t="s">
        <v>2849</v>
      </c>
      <c r="D3" s="46" t="s">
        <v>1960</v>
      </c>
      <c r="E3" s="46" t="s">
        <v>2850</v>
      </c>
      <c r="F3" s="46" t="s">
        <v>2839</v>
      </c>
      <c r="G3" s="46" t="s">
        <v>2851</v>
      </c>
      <c r="H3" s="46" t="s">
        <v>2841</v>
      </c>
      <c r="I3" s="46" t="s">
        <v>2852</v>
      </c>
      <c r="J3" s="46" t="s">
        <v>2853</v>
      </c>
      <c r="K3" s="46" t="s">
        <v>2854</v>
      </c>
      <c r="L3" s="47" t="s">
        <v>2855</v>
      </c>
      <c r="M3" s="46" t="s">
        <v>2856</v>
      </c>
      <c r="N3" s="46" t="s">
        <v>2847</v>
      </c>
      <c r="O3" s="46" t="s">
        <v>2857</v>
      </c>
      <c r="P3" s="48">
        <v>46075.52967105324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>
      <c r="A4" s="46" t="s">
        <v>29</v>
      </c>
      <c r="B4" s="46" t="s">
        <v>30</v>
      </c>
      <c r="C4" s="46" t="s">
        <v>11</v>
      </c>
      <c r="D4" s="46" t="s">
        <v>10</v>
      </c>
      <c r="E4" s="49"/>
      <c r="F4" s="46" t="s">
        <v>31</v>
      </c>
      <c r="G4" s="46" t="s">
        <v>2858</v>
      </c>
      <c r="H4" s="46" t="s">
        <v>2841</v>
      </c>
      <c r="I4" s="46" t="s">
        <v>2859</v>
      </c>
      <c r="J4" s="46" t="s">
        <v>2860</v>
      </c>
      <c r="K4" s="46" t="s">
        <v>2861</v>
      </c>
      <c r="L4" s="46" t="s">
        <v>2862</v>
      </c>
      <c r="M4" s="46" t="s">
        <v>2863</v>
      </c>
      <c r="N4" s="46" t="s">
        <v>2847</v>
      </c>
      <c r="O4" s="46" t="s">
        <v>2842</v>
      </c>
      <c r="P4" s="48">
        <v>46075.58055168981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</row>
  </sheetData>
  <dataValidations>
    <dataValidation type="list" allowBlank="1" showErrorMessage="1" sqref="D2:D245">
      <formula1>"Laptop,Desktop"</formula1>
    </dataValidation>
    <dataValidation type="list" allowBlank="1" showErrorMessage="1" sqref="N2:N245">
      <formula1>"Renato Balbutin,Irvin James Alpuerto,John Cris Ponting,Angelo Encarnacion,Ryan Mesia,Glenn Oturdo,Aldwin Cruz"</formula1>
    </dataValidation>
    <dataValidation type="list" allowBlank="1" showInputMessage="1" showErrorMessage="1" prompt="Click and enter a value from the list of items" sqref="E2:E245">
      <formula1>"Ingress,Egress"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6.25"/>
    <col customWidth="1" min="3" max="3" width="30.88"/>
    <col customWidth="1" min="4" max="4" width="12.0"/>
    <col customWidth="1" min="5" max="5" width="13.5"/>
    <col customWidth="1" min="6" max="6" width="12.25"/>
    <col customWidth="1" min="7" max="7" width="89.13"/>
    <col customWidth="1" min="8" max="8" width="12.38"/>
    <col customWidth="1" min="9" max="9" width="35.88"/>
    <col customWidth="1" min="10" max="10" width="54.13"/>
    <col customWidth="1" min="11" max="11" width="24.0"/>
    <col customWidth="1" min="12" max="12" width="37.0"/>
    <col customWidth="1" min="13" max="13" width="28.63"/>
    <col customWidth="1" min="14" max="14" width="21.13"/>
    <col customWidth="1" min="15" max="15" width="8.13"/>
  </cols>
  <sheetData>
    <row r="1">
      <c r="A1" s="50" t="s">
        <v>0</v>
      </c>
      <c r="B1" s="50" t="s">
        <v>1</v>
      </c>
      <c r="C1" s="50" t="s">
        <v>4</v>
      </c>
      <c r="D1" s="50" t="s">
        <v>3</v>
      </c>
      <c r="E1" s="50" t="s">
        <v>2864</v>
      </c>
      <c r="F1" s="50" t="s">
        <v>2</v>
      </c>
      <c r="G1" s="50" t="s">
        <v>2828</v>
      </c>
      <c r="H1" s="50" t="s">
        <v>2829</v>
      </c>
      <c r="I1" s="50" t="s">
        <v>2830</v>
      </c>
      <c r="J1" s="51" t="s">
        <v>5</v>
      </c>
      <c r="K1" s="50" t="s">
        <v>2831</v>
      </c>
      <c r="L1" s="50" t="s">
        <v>2832</v>
      </c>
      <c r="M1" s="50" t="s">
        <v>2833</v>
      </c>
      <c r="N1" s="50" t="s">
        <v>2834</v>
      </c>
      <c r="O1" s="51" t="s">
        <v>2865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>
      <c r="A2" s="53" t="s">
        <v>2525</v>
      </c>
      <c r="B2" s="53" t="s">
        <v>2526</v>
      </c>
      <c r="C2" s="53" t="s">
        <v>2866</v>
      </c>
      <c r="D2" s="53" t="s">
        <v>1960</v>
      </c>
      <c r="E2" s="53" t="s">
        <v>2838</v>
      </c>
      <c r="F2" s="53" t="s">
        <v>2527</v>
      </c>
      <c r="G2" s="53" t="s">
        <v>2867</v>
      </c>
      <c r="H2" s="54">
        <v>45912.0</v>
      </c>
      <c r="I2" s="53" t="s">
        <v>2868</v>
      </c>
      <c r="J2" s="55"/>
      <c r="K2" s="53" t="s">
        <v>2869</v>
      </c>
      <c r="L2" s="53" t="s">
        <v>2870</v>
      </c>
      <c r="M2" s="53" t="s">
        <v>2870</v>
      </c>
      <c r="N2" s="53" t="s">
        <v>2871</v>
      </c>
      <c r="O2" s="55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>
      <c r="A3" s="53" t="s">
        <v>2872</v>
      </c>
      <c r="B3" s="53">
        <v>6.0022272E7</v>
      </c>
      <c r="C3" s="53" t="s">
        <v>2873</v>
      </c>
      <c r="D3" s="53" t="s">
        <v>10</v>
      </c>
      <c r="E3" s="53" t="s">
        <v>2838</v>
      </c>
      <c r="F3" s="56" t="s">
        <v>1825</v>
      </c>
      <c r="G3" s="53" t="s">
        <v>2874</v>
      </c>
      <c r="H3" s="57">
        <v>45423.0</v>
      </c>
      <c r="I3" s="53" t="s">
        <v>2875</v>
      </c>
      <c r="J3" s="55"/>
      <c r="K3" s="53" t="s">
        <v>2876</v>
      </c>
      <c r="L3" s="53" t="s">
        <v>2877</v>
      </c>
      <c r="M3" s="53" t="s">
        <v>2878</v>
      </c>
      <c r="N3" s="53" t="s">
        <v>2879</v>
      </c>
      <c r="O3" s="55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>
      <c r="A4" s="58" t="s">
        <v>2880</v>
      </c>
      <c r="B4" s="59">
        <v>6.0023252E7</v>
      </c>
      <c r="C4" s="59" t="s">
        <v>2881</v>
      </c>
      <c r="D4" s="53" t="s">
        <v>1960</v>
      </c>
      <c r="E4" s="53" t="s">
        <v>2838</v>
      </c>
      <c r="F4" s="59" t="s">
        <v>2882</v>
      </c>
      <c r="G4" s="53" t="s">
        <v>2883</v>
      </c>
      <c r="H4" s="53" t="s">
        <v>2884</v>
      </c>
      <c r="I4" s="53" t="s">
        <v>2842</v>
      </c>
      <c r="J4" s="55"/>
      <c r="K4" s="53" t="s">
        <v>2885</v>
      </c>
      <c r="L4" s="53" t="s">
        <v>2886</v>
      </c>
      <c r="M4" s="53" t="s">
        <v>2887</v>
      </c>
      <c r="N4" s="53" t="s">
        <v>2871</v>
      </c>
      <c r="O4" s="55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>
      <c r="A5" s="59" t="s">
        <v>1832</v>
      </c>
      <c r="B5" s="59" t="s">
        <v>1833</v>
      </c>
      <c r="C5" s="59" t="s">
        <v>2888</v>
      </c>
      <c r="D5" s="53" t="s">
        <v>10</v>
      </c>
      <c r="E5" s="53" t="s">
        <v>2838</v>
      </c>
      <c r="F5" s="59" t="s">
        <v>1834</v>
      </c>
      <c r="G5" s="53" t="s">
        <v>2889</v>
      </c>
      <c r="H5" s="53" t="s">
        <v>2890</v>
      </c>
      <c r="I5" s="53" t="s">
        <v>2842</v>
      </c>
      <c r="J5" s="55"/>
      <c r="K5" s="53" t="s">
        <v>2891</v>
      </c>
      <c r="L5" s="53" t="s">
        <v>2892</v>
      </c>
      <c r="M5" s="53" t="s">
        <v>2893</v>
      </c>
      <c r="N5" s="53" t="s">
        <v>2894</v>
      </c>
      <c r="O5" s="55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>
      <c r="A6" s="59" t="s">
        <v>2823</v>
      </c>
      <c r="B6" s="59">
        <v>6.0019558E7</v>
      </c>
      <c r="C6" s="59" t="s">
        <v>2895</v>
      </c>
      <c r="D6" s="53" t="s">
        <v>1960</v>
      </c>
      <c r="E6" s="53" t="s">
        <v>2838</v>
      </c>
      <c r="F6" s="60" t="s">
        <v>2896</v>
      </c>
      <c r="G6" s="53" t="s">
        <v>2897</v>
      </c>
      <c r="H6" s="61">
        <v>46054.0</v>
      </c>
      <c r="I6" s="53" t="s">
        <v>2898</v>
      </c>
      <c r="J6" s="55"/>
      <c r="K6" s="53" t="s">
        <v>2899</v>
      </c>
      <c r="L6" s="53" t="s">
        <v>2900</v>
      </c>
      <c r="M6" s="53" t="s">
        <v>2901</v>
      </c>
      <c r="N6" s="53" t="s">
        <v>2894</v>
      </c>
      <c r="O6" s="55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>
      <c r="A7" s="53" t="s">
        <v>2702</v>
      </c>
      <c r="B7" s="21">
        <v>6.0020263E7</v>
      </c>
      <c r="C7" s="53" t="s">
        <v>2902</v>
      </c>
      <c r="D7" s="53" t="s">
        <v>1960</v>
      </c>
      <c r="E7" s="53" t="s">
        <v>2838</v>
      </c>
      <c r="F7" s="53" t="s">
        <v>2703</v>
      </c>
      <c r="G7" s="21" t="s">
        <v>2903</v>
      </c>
      <c r="H7" s="54">
        <v>46082.0</v>
      </c>
      <c r="I7" s="53" t="s">
        <v>2898</v>
      </c>
      <c r="J7" s="55"/>
      <c r="K7" s="53" t="s">
        <v>2904</v>
      </c>
      <c r="L7" s="53" t="s">
        <v>2905</v>
      </c>
      <c r="M7" s="53" t="s">
        <v>2906</v>
      </c>
      <c r="N7" s="53" t="s">
        <v>2879</v>
      </c>
      <c r="O7" s="55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>
      <c r="A8" s="59" t="s">
        <v>2907</v>
      </c>
      <c r="B8" s="59">
        <v>6.0023161E7</v>
      </c>
      <c r="C8" s="59" t="s">
        <v>2908</v>
      </c>
      <c r="D8" s="53" t="s">
        <v>10</v>
      </c>
      <c r="E8" s="53" t="s">
        <v>2838</v>
      </c>
      <c r="F8" s="53" t="s">
        <v>2909</v>
      </c>
      <c r="G8" s="53" t="s">
        <v>2889</v>
      </c>
      <c r="H8" s="62">
        <v>46082.0</v>
      </c>
      <c r="I8" s="53" t="s">
        <v>2875</v>
      </c>
      <c r="J8" s="55"/>
      <c r="K8" s="63" t="s">
        <v>2910</v>
      </c>
      <c r="L8" s="53" t="s">
        <v>2911</v>
      </c>
      <c r="M8" s="53" t="s">
        <v>2912</v>
      </c>
      <c r="N8" s="53" t="s">
        <v>2894</v>
      </c>
      <c r="O8" s="55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>
      <c r="A9" s="59" t="s">
        <v>1526</v>
      </c>
      <c r="B9" s="59">
        <v>6.0020648E7</v>
      </c>
      <c r="C9" s="59" t="s">
        <v>2913</v>
      </c>
      <c r="D9" s="53" t="s">
        <v>10</v>
      </c>
      <c r="E9" s="53" t="s">
        <v>2838</v>
      </c>
      <c r="F9" s="53" t="s">
        <v>2914</v>
      </c>
      <c r="G9" s="53" t="s">
        <v>2889</v>
      </c>
      <c r="H9" s="62">
        <v>46082.0</v>
      </c>
      <c r="I9" s="64" t="s">
        <v>2915</v>
      </c>
      <c r="J9" s="55"/>
      <c r="K9" s="63" t="s">
        <v>2916</v>
      </c>
      <c r="L9" s="53" t="s">
        <v>2917</v>
      </c>
      <c r="M9" s="53" t="s">
        <v>2918</v>
      </c>
      <c r="N9" s="53" t="s">
        <v>2894</v>
      </c>
      <c r="O9" s="55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>
      <c r="A10" s="53" t="s">
        <v>1577</v>
      </c>
      <c r="B10" s="53">
        <v>6.0020912E7</v>
      </c>
      <c r="C10" s="53" t="s">
        <v>1528</v>
      </c>
      <c r="D10" s="53" t="s">
        <v>10</v>
      </c>
      <c r="E10" s="53" t="s">
        <v>2838</v>
      </c>
      <c r="F10" s="53" t="s">
        <v>1576</v>
      </c>
      <c r="G10" s="53" t="s">
        <v>2889</v>
      </c>
      <c r="H10" s="53" t="s">
        <v>2919</v>
      </c>
      <c r="I10" s="53" t="s">
        <v>2875</v>
      </c>
      <c r="J10" s="55"/>
      <c r="K10" s="53" t="s">
        <v>2920</v>
      </c>
      <c r="L10" s="53" t="s">
        <v>2921</v>
      </c>
      <c r="M10" s="53" t="s">
        <v>2922</v>
      </c>
      <c r="N10" s="53" t="s">
        <v>2923</v>
      </c>
      <c r="O10" s="55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>
      <c r="A11" s="53" t="s">
        <v>2386</v>
      </c>
      <c r="B11" s="53">
        <v>6.0019064E7</v>
      </c>
      <c r="C11" s="53" t="s">
        <v>2924</v>
      </c>
      <c r="D11" s="53" t="s">
        <v>1960</v>
      </c>
      <c r="E11" s="53" t="s">
        <v>2838</v>
      </c>
      <c r="F11" s="53" t="s">
        <v>2387</v>
      </c>
      <c r="G11" s="53" t="s">
        <v>2925</v>
      </c>
      <c r="H11" s="62">
        <v>46143.0</v>
      </c>
      <c r="I11" s="53" t="s">
        <v>2875</v>
      </c>
      <c r="J11" s="55"/>
      <c r="K11" s="53" t="s">
        <v>2926</v>
      </c>
      <c r="L11" s="53" t="s">
        <v>2927</v>
      </c>
      <c r="M11" s="53" t="s">
        <v>2928</v>
      </c>
      <c r="N11" s="53" t="s">
        <v>2923</v>
      </c>
      <c r="O11" s="55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>
      <c r="A12" s="53" t="s">
        <v>2543</v>
      </c>
      <c r="B12" s="53">
        <v>6.0020142E7</v>
      </c>
      <c r="C12" s="53" t="s">
        <v>2761</v>
      </c>
      <c r="D12" s="53" t="s">
        <v>1960</v>
      </c>
      <c r="E12" s="53" t="s">
        <v>2838</v>
      </c>
      <c r="F12" s="53" t="s">
        <v>2544</v>
      </c>
      <c r="G12" s="53" t="s">
        <v>2929</v>
      </c>
      <c r="H12" s="62">
        <v>46266.0</v>
      </c>
      <c r="I12" s="53" t="s">
        <v>2875</v>
      </c>
      <c r="J12" s="53" t="s">
        <v>2930</v>
      </c>
      <c r="K12" s="53" t="s">
        <v>2931</v>
      </c>
      <c r="L12" s="53" t="s">
        <v>2932</v>
      </c>
      <c r="M12" s="53" t="s">
        <v>2933</v>
      </c>
      <c r="N12" s="53" t="s">
        <v>2934</v>
      </c>
      <c r="O12" s="53" t="s">
        <v>2935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>
      <c r="A13" s="53" t="s">
        <v>2538</v>
      </c>
      <c r="B13" s="53">
        <v>6.0020148E7</v>
      </c>
      <c r="C13" s="53" t="s">
        <v>2761</v>
      </c>
      <c r="D13" s="53" t="s">
        <v>1960</v>
      </c>
      <c r="E13" s="53" t="s">
        <v>2838</v>
      </c>
      <c r="F13" s="53" t="s">
        <v>2539</v>
      </c>
      <c r="G13" s="53" t="s">
        <v>2936</v>
      </c>
      <c r="H13" s="62">
        <v>46266.0</v>
      </c>
      <c r="I13" s="53" t="s">
        <v>2875</v>
      </c>
      <c r="J13" s="53" t="s">
        <v>2937</v>
      </c>
      <c r="K13" s="53" t="s">
        <v>2938</v>
      </c>
      <c r="L13" s="53" t="s">
        <v>2939</v>
      </c>
      <c r="M13" s="53" t="s">
        <v>2933</v>
      </c>
      <c r="N13" s="53" t="s">
        <v>2934</v>
      </c>
      <c r="O13" s="53" t="s">
        <v>2935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>
      <c r="A14" s="56" t="s">
        <v>393</v>
      </c>
      <c r="B14" s="56">
        <v>6.0019699E7</v>
      </c>
      <c r="C14" s="65" t="s">
        <v>2940</v>
      </c>
      <c r="D14" s="53" t="s">
        <v>10</v>
      </c>
      <c r="E14" s="53" t="s">
        <v>2838</v>
      </c>
      <c r="F14" s="56" t="s">
        <v>394</v>
      </c>
      <c r="G14" s="66" t="s">
        <v>2941</v>
      </c>
      <c r="H14" s="62">
        <v>46357.0</v>
      </c>
      <c r="I14" s="53" t="s">
        <v>2898</v>
      </c>
      <c r="J14" s="53" t="s">
        <v>2930</v>
      </c>
      <c r="K14" s="59" t="s">
        <v>2942</v>
      </c>
      <c r="L14" s="55"/>
      <c r="M14" s="55"/>
      <c r="N14" s="53" t="s">
        <v>2871</v>
      </c>
      <c r="O14" s="53" t="s">
        <v>2943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>
      <c r="A15" s="67" t="s">
        <v>33</v>
      </c>
      <c r="B15" s="67" t="s">
        <v>33</v>
      </c>
      <c r="C15" s="68" t="s">
        <v>2944</v>
      </c>
      <c r="D15" s="53" t="s">
        <v>10</v>
      </c>
      <c r="E15" s="53" t="s">
        <v>2838</v>
      </c>
      <c r="F15" s="59" t="s">
        <v>34</v>
      </c>
      <c r="G15" s="66" t="s">
        <v>2945</v>
      </c>
      <c r="H15" s="62">
        <v>46357.0</v>
      </c>
      <c r="I15" s="53" t="s">
        <v>2898</v>
      </c>
      <c r="J15" s="53" t="s">
        <v>2930</v>
      </c>
      <c r="K15" s="53" t="s">
        <v>2946</v>
      </c>
      <c r="L15" s="55"/>
      <c r="M15" s="55"/>
      <c r="N15" s="53" t="s">
        <v>2871</v>
      </c>
      <c r="O15" s="53" t="s">
        <v>2943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>
      <c r="A16" s="67" t="s">
        <v>2429</v>
      </c>
      <c r="B16" s="65">
        <v>6.0019853E7</v>
      </c>
      <c r="C16" s="68" t="s">
        <v>2895</v>
      </c>
      <c r="D16" s="53" t="s">
        <v>1960</v>
      </c>
      <c r="E16" s="53" t="s">
        <v>2838</v>
      </c>
      <c r="F16" s="59" t="s">
        <v>2430</v>
      </c>
      <c r="G16" s="59" t="s">
        <v>2947</v>
      </c>
      <c r="H16" s="62">
        <v>46357.0</v>
      </c>
      <c r="I16" s="53" t="s">
        <v>2898</v>
      </c>
      <c r="J16" s="53" t="s">
        <v>2930</v>
      </c>
      <c r="K16" s="59" t="s">
        <v>2948</v>
      </c>
      <c r="L16" s="55"/>
      <c r="M16" s="53" t="s">
        <v>2949</v>
      </c>
      <c r="N16" s="53" t="s">
        <v>2871</v>
      </c>
      <c r="O16" s="53" t="s">
        <v>2943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>
      <c r="A17" s="53" t="s">
        <v>1713</v>
      </c>
      <c r="B17" s="53">
        <v>6.0020702E7</v>
      </c>
      <c r="C17" s="53" t="s">
        <v>2950</v>
      </c>
      <c r="D17" s="53" t="s">
        <v>10</v>
      </c>
      <c r="E17" s="53" t="s">
        <v>2838</v>
      </c>
      <c r="F17" s="53" t="s">
        <v>1714</v>
      </c>
      <c r="G17" s="66" t="s">
        <v>2951</v>
      </c>
      <c r="H17" s="53" t="s">
        <v>2952</v>
      </c>
      <c r="I17" s="53" t="s">
        <v>2898</v>
      </c>
      <c r="J17" s="53" t="s">
        <v>2930</v>
      </c>
      <c r="K17" s="53" t="s">
        <v>2953</v>
      </c>
      <c r="L17" s="55"/>
      <c r="M17" s="53" t="s">
        <v>2949</v>
      </c>
      <c r="N17" s="53" t="s">
        <v>2871</v>
      </c>
      <c r="O17" s="53" t="s">
        <v>2943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>
      <c r="A18" s="53" t="s">
        <v>2954</v>
      </c>
      <c r="B18" s="53">
        <v>6.0021847E7</v>
      </c>
      <c r="C18" s="68" t="s">
        <v>2955</v>
      </c>
      <c r="D18" s="53" t="s">
        <v>1960</v>
      </c>
      <c r="E18" s="53" t="s">
        <v>2838</v>
      </c>
      <c r="F18" s="53" t="s">
        <v>2956</v>
      </c>
      <c r="G18" s="53" t="s">
        <v>2957</v>
      </c>
      <c r="H18" s="53" t="s">
        <v>2958</v>
      </c>
      <c r="I18" s="53" t="s">
        <v>2898</v>
      </c>
      <c r="J18" s="53" t="s">
        <v>2959</v>
      </c>
      <c r="K18" s="53" t="s">
        <v>2960</v>
      </c>
      <c r="L18" s="55"/>
      <c r="M18" s="53" t="s">
        <v>2961</v>
      </c>
      <c r="N18" s="53" t="s">
        <v>2923</v>
      </c>
      <c r="O18" s="53" t="s">
        <v>2962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>
      <c r="A19" s="53" t="s">
        <v>2814</v>
      </c>
      <c r="B19" s="53">
        <v>6.0022893E7</v>
      </c>
      <c r="C19" s="53" t="s">
        <v>2924</v>
      </c>
      <c r="D19" s="53" t="s">
        <v>1960</v>
      </c>
      <c r="E19" s="53" t="s">
        <v>2838</v>
      </c>
      <c r="F19" s="53" t="s">
        <v>2813</v>
      </c>
      <c r="G19" s="53" t="s">
        <v>2963</v>
      </c>
      <c r="H19" s="53" t="s">
        <v>2964</v>
      </c>
      <c r="I19" s="53" t="s">
        <v>2898</v>
      </c>
      <c r="J19" s="53" t="s">
        <v>2930</v>
      </c>
      <c r="K19" s="53" t="s">
        <v>2965</v>
      </c>
      <c r="L19" s="53" t="s">
        <v>2966</v>
      </c>
      <c r="M19" s="53" t="s">
        <v>2967</v>
      </c>
      <c r="N19" s="53" t="s">
        <v>2847</v>
      </c>
      <c r="O19" s="53" t="s">
        <v>2968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>
      <c r="A20" s="53" t="s">
        <v>2969</v>
      </c>
      <c r="B20" s="69">
        <v>6.0019558E7</v>
      </c>
      <c r="C20" s="70" t="s">
        <v>2895</v>
      </c>
      <c r="D20" s="53" t="s">
        <v>1960</v>
      </c>
      <c r="E20" s="53" t="s">
        <v>2838</v>
      </c>
      <c r="F20" s="70" t="s">
        <v>2896</v>
      </c>
      <c r="G20" s="53" t="s">
        <v>2970</v>
      </c>
      <c r="H20" s="53" t="s">
        <v>2971</v>
      </c>
      <c r="I20" s="53" t="s">
        <v>2972</v>
      </c>
      <c r="J20" s="70" t="s">
        <v>2973</v>
      </c>
      <c r="K20" s="55"/>
      <c r="L20" s="55"/>
      <c r="M20" s="55"/>
      <c r="N20" s="53" t="s">
        <v>2871</v>
      </c>
      <c r="O20" s="55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>
      <c r="A21" s="53" t="s">
        <v>2824</v>
      </c>
      <c r="B21" s="69">
        <v>6.0020159E7</v>
      </c>
      <c r="C21" s="70" t="s">
        <v>2826</v>
      </c>
      <c r="D21" s="53" t="s">
        <v>1960</v>
      </c>
      <c r="E21" s="53" t="s">
        <v>2838</v>
      </c>
      <c r="F21" s="70" t="s">
        <v>2825</v>
      </c>
      <c r="G21" s="53" t="s">
        <v>2974</v>
      </c>
      <c r="H21" s="53" t="s">
        <v>2971</v>
      </c>
      <c r="I21" s="53" t="s">
        <v>2975</v>
      </c>
      <c r="J21" s="53" t="s">
        <v>2930</v>
      </c>
      <c r="K21" s="55"/>
      <c r="L21" s="55"/>
      <c r="M21" s="55"/>
      <c r="N21" s="53" t="s">
        <v>2871</v>
      </c>
      <c r="O21" s="55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>
      <c r="A22" s="53" t="s">
        <v>2976</v>
      </c>
      <c r="B22" s="53">
        <v>6.0021728E7</v>
      </c>
      <c r="C22" s="70" t="s">
        <v>2977</v>
      </c>
      <c r="D22" s="53" t="s">
        <v>1960</v>
      </c>
      <c r="E22" s="53" t="s">
        <v>2838</v>
      </c>
      <c r="F22" s="53" t="s">
        <v>2978</v>
      </c>
      <c r="G22" s="53" t="s">
        <v>2957</v>
      </c>
      <c r="H22" s="53" t="s">
        <v>2979</v>
      </c>
      <c r="I22" s="53" t="s">
        <v>2898</v>
      </c>
      <c r="J22" s="53" t="s">
        <v>2930</v>
      </c>
      <c r="K22" s="53" t="s">
        <v>2980</v>
      </c>
      <c r="L22" s="53" t="s">
        <v>2981</v>
      </c>
      <c r="M22" s="53" t="s">
        <v>2982</v>
      </c>
      <c r="N22" s="53" t="s">
        <v>2983</v>
      </c>
      <c r="O22" s="55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>
      <c r="A23" s="53" t="s">
        <v>2984</v>
      </c>
      <c r="B23" s="53" t="s">
        <v>207</v>
      </c>
      <c r="C23" s="53" t="s">
        <v>2985</v>
      </c>
      <c r="D23" s="53" t="s">
        <v>10</v>
      </c>
      <c r="E23" s="53" t="s">
        <v>2838</v>
      </c>
      <c r="F23" s="53" t="s">
        <v>208</v>
      </c>
      <c r="G23" s="53" t="s">
        <v>2986</v>
      </c>
      <c r="H23" s="53" t="s">
        <v>2987</v>
      </c>
      <c r="I23" s="53" t="s">
        <v>2842</v>
      </c>
      <c r="J23" s="53" t="s">
        <v>2930</v>
      </c>
      <c r="K23" s="53" t="s">
        <v>2988</v>
      </c>
      <c r="L23" s="53" t="s">
        <v>2989</v>
      </c>
      <c r="M23" s="53" t="s">
        <v>2990</v>
      </c>
      <c r="N23" s="53" t="s">
        <v>2847</v>
      </c>
      <c r="O23" s="53" t="s">
        <v>2991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>
      <c r="A24" s="71" t="s">
        <v>2406</v>
      </c>
      <c r="B24" s="72" t="s">
        <v>2407</v>
      </c>
      <c r="C24" s="70" t="s">
        <v>2992</v>
      </c>
      <c r="D24" s="53" t="s">
        <v>1960</v>
      </c>
      <c r="E24" s="53" t="s">
        <v>2838</v>
      </c>
      <c r="F24" s="70" t="s">
        <v>2993</v>
      </c>
      <c r="G24" s="18" t="s">
        <v>2994</v>
      </c>
      <c r="H24" s="53" t="s">
        <v>2995</v>
      </c>
      <c r="I24" s="53" t="s">
        <v>2842</v>
      </c>
      <c r="J24" s="53" t="s">
        <v>2996</v>
      </c>
      <c r="K24" s="53" t="s">
        <v>2997</v>
      </c>
      <c r="L24" s="53" t="s">
        <v>2998</v>
      </c>
      <c r="M24" s="55"/>
      <c r="N24" s="53" t="s">
        <v>2871</v>
      </c>
      <c r="O24" s="53" t="s">
        <v>2999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>
      <c r="A25" s="55"/>
      <c r="B25" s="73" t="s">
        <v>2263</v>
      </c>
      <c r="C25" s="8" t="s">
        <v>2159</v>
      </c>
      <c r="D25" s="53" t="s">
        <v>1960</v>
      </c>
      <c r="E25" s="53" t="s">
        <v>2838</v>
      </c>
      <c r="F25" s="8" t="s">
        <v>2264</v>
      </c>
      <c r="G25" s="8" t="s">
        <v>3000</v>
      </c>
      <c r="H25" s="54">
        <v>46114.0</v>
      </c>
      <c r="I25" s="53" t="s">
        <v>2842</v>
      </c>
      <c r="J25" s="55"/>
      <c r="K25" s="70" t="s">
        <v>3001</v>
      </c>
      <c r="L25" s="53" t="s">
        <v>3002</v>
      </c>
      <c r="M25" s="53" t="s">
        <v>3003</v>
      </c>
      <c r="N25" s="53" t="s">
        <v>2879</v>
      </c>
      <c r="O25" s="55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>
      <c r="A26" s="53" t="s">
        <v>504</v>
      </c>
      <c r="B26" s="53" t="s">
        <v>505</v>
      </c>
      <c r="C26" s="53" t="s">
        <v>3004</v>
      </c>
      <c r="D26" s="53" t="s">
        <v>10</v>
      </c>
      <c r="E26" s="53" t="s">
        <v>2838</v>
      </c>
      <c r="F26" s="53" t="s">
        <v>506</v>
      </c>
      <c r="G26" s="53" t="s">
        <v>2945</v>
      </c>
      <c r="H26" s="54">
        <v>46114.0</v>
      </c>
      <c r="I26" s="53" t="s">
        <v>2842</v>
      </c>
      <c r="J26" s="53" t="s">
        <v>2996</v>
      </c>
      <c r="K26" s="53" t="s">
        <v>3005</v>
      </c>
      <c r="L26" s="53" t="s">
        <v>3006</v>
      </c>
      <c r="M26" s="53" t="s">
        <v>3007</v>
      </c>
      <c r="N26" s="53" t="s">
        <v>2894</v>
      </c>
      <c r="O26" s="55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>
      <c r="A27" s="53" t="s">
        <v>498</v>
      </c>
      <c r="B27" s="53" t="s">
        <v>499</v>
      </c>
      <c r="C27" s="53" t="s">
        <v>3004</v>
      </c>
      <c r="D27" s="53" t="s">
        <v>10</v>
      </c>
      <c r="E27" s="53" t="s">
        <v>2838</v>
      </c>
      <c r="F27" s="53" t="s">
        <v>500</v>
      </c>
      <c r="G27" s="53" t="s">
        <v>3008</v>
      </c>
      <c r="H27" s="54">
        <v>46114.0</v>
      </c>
      <c r="I27" s="53" t="s">
        <v>2842</v>
      </c>
      <c r="J27" s="53" t="s">
        <v>2996</v>
      </c>
      <c r="K27" s="53" t="s">
        <v>3009</v>
      </c>
      <c r="L27" s="53" t="s">
        <v>3010</v>
      </c>
      <c r="M27" s="53" t="s">
        <v>3007</v>
      </c>
      <c r="N27" s="53" t="s">
        <v>2894</v>
      </c>
      <c r="O27" s="55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>
      <c r="A28" s="53" t="s">
        <v>492</v>
      </c>
      <c r="B28" s="53" t="s">
        <v>493</v>
      </c>
      <c r="C28" s="53" t="s">
        <v>3004</v>
      </c>
      <c r="D28" s="53" t="s">
        <v>10</v>
      </c>
      <c r="E28" s="53" t="s">
        <v>2838</v>
      </c>
      <c r="F28" s="53" t="s">
        <v>494</v>
      </c>
      <c r="G28" s="53" t="s">
        <v>3011</v>
      </c>
      <c r="H28" s="54">
        <v>46114.0</v>
      </c>
      <c r="I28" s="53" t="s">
        <v>3012</v>
      </c>
      <c r="J28" s="53" t="s">
        <v>3013</v>
      </c>
      <c r="K28" s="53" t="s">
        <v>3014</v>
      </c>
      <c r="L28" s="53" t="s">
        <v>3015</v>
      </c>
      <c r="M28" s="53" t="s">
        <v>3007</v>
      </c>
      <c r="N28" s="53" t="s">
        <v>2894</v>
      </c>
      <c r="O28" s="55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>
      <c r="A29" s="70" t="s">
        <v>2553</v>
      </c>
      <c r="B29" s="69" t="s">
        <v>2553</v>
      </c>
      <c r="C29" s="70" t="s">
        <v>3016</v>
      </c>
      <c r="D29" s="53" t="s">
        <v>1960</v>
      </c>
      <c r="E29" s="53" t="s">
        <v>2838</v>
      </c>
      <c r="F29" s="70" t="s">
        <v>2552</v>
      </c>
      <c r="G29" s="53" t="s">
        <v>2929</v>
      </c>
      <c r="H29" s="54">
        <v>46114.0</v>
      </c>
      <c r="I29" s="53" t="s">
        <v>2842</v>
      </c>
      <c r="J29" s="53" t="s">
        <v>2996</v>
      </c>
      <c r="K29" s="70" t="s">
        <v>3017</v>
      </c>
      <c r="L29" s="53" t="s">
        <v>3018</v>
      </c>
      <c r="M29" s="74" t="s">
        <v>3019</v>
      </c>
      <c r="N29" s="53" t="s">
        <v>2894</v>
      </c>
      <c r="O29" s="55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>
      <c r="A30" s="70" t="s">
        <v>786</v>
      </c>
      <c r="B30" s="69" t="s">
        <v>786</v>
      </c>
      <c r="C30" s="70" t="s">
        <v>3020</v>
      </c>
      <c r="D30" s="53" t="s">
        <v>10</v>
      </c>
      <c r="E30" s="53" t="s">
        <v>2838</v>
      </c>
      <c r="F30" s="70" t="s">
        <v>787</v>
      </c>
      <c r="G30" s="75" t="s">
        <v>3021</v>
      </c>
      <c r="H30" s="53" t="s">
        <v>3022</v>
      </c>
      <c r="I30" s="53" t="s">
        <v>2842</v>
      </c>
      <c r="J30" s="55"/>
      <c r="K30" s="53" t="s">
        <v>3023</v>
      </c>
      <c r="L30" s="53" t="s">
        <v>3024</v>
      </c>
      <c r="M30" s="74" t="s">
        <v>3025</v>
      </c>
      <c r="N30" s="53" t="s">
        <v>2871</v>
      </c>
      <c r="O30" s="55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>
      <c r="A31" s="55"/>
      <c r="B31" s="53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>
      <c r="A32" s="55"/>
      <c r="B32" s="53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>
      <c r="A33" s="55"/>
      <c r="B33" s="53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55"/>
      <c r="B34" s="53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>
      <c r="A35" s="55"/>
      <c r="B35" s="53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>
      <c r="A36" s="55"/>
      <c r="B36" s="53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>
      <c r="A37" s="55"/>
      <c r="B37" s="53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>
      <c r="A38" s="55"/>
      <c r="B38" s="53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>
      <c r="A39" s="55"/>
      <c r="B39" s="53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>
      <c r="A40" s="55"/>
      <c r="B40" s="53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>
      <c r="A41" s="55"/>
      <c r="B41" s="53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>
      <c r="A42" s="55"/>
      <c r="B42" s="53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>
      <c r="A43" s="55"/>
      <c r="B43" s="53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>
      <c r="A44" s="55"/>
      <c r="B44" s="53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>
      <c r="A45" s="55"/>
      <c r="B45" s="53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>
      <c r="A46" s="55"/>
      <c r="B46" s="53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>
      <c r="A47" s="55"/>
      <c r="B47" s="53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>
      <c r="A48" s="55"/>
      <c r="B48" s="53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>
      <c r="A49" s="55"/>
      <c r="B49" s="53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>
      <c r="A50" s="55"/>
      <c r="B50" s="53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>
      <c r="A51" s="55"/>
      <c r="B51" s="53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>
      <c r="A52" s="55"/>
      <c r="B52" s="53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>
      <c r="A53" s="55"/>
      <c r="B53" s="53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</row>
    <row r="54">
      <c r="A54" s="55"/>
      <c r="B54" s="53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>
      <c r="A55" s="55"/>
      <c r="B55" s="53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>
      <c r="A56" s="55"/>
      <c r="B56" s="53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</row>
    <row r="57">
      <c r="A57" s="55"/>
      <c r="B57" s="53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</row>
    <row r="58">
      <c r="A58" s="55"/>
      <c r="B58" s="53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</row>
    <row r="59">
      <c r="A59" s="55"/>
      <c r="B59" s="53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</row>
    <row r="60">
      <c r="A60" s="55"/>
      <c r="B60" s="53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</row>
    <row r="61">
      <c r="A61" s="55"/>
      <c r="B61" s="53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</row>
    <row r="62">
      <c r="A62" s="55"/>
      <c r="B62" s="53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</row>
    <row r="63">
      <c r="A63" s="55"/>
      <c r="B63" s="53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</row>
    <row r="64">
      <c r="A64" s="55"/>
      <c r="B64" s="53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</row>
    <row r="65">
      <c r="A65" s="55"/>
      <c r="B65" s="53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</row>
    <row r="66">
      <c r="A66" s="55"/>
      <c r="B66" s="53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>
      <c r="A67" s="55"/>
      <c r="B67" s="53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</row>
    <row r="68">
      <c r="A68" s="55"/>
      <c r="B68" s="53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>
      <c r="A69" s="55"/>
      <c r="B69" s="53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>
      <c r="A70" s="55"/>
      <c r="B70" s="53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>
      <c r="A71" s="55"/>
      <c r="B71" s="53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</row>
    <row r="72">
      <c r="A72" s="55"/>
      <c r="B72" s="53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>
      <c r="A73" s="55"/>
      <c r="B73" s="53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</row>
    <row r="74">
      <c r="A74" s="55"/>
      <c r="B74" s="53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>
      <c r="A75" s="55"/>
      <c r="B75" s="53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>
      <c r="A76" s="55"/>
      <c r="B76" s="53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>
      <c r="A77" s="55"/>
      <c r="B77" s="53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>
      <c r="A78" s="55"/>
      <c r="B78" s="53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  <row r="79">
      <c r="A79" s="55"/>
      <c r="B79" s="53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</row>
    <row r="80">
      <c r="A80" s="55"/>
      <c r="B80" s="53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</row>
    <row r="81">
      <c r="A81" s="55"/>
      <c r="B81" s="53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</row>
    <row r="82">
      <c r="A82" s="55"/>
      <c r="B82" s="53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</row>
    <row r="83">
      <c r="A83" s="55"/>
      <c r="B83" s="53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</row>
    <row r="84">
      <c r="A84" s="55"/>
      <c r="B84" s="53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</row>
    <row r="85">
      <c r="A85" s="55"/>
      <c r="B85" s="53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</row>
    <row r="86">
      <c r="A86" s="55"/>
      <c r="B86" s="53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</row>
    <row r="87">
      <c r="A87" s="55"/>
      <c r="B87" s="53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</row>
    <row r="88">
      <c r="A88" s="55"/>
      <c r="B88" s="53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</row>
    <row r="89">
      <c r="A89" s="55"/>
      <c r="B89" s="53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</row>
    <row r="90">
      <c r="A90" s="55"/>
      <c r="B90" s="53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</row>
    <row r="91">
      <c r="A91" s="55"/>
      <c r="B91" s="53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</row>
    <row r="92">
      <c r="A92" s="55"/>
      <c r="B92" s="53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</row>
    <row r="93">
      <c r="A93" s="55"/>
      <c r="B93" s="53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</row>
    <row r="94">
      <c r="A94" s="55"/>
      <c r="B94" s="53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</row>
    <row r="95">
      <c r="A95" s="55"/>
      <c r="B95" s="53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</row>
    <row r="96">
      <c r="A96" s="55"/>
      <c r="B96" s="53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</row>
    <row r="97">
      <c r="A97" s="55"/>
      <c r="B97" s="53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</row>
    <row r="98">
      <c r="A98" s="55"/>
      <c r="B98" s="53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</row>
    <row r="99">
      <c r="A99" s="55"/>
      <c r="B99" s="53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</row>
    <row r="100">
      <c r="A100" s="55"/>
      <c r="B100" s="53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</row>
    <row r="101">
      <c r="A101" s="55"/>
      <c r="B101" s="53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</row>
    <row r="102">
      <c r="A102" s="55"/>
      <c r="B102" s="53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</row>
    <row r="103">
      <c r="A103" s="55"/>
      <c r="B103" s="53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</row>
    <row r="104">
      <c r="A104" s="55"/>
      <c r="B104" s="53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</row>
    <row r="105">
      <c r="A105" s="55"/>
      <c r="B105" s="53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</row>
    <row r="106">
      <c r="A106" s="55"/>
      <c r="B106" s="53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</row>
    <row r="107">
      <c r="A107" s="55"/>
      <c r="B107" s="53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</row>
    <row r="108">
      <c r="A108" s="55"/>
      <c r="B108" s="53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</row>
    <row r="109">
      <c r="A109" s="55"/>
      <c r="B109" s="53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</row>
    <row r="110">
      <c r="A110" s="55"/>
      <c r="B110" s="53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</row>
    <row r="111">
      <c r="A111" s="55"/>
      <c r="B111" s="53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</row>
    <row r="112">
      <c r="A112" s="55"/>
      <c r="B112" s="53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</row>
    <row r="113">
      <c r="A113" s="55"/>
      <c r="B113" s="53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</row>
    <row r="114">
      <c r="A114" s="55"/>
      <c r="B114" s="53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</row>
    <row r="115">
      <c r="A115" s="55"/>
      <c r="B115" s="53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</row>
    <row r="116">
      <c r="A116" s="55"/>
      <c r="B116" s="53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</row>
    <row r="117">
      <c r="A117" s="55"/>
      <c r="B117" s="53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</row>
    <row r="118">
      <c r="A118" s="55"/>
      <c r="B118" s="53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</row>
    <row r="119">
      <c r="A119" s="55"/>
      <c r="B119" s="53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</row>
    <row r="120">
      <c r="A120" s="55"/>
      <c r="B120" s="53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</row>
    <row r="121">
      <c r="A121" s="55"/>
      <c r="B121" s="53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</row>
    <row r="122">
      <c r="A122" s="55"/>
      <c r="B122" s="53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</row>
    <row r="123">
      <c r="A123" s="55"/>
      <c r="B123" s="53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</row>
    <row r="124">
      <c r="A124" s="55"/>
      <c r="B124" s="53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</row>
    <row r="125">
      <c r="A125" s="55"/>
      <c r="B125" s="53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</row>
    <row r="126">
      <c r="A126" s="55"/>
      <c r="B126" s="53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</row>
    <row r="127">
      <c r="A127" s="55"/>
      <c r="B127" s="53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</row>
    <row r="128">
      <c r="A128" s="55"/>
      <c r="B128" s="53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</row>
    <row r="129">
      <c r="A129" s="55"/>
      <c r="B129" s="53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</row>
    <row r="130">
      <c r="A130" s="55"/>
      <c r="B130" s="53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>
      <c r="A131" s="55"/>
      <c r="B131" s="53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</row>
    <row r="132">
      <c r="A132" s="55"/>
      <c r="B132" s="53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</row>
    <row r="133">
      <c r="A133" s="55"/>
      <c r="B133" s="53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>
      <c r="A134" s="55"/>
      <c r="B134" s="53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</row>
    <row r="135">
      <c r="A135" s="55"/>
      <c r="B135" s="53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</row>
    <row r="136">
      <c r="A136" s="55"/>
      <c r="B136" s="53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</row>
    <row r="137">
      <c r="A137" s="55"/>
      <c r="B137" s="53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</row>
    <row r="138">
      <c r="A138" s="55"/>
      <c r="B138" s="53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</row>
    <row r="139">
      <c r="A139" s="55"/>
      <c r="B139" s="53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</row>
    <row r="140">
      <c r="A140" s="55"/>
      <c r="B140" s="53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</row>
    <row r="141">
      <c r="A141" s="55"/>
      <c r="B141" s="53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</row>
    <row r="142">
      <c r="A142" s="55"/>
      <c r="B142" s="53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</row>
    <row r="143">
      <c r="A143" s="55"/>
      <c r="B143" s="53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</row>
    <row r="144">
      <c r="A144" s="55"/>
      <c r="B144" s="53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</row>
    <row r="145">
      <c r="A145" s="55"/>
      <c r="B145" s="53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</row>
    <row r="146">
      <c r="A146" s="55"/>
      <c r="B146" s="53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</row>
    <row r="147">
      <c r="A147" s="55"/>
      <c r="B147" s="53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</row>
    <row r="148">
      <c r="A148" s="55"/>
      <c r="B148" s="53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</row>
    <row r="149">
      <c r="A149" s="55"/>
      <c r="B149" s="53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</row>
    <row r="150">
      <c r="A150" s="55"/>
      <c r="B150" s="53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</row>
    <row r="151">
      <c r="A151" s="55"/>
      <c r="B151" s="53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</row>
    <row r="152">
      <c r="A152" s="55"/>
      <c r="B152" s="53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</row>
    <row r="153">
      <c r="A153" s="55"/>
      <c r="B153" s="53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</row>
    <row r="154">
      <c r="A154" s="55"/>
      <c r="B154" s="53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</row>
    <row r="155">
      <c r="A155" s="55"/>
      <c r="B155" s="53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</row>
    <row r="156">
      <c r="A156" s="55"/>
      <c r="B156" s="53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</row>
    <row r="157">
      <c r="A157" s="55"/>
      <c r="B157" s="53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</row>
    <row r="158">
      <c r="A158" s="55"/>
      <c r="B158" s="53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</row>
    <row r="159">
      <c r="A159" s="55"/>
      <c r="B159" s="53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</row>
    <row r="160">
      <c r="A160" s="55"/>
      <c r="B160" s="53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</row>
    <row r="161">
      <c r="A161" s="55"/>
      <c r="B161" s="53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</row>
    <row r="162">
      <c r="A162" s="55"/>
      <c r="B162" s="53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</row>
    <row r="163">
      <c r="A163" s="55"/>
      <c r="B163" s="53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</row>
    <row r="164">
      <c r="A164" s="55"/>
      <c r="B164" s="53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</row>
    <row r="165">
      <c r="A165" s="55"/>
      <c r="B165" s="53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</row>
    <row r="166">
      <c r="A166" s="55"/>
      <c r="B166" s="53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</row>
    <row r="167">
      <c r="A167" s="55"/>
      <c r="B167" s="53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</row>
    <row r="168">
      <c r="A168" s="55"/>
      <c r="B168" s="53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</row>
    <row r="169">
      <c r="A169" s="55"/>
      <c r="B169" s="53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</row>
    <row r="170">
      <c r="A170" s="55"/>
      <c r="B170" s="53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</row>
    <row r="171">
      <c r="A171" s="55"/>
      <c r="B171" s="53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</row>
    <row r="172">
      <c r="A172" s="55"/>
      <c r="B172" s="53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</row>
    <row r="173">
      <c r="A173" s="55"/>
      <c r="B173" s="53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</row>
    <row r="174">
      <c r="A174" s="55"/>
      <c r="B174" s="53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</row>
    <row r="175">
      <c r="A175" s="55"/>
      <c r="B175" s="53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</row>
    <row r="176">
      <c r="A176" s="55"/>
      <c r="B176" s="53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</row>
    <row r="177">
      <c r="A177" s="55"/>
      <c r="B177" s="53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</row>
    <row r="178">
      <c r="A178" s="55"/>
      <c r="B178" s="53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</row>
    <row r="179">
      <c r="A179" s="55"/>
      <c r="B179" s="53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</row>
    <row r="180">
      <c r="A180" s="55"/>
      <c r="B180" s="53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</row>
    <row r="181">
      <c r="A181" s="55"/>
      <c r="B181" s="53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</row>
    <row r="182">
      <c r="A182" s="55"/>
      <c r="B182" s="53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</row>
    <row r="183">
      <c r="A183" s="55"/>
      <c r="B183" s="53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</row>
    <row r="184">
      <c r="A184" s="55"/>
      <c r="B184" s="53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</row>
    <row r="185">
      <c r="A185" s="55"/>
      <c r="B185" s="53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</row>
    <row r="186">
      <c r="A186" s="55"/>
      <c r="B186" s="53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</row>
    <row r="187">
      <c r="A187" s="55"/>
      <c r="B187" s="53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</row>
    <row r="188">
      <c r="A188" s="55"/>
      <c r="B188" s="53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</row>
    <row r="189">
      <c r="A189" s="55"/>
      <c r="B189" s="53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</row>
    <row r="190">
      <c r="A190" s="55"/>
      <c r="B190" s="53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</row>
    <row r="191">
      <c r="A191" s="55"/>
      <c r="B191" s="53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</row>
    <row r="192">
      <c r="A192" s="55"/>
      <c r="B192" s="53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</row>
    <row r="193">
      <c r="A193" s="55"/>
      <c r="B193" s="53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</row>
    <row r="194">
      <c r="A194" s="55"/>
      <c r="B194" s="53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</row>
    <row r="195">
      <c r="A195" s="55"/>
      <c r="B195" s="53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</row>
    <row r="196">
      <c r="A196" s="55"/>
      <c r="B196" s="53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</row>
    <row r="197">
      <c r="A197" s="55"/>
      <c r="B197" s="53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</row>
    <row r="198">
      <c r="A198" s="55"/>
      <c r="B198" s="53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</row>
    <row r="199">
      <c r="A199" s="55"/>
      <c r="B199" s="53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</row>
    <row r="200">
      <c r="A200" s="55"/>
      <c r="B200" s="53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</row>
    <row r="201">
      <c r="A201" s="55"/>
      <c r="B201" s="53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</row>
    <row r="202">
      <c r="A202" s="55"/>
      <c r="B202" s="53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</row>
    <row r="203">
      <c r="A203" s="55"/>
      <c r="B203" s="53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</row>
    <row r="204">
      <c r="A204" s="55"/>
      <c r="B204" s="53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</row>
    <row r="205">
      <c r="A205" s="55"/>
      <c r="B205" s="53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</row>
    <row r="206">
      <c r="A206" s="55"/>
      <c r="B206" s="53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</row>
    <row r="207">
      <c r="A207" s="55"/>
      <c r="B207" s="53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</row>
    <row r="208">
      <c r="A208" s="55"/>
      <c r="B208" s="53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</row>
    <row r="209">
      <c r="A209" s="55"/>
      <c r="B209" s="53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</row>
    <row r="210">
      <c r="A210" s="55"/>
      <c r="B210" s="53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</row>
    <row r="211">
      <c r="A211" s="55"/>
      <c r="B211" s="53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</row>
    <row r="212">
      <c r="A212" s="55"/>
      <c r="B212" s="53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</row>
    <row r="213">
      <c r="A213" s="55"/>
      <c r="B213" s="53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</row>
    <row r="214">
      <c r="A214" s="55"/>
      <c r="B214" s="53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</row>
    <row r="215">
      <c r="A215" s="55"/>
      <c r="B215" s="53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</row>
    <row r="216">
      <c r="A216" s="55"/>
      <c r="B216" s="53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</row>
    <row r="217">
      <c r="A217" s="55"/>
      <c r="B217" s="53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</row>
    <row r="218">
      <c r="A218" s="55"/>
      <c r="B218" s="53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</row>
    <row r="219">
      <c r="A219" s="55"/>
      <c r="B219" s="53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</row>
    <row r="220">
      <c r="A220" s="55"/>
      <c r="B220" s="53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</row>
    <row r="221">
      <c r="A221" s="55"/>
      <c r="B221" s="53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</row>
    <row r="222">
      <c r="A222" s="55"/>
      <c r="B222" s="53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</row>
    <row r="223">
      <c r="A223" s="55"/>
      <c r="B223" s="53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</row>
    <row r="224">
      <c r="A224" s="55"/>
      <c r="B224" s="53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</row>
    <row r="225">
      <c r="A225" s="55"/>
      <c r="B225" s="53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</row>
    <row r="226">
      <c r="A226" s="55"/>
      <c r="B226" s="53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</row>
    <row r="227">
      <c r="A227" s="55"/>
      <c r="B227" s="53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</row>
    <row r="228">
      <c r="A228" s="55"/>
      <c r="B228" s="53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</row>
    <row r="229">
      <c r="A229" s="55"/>
      <c r="B229" s="53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</row>
    <row r="230">
      <c r="A230" s="55"/>
      <c r="B230" s="53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</row>
    <row r="231">
      <c r="A231" s="55"/>
      <c r="B231" s="53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</row>
    <row r="232">
      <c r="A232" s="55"/>
      <c r="B232" s="53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</row>
    <row r="233">
      <c r="A233" s="55"/>
      <c r="B233" s="53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</row>
    <row r="234">
      <c r="A234" s="55"/>
      <c r="B234" s="53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</row>
    <row r="235">
      <c r="A235" s="55"/>
      <c r="B235" s="53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</row>
    <row r="236">
      <c r="A236" s="55"/>
      <c r="B236" s="53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</row>
    <row r="237">
      <c r="A237" s="55"/>
      <c r="B237" s="53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</row>
    <row r="238">
      <c r="A238" s="55"/>
      <c r="B238" s="53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</row>
    <row r="239">
      <c r="A239" s="55"/>
      <c r="B239" s="53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</row>
    <row r="240">
      <c r="A240" s="55"/>
      <c r="B240" s="53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</row>
    <row r="241">
      <c r="A241" s="55"/>
      <c r="B241" s="53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</row>
    <row r="242">
      <c r="A242" s="55"/>
      <c r="B242" s="53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</row>
    <row r="243">
      <c r="A243" s="55"/>
      <c r="B243" s="53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</row>
    <row r="244">
      <c r="A244" s="55"/>
      <c r="B244" s="53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</row>
    <row r="245">
      <c r="A245" s="55"/>
      <c r="B245" s="53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</row>
    <row r="246">
      <c r="A246" s="55"/>
      <c r="B246" s="53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</row>
    <row r="247">
      <c r="A247" s="55"/>
      <c r="B247" s="53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</row>
    <row r="248">
      <c r="A248" s="55"/>
      <c r="B248" s="53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</row>
    <row r="249">
      <c r="A249" s="55"/>
      <c r="B249" s="53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</row>
    <row r="250">
      <c r="A250" s="55"/>
      <c r="B250" s="53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</row>
    <row r="251">
      <c r="A251" s="55"/>
      <c r="B251" s="53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</row>
    <row r="252">
      <c r="A252" s="55"/>
      <c r="B252" s="53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</row>
    <row r="253">
      <c r="A253" s="55"/>
      <c r="B253" s="53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</row>
    <row r="254">
      <c r="A254" s="55"/>
      <c r="B254" s="53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</row>
    <row r="255">
      <c r="A255" s="55"/>
      <c r="B255" s="53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</row>
    <row r="256">
      <c r="A256" s="55"/>
      <c r="B256" s="53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</row>
    <row r="257">
      <c r="A257" s="55"/>
      <c r="B257" s="53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</row>
    <row r="258">
      <c r="A258" s="52"/>
      <c r="B258" s="76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</row>
    <row r="259">
      <c r="A259" s="52"/>
      <c r="B259" s="76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</row>
    <row r="260">
      <c r="A260" s="52"/>
      <c r="B260" s="76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</row>
    <row r="261">
      <c r="A261" s="52"/>
      <c r="B261" s="76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</row>
    <row r="262">
      <c r="A262" s="52"/>
      <c r="B262" s="76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</row>
    <row r="263">
      <c r="A263" s="52"/>
      <c r="B263" s="76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</row>
    <row r="264">
      <c r="A264" s="52"/>
      <c r="B264" s="76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</row>
    <row r="265">
      <c r="A265" s="52"/>
      <c r="B265" s="76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</row>
    <row r="266">
      <c r="A266" s="52"/>
      <c r="B266" s="76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</row>
    <row r="267">
      <c r="A267" s="52"/>
      <c r="B267" s="76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</row>
    <row r="268">
      <c r="A268" s="52"/>
      <c r="B268" s="76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</row>
    <row r="269">
      <c r="A269" s="52"/>
      <c r="B269" s="76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</row>
    <row r="270">
      <c r="A270" s="52"/>
      <c r="B270" s="76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</row>
    <row r="271">
      <c r="A271" s="52"/>
      <c r="B271" s="76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</row>
    <row r="272">
      <c r="A272" s="52"/>
      <c r="B272" s="76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</row>
    <row r="273">
      <c r="A273" s="52"/>
      <c r="B273" s="76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</row>
    <row r="274">
      <c r="A274" s="52"/>
      <c r="B274" s="76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</row>
    <row r="275">
      <c r="A275" s="52"/>
      <c r="B275" s="76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</row>
    <row r="276">
      <c r="A276" s="52"/>
      <c r="B276" s="76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</row>
    <row r="277">
      <c r="A277" s="52"/>
      <c r="B277" s="76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</row>
    <row r="278">
      <c r="A278" s="52"/>
      <c r="B278" s="76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</row>
    <row r="279">
      <c r="A279" s="52"/>
      <c r="B279" s="76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</row>
    <row r="280">
      <c r="A280" s="52"/>
      <c r="B280" s="76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</row>
    <row r="281">
      <c r="A281" s="52"/>
      <c r="B281" s="76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</row>
    <row r="282">
      <c r="A282" s="52"/>
      <c r="B282" s="76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</row>
    <row r="283">
      <c r="A283" s="52"/>
      <c r="B283" s="76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</row>
    <row r="284">
      <c r="A284" s="52"/>
      <c r="B284" s="76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</row>
    <row r="285">
      <c r="A285" s="52"/>
      <c r="B285" s="76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</row>
    <row r="286">
      <c r="A286" s="52"/>
      <c r="B286" s="76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</row>
    <row r="287">
      <c r="A287" s="52"/>
      <c r="B287" s="76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</row>
    <row r="288">
      <c r="A288" s="52"/>
      <c r="B288" s="76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</row>
    <row r="289">
      <c r="A289" s="52"/>
      <c r="B289" s="76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</row>
    <row r="290">
      <c r="A290" s="52"/>
      <c r="B290" s="76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</row>
    <row r="291">
      <c r="A291" s="52"/>
      <c r="B291" s="76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</row>
    <row r="292">
      <c r="A292" s="52"/>
      <c r="B292" s="76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</row>
    <row r="293">
      <c r="A293" s="52"/>
      <c r="B293" s="76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</row>
    <row r="294">
      <c r="A294" s="52"/>
      <c r="B294" s="76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</row>
    <row r="295">
      <c r="A295" s="52"/>
      <c r="B295" s="76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</row>
    <row r="296">
      <c r="A296" s="52"/>
      <c r="B296" s="76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</row>
    <row r="297">
      <c r="A297" s="52"/>
      <c r="B297" s="76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</row>
    <row r="298">
      <c r="A298" s="52"/>
      <c r="B298" s="76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</row>
    <row r="299">
      <c r="A299" s="52"/>
      <c r="B299" s="76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</row>
    <row r="300">
      <c r="A300" s="52"/>
      <c r="B300" s="76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</row>
    <row r="301">
      <c r="A301" s="52"/>
      <c r="B301" s="76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</row>
    <row r="302">
      <c r="A302" s="52"/>
      <c r="B302" s="76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</row>
    <row r="303">
      <c r="A303" s="52"/>
      <c r="B303" s="76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</row>
    <row r="304">
      <c r="A304" s="52"/>
      <c r="B304" s="76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</row>
    <row r="305">
      <c r="A305" s="52"/>
      <c r="B305" s="76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</row>
    <row r="306">
      <c r="A306" s="52"/>
      <c r="B306" s="76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</row>
    <row r="307">
      <c r="A307" s="52"/>
      <c r="B307" s="76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</row>
    <row r="308">
      <c r="A308" s="52"/>
      <c r="B308" s="76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</row>
    <row r="309">
      <c r="A309" s="52"/>
      <c r="B309" s="76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</row>
    <row r="310">
      <c r="A310" s="52"/>
      <c r="B310" s="76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</row>
    <row r="311">
      <c r="A311" s="52"/>
      <c r="B311" s="76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</row>
    <row r="312">
      <c r="A312" s="52"/>
      <c r="B312" s="76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</row>
    <row r="313">
      <c r="A313" s="52"/>
      <c r="B313" s="76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</row>
    <row r="314">
      <c r="A314" s="52"/>
      <c r="B314" s="76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</row>
    <row r="315">
      <c r="A315" s="52"/>
      <c r="B315" s="76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</row>
    <row r="316">
      <c r="A316" s="52"/>
      <c r="B316" s="76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</row>
    <row r="317">
      <c r="A317" s="52"/>
      <c r="B317" s="76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</row>
    <row r="318">
      <c r="A318" s="52"/>
      <c r="B318" s="76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</row>
    <row r="319">
      <c r="A319" s="52"/>
      <c r="B319" s="76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</row>
    <row r="320">
      <c r="A320" s="52"/>
      <c r="B320" s="76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</row>
    <row r="321">
      <c r="A321" s="52"/>
      <c r="B321" s="76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</row>
    <row r="322">
      <c r="A322" s="52"/>
      <c r="B322" s="76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</row>
    <row r="323">
      <c r="A323" s="52"/>
      <c r="B323" s="76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</row>
    <row r="324">
      <c r="A324" s="52"/>
      <c r="B324" s="76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</row>
    <row r="325">
      <c r="A325" s="52"/>
      <c r="B325" s="76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</row>
    <row r="326">
      <c r="A326" s="52"/>
      <c r="B326" s="76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</row>
    <row r="327">
      <c r="A327" s="52"/>
      <c r="B327" s="76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</row>
    <row r="328">
      <c r="A328" s="52"/>
      <c r="B328" s="76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</row>
    <row r="329">
      <c r="A329" s="52"/>
      <c r="B329" s="76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</row>
    <row r="330">
      <c r="A330" s="52"/>
      <c r="B330" s="76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</row>
    <row r="331">
      <c r="A331" s="52"/>
      <c r="B331" s="76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</row>
    <row r="332">
      <c r="A332" s="52"/>
      <c r="B332" s="76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</row>
    <row r="333">
      <c r="A333" s="52"/>
      <c r="B333" s="76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</row>
    <row r="334">
      <c r="A334" s="52"/>
      <c r="B334" s="76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</row>
    <row r="335">
      <c r="A335" s="52"/>
      <c r="B335" s="76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</row>
    <row r="336">
      <c r="A336" s="52"/>
      <c r="B336" s="76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</row>
    <row r="337">
      <c r="A337" s="52"/>
      <c r="B337" s="76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</row>
    <row r="338">
      <c r="A338" s="52"/>
      <c r="B338" s="76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</row>
    <row r="339">
      <c r="A339" s="52"/>
      <c r="B339" s="76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</row>
    <row r="340">
      <c r="A340" s="52"/>
      <c r="B340" s="76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</row>
    <row r="341">
      <c r="A341" s="52"/>
      <c r="B341" s="76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</row>
    <row r="342">
      <c r="A342" s="52"/>
      <c r="B342" s="76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</row>
    <row r="343">
      <c r="A343" s="52"/>
      <c r="B343" s="76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</row>
    <row r="344">
      <c r="A344" s="52"/>
      <c r="B344" s="76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</row>
    <row r="345">
      <c r="A345" s="52"/>
      <c r="B345" s="76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</row>
    <row r="346">
      <c r="A346" s="52"/>
      <c r="B346" s="76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</row>
    <row r="347">
      <c r="A347" s="52"/>
      <c r="B347" s="76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</row>
    <row r="348">
      <c r="A348" s="52"/>
      <c r="B348" s="76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</row>
    <row r="349">
      <c r="A349" s="52"/>
      <c r="B349" s="76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</row>
    <row r="350">
      <c r="A350" s="52"/>
      <c r="B350" s="76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</row>
    <row r="351">
      <c r="A351" s="52"/>
      <c r="B351" s="76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</row>
    <row r="352">
      <c r="A352" s="52"/>
      <c r="B352" s="76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</row>
    <row r="353">
      <c r="A353" s="52"/>
      <c r="B353" s="76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</row>
    <row r="354">
      <c r="A354" s="52"/>
      <c r="B354" s="76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</row>
    <row r="355">
      <c r="A355" s="52"/>
      <c r="B355" s="76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</row>
    <row r="356">
      <c r="A356" s="52"/>
      <c r="B356" s="76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</row>
    <row r="357">
      <c r="A357" s="52"/>
      <c r="B357" s="76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</row>
    <row r="358">
      <c r="A358" s="52"/>
      <c r="B358" s="76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</row>
    <row r="359">
      <c r="A359" s="52"/>
      <c r="B359" s="76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</row>
    <row r="360">
      <c r="A360" s="52"/>
      <c r="B360" s="76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</row>
    <row r="361">
      <c r="A361" s="52"/>
      <c r="B361" s="76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</row>
    <row r="362">
      <c r="A362" s="52"/>
      <c r="B362" s="76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</row>
    <row r="363">
      <c r="A363" s="52"/>
      <c r="B363" s="76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</row>
    <row r="364">
      <c r="A364" s="52"/>
      <c r="B364" s="76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</row>
    <row r="365">
      <c r="A365" s="52"/>
      <c r="B365" s="76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</row>
    <row r="366">
      <c r="A366" s="52"/>
      <c r="B366" s="76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</row>
    <row r="367">
      <c r="A367" s="52"/>
      <c r="B367" s="76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</row>
    <row r="368">
      <c r="A368" s="52"/>
      <c r="B368" s="76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</row>
    <row r="369">
      <c r="A369" s="52"/>
      <c r="B369" s="76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</row>
    <row r="370">
      <c r="A370" s="52"/>
      <c r="B370" s="76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</row>
    <row r="371">
      <c r="A371" s="52"/>
      <c r="B371" s="76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</row>
    <row r="372">
      <c r="A372" s="52"/>
      <c r="B372" s="76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</row>
    <row r="373">
      <c r="A373" s="52"/>
      <c r="B373" s="76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</row>
    <row r="374">
      <c r="A374" s="52"/>
      <c r="B374" s="76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</row>
    <row r="375">
      <c r="A375" s="52"/>
      <c r="B375" s="76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</row>
    <row r="376">
      <c r="A376" s="52"/>
      <c r="B376" s="76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</row>
    <row r="377">
      <c r="A377" s="52"/>
      <c r="B377" s="76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</row>
    <row r="378">
      <c r="A378" s="52"/>
      <c r="B378" s="76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</row>
    <row r="379">
      <c r="A379" s="52"/>
      <c r="B379" s="76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</row>
    <row r="380">
      <c r="A380" s="52"/>
      <c r="B380" s="76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</row>
    <row r="381">
      <c r="A381" s="52"/>
      <c r="B381" s="76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</row>
    <row r="382">
      <c r="A382" s="52"/>
      <c r="B382" s="76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</row>
    <row r="383">
      <c r="A383" s="52"/>
      <c r="B383" s="76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</row>
    <row r="384">
      <c r="A384" s="52"/>
      <c r="B384" s="76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</row>
    <row r="385">
      <c r="A385" s="52"/>
      <c r="B385" s="76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</row>
    <row r="386">
      <c r="A386" s="52"/>
      <c r="B386" s="76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</row>
    <row r="387">
      <c r="A387" s="52"/>
      <c r="B387" s="76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</row>
    <row r="388">
      <c r="A388" s="52"/>
      <c r="B388" s="76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</row>
    <row r="389">
      <c r="A389" s="52"/>
      <c r="B389" s="76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</row>
    <row r="390">
      <c r="A390" s="52"/>
      <c r="B390" s="76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</row>
    <row r="391">
      <c r="A391" s="52"/>
      <c r="B391" s="76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</row>
    <row r="392">
      <c r="A392" s="52"/>
      <c r="B392" s="76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</row>
    <row r="393">
      <c r="A393" s="52"/>
      <c r="B393" s="76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</row>
    <row r="394">
      <c r="A394" s="52"/>
      <c r="B394" s="76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</row>
    <row r="395">
      <c r="A395" s="52"/>
      <c r="B395" s="76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</row>
    <row r="396">
      <c r="A396" s="52"/>
      <c r="B396" s="76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</row>
    <row r="397">
      <c r="A397" s="52"/>
      <c r="B397" s="76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</row>
    <row r="398">
      <c r="A398" s="52"/>
      <c r="B398" s="76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</row>
    <row r="399">
      <c r="A399" s="52"/>
      <c r="B399" s="76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</row>
    <row r="400">
      <c r="A400" s="52"/>
      <c r="B400" s="76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</row>
    <row r="401">
      <c r="A401" s="52"/>
      <c r="B401" s="76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</row>
    <row r="402">
      <c r="A402" s="52"/>
      <c r="B402" s="76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</row>
    <row r="403">
      <c r="A403" s="52"/>
      <c r="B403" s="76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</row>
    <row r="404">
      <c r="A404" s="52"/>
      <c r="B404" s="76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</row>
    <row r="405">
      <c r="A405" s="52"/>
      <c r="B405" s="76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</row>
    <row r="406">
      <c r="A406" s="52"/>
      <c r="B406" s="76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</row>
    <row r="407">
      <c r="A407" s="52"/>
      <c r="B407" s="76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</row>
    <row r="408">
      <c r="A408" s="52"/>
      <c r="B408" s="76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</row>
    <row r="409">
      <c r="A409" s="52"/>
      <c r="B409" s="76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</row>
    <row r="410">
      <c r="A410" s="52"/>
      <c r="B410" s="76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</row>
    <row r="411">
      <c r="A411" s="52"/>
      <c r="B411" s="76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</row>
    <row r="412">
      <c r="A412" s="52"/>
      <c r="B412" s="76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</row>
    <row r="413">
      <c r="A413" s="52"/>
      <c r="B413" s="76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</row>
    <row r="414">
      <c r="A414" s="52"/>
      <c r="B414" s="76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</row>
    <row r="415">
      <c r="A415" s="52"/>
      <c r="B415" s="76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</row>
    <row r="416">
      <c r="A416" s="52"/>
      <c r="B416" s="76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</row>
    <row r="417">
      <c r="A417" s="52"/>
      <c r="B417" s="76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</row>
    <row r="418">
      <c r="A418" s="52"/>
      <c r="B418" s="76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</row>
    <row r="419">
      <c r="A419" s="52"/>
      <c r="B419" s="76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</row>
    <row r="420">
      <c r="A420" s="52"/>
      <c r="B420" s="76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</row>
    <row r="421">
      <c r="A421" s="52"/>
      <c r="B421" s="76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</row>
    <row r="422">
      <c r="A422" s="52"/>
      <c r="B422" s="76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</row>
    <row r="423">
      <c r="A423" s="52"/>
      <c r="B423" s="76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</row>
    <row r="424">
      <c r="A424" s="52"/>
      <c r="B424" s="76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</row>
    <row r="425">
      <c r="A425" s="52"/>
      <c r="B425" s="76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</row>
    <row r="426">
      <c r="A426" s="52"/>
      <c r="B426" s="76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</row>
    <row r="427">
      <c r="A427" s="52"/>
      <c r="B427" s="76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</row>
    <row r="428">
      <c r="A428" s="52"/>
      <c r="B428" s="76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</row>
    <row r="429">
      <c r="A429" s="52"/>
      <c r="B429" s="76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</row>
    <row r="430">
      <c r="A430" s="52"/>
      <c r="B430" s="76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</row>
    <row r="431">
      <c r="A431" s="52"/>
      <c r="B431" s="76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</row>
    <row r="432">
      <c r="A432" s="52"/>
      <c r="B432" s="76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</row>
    <row r="433">
      <c r="A433" s="52"/>
      <c r="B433" s="76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</row>
    <row r="434">
      <c r="A434" s="52"/>
      <c r="B434" s="76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</row>
    <row r="435">
      <c r="A435" s="52"/>
      <c r="B435" s="76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</row>
    <row r="436">
      <c r="A436" s="52"/>
      <c r="B436" s="76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</row>
    <row r="437">
      <c r="A437" s="52"/>
      <c r="B437" s="76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</row>
    <row r="438">
      <c r="A438" s="52"/>
      <c r="B438" s="76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</row>
    <row r="439">
      <c r="A439" s="52"/>
      <c r="B439" s="76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</row>
    <row r="440">
      <c r="A440" s="52"/>
      <c r="B440" s="76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</row>
    <row r="441">
      <c r="A441" s="52"/>
      <c r="B441" s="76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</row>
    <row r="442">
      <c r="A442" s="52"/>
      <c r="B442" s="76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</row>
    <row r="443">
      <c r="A443" s="52"/>
      <c r="B443" s="76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</row>
    <row r="444">
      <c r="A444" s="52"/>
      <c r="B444" s="76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</row>
    <row r="445">
      <c r="A445" s="52"/>
      <c r="B445" s="76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</row>
    <row r="446">
      <c r="A446" s="52"/>
      <c r="B446" s="76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</row>
    <row r="447">
      <c r="A447" s="52"/>
      <c r="B447" s="76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</row>
    <row r="448">
      <c r="A448" s="52"/>
      <c r="B448" s="76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</row>
    <row r="449">
      <c r="A449" s="52"/>
      <c r="B449" s="76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</row>
    <row r="450">
      <c r="A450" s="52"/>
      <c r="B450" s="76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</row>
    <row r="451">
      <c r="A451" s="52"/>
      <c r="B451" s="76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</row>
    <row r="452">
      <c r="A452" s="52"/>
      <c r="B452" s="76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</row>
    <row r="453">
      <c r="A453" s="52"/>
      <c r="B453" s="76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</row>
    <row r="454">
      <c r="A454" s="52"/>
      <c r="B454" s="76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</row>
    <row r="455">
      <c r="A455" s="52"/>
      <c r="B455" s="76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</row>
    <row r="456">
      <c r="A456" s="52"/>
      <c r="B456" s="76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</row>
    <row r="457">
      <c r="A457" s="52"/>
      <c r="B457" s="76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</row>
    <row r="458">
      <c r="A458" s="52"/>
      <c r="B458" s="76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</row>
    <row r="459">
      <c r="A459" s="52"/>
      <c r="B459" s="76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</row>
    <row r="460">
      <c r="A460" s="52"/>
      <c r="B460" s="76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</row>
    <row r="461">
      <c r="A461" s="52"/>
      <c r="B461" s="76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</row>
    <row r="462">
      <c r="A462" s="52"/>
      <c r="B462" s="76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</row>
    <row r="463">
      <c r="A463" s="52"/>
      <c r="B463" s="76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</row>
    <row r="464">
      <c r="A464" s="52"/>
      <c r="B464" s="76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</row>
    <row r="465">
      <c r="A465" s="52"/>
      <c r="B465" s="76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</row>
    <row r="466">
      <c r="A466" s="52"/>
      <c r="B466" s="76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</row>
    <row r="467">
      <c r="A467" s="52"/>
      <c r="B467" s="76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</row>
    <row r="468">
      <c r="A468" s="52"/>
      <c r="B468" s="76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</row>
    <row r="469">
      <c r="A469" s="52"/>
      <c r="B469" s="76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</row>
    <row r="470">
      <c r="A470" s="52"/>
      <c r="B470" s="76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</row>
    <row r="471">
      <c r="A471" s="52"/>
      <c r="B471" s="76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</row>
    <row r="472">
      <c r="A472" s="52"/>
      <c r="B472" s="76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</row>
    <row r="473">
      <c r="A473" s="52"/>
      <c r="B473" s="76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</row>
    <row r="474">
      <c r="A474" s="52"/>
      <c r="B474" s="76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</row>
    <row r="475">
      <c r="A475" s="52"/>
      <c r="B475" s="76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</row>
    <row r="476">
      <c r="A476" s="52"/>
      <c r="B476" s="76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</row>
    <row r="477">
      <c r="A477" s="52"/>
      <c r="B477" s="76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</row>
    <row r="478">
      <c r="A478" s="52"/>
      <c r="B478" s="76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</row>
    <row r="479">
      <c r="A479" s="52"/>
      <c r="B479" s="76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</row>
    <row r="480">
      <c r="A480" s="52"/>
      <c r="B480" s="76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</row>
    <row r="481">
      <c r="A481" s="52"/>
      <c r="B481" s="76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</row>
    <row r="482">
      <c r="A482" s="52"/>
      <c r="B482" s="76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</row>
    <row r="483">
      <c r="A483" s="52"/>
      <c r="B483" s="76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</row>
    <row r="484">
      <c r="A484" s="52"/>
      <c r="B484" s="76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</row>
    <row r="485">
      <c r="A485" s="52"/>
      <c r="B485" s="76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</row>
    <row r="486">
      <c r="A486" s="52"/>
      <c r="B486" s="76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</row>
    <row r="487">
      <c r="A487" s="52"/>
      <c r="B487" s="76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</row>
    <row r="488">
      <c r="A488" s="52"/>
      <c r="B488" s="76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</row>
    <row r="489">
      <c r="A489" s="52"/>
      <c r="B489" s="76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</row>
    <row r="490">
      <c r="A490" s="52"/>
      <c r="B490" s="76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</row>
    <row r="491">
      <c r="A491" s="52"/>
      <c r="B491" s="76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</row>
    <row r="492">
      <c r="A492" s="52"/>
      <c r="B492" s="76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</row>
    <row r="493">
      <c r="A493" s="52"/>
      <c r="B493" s="76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</row>
    <row r="494">
      <c r="A494" s="52"/>
      <c r="B494" s="76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</row>
    <row r="495">
      <c r="A495" s="52"/>
      <c r="B495" s="76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</row>
    <row r="496">
      <c r="A496" s="52"/>
      <c r="B496" s="76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</row>
    <row r="497">
      <c r="A497" s="52"/>
      <c r="B497" s="76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</row>
    <row r="498">
      <c r="A498" s="52"/>
      <c r="B498" s="76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</row>
    <row r="499">
      <c r="A499" s="52"/>
      <c r="B499" s="76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</row>
    <row r="500">
      <c r="A500" s="52"/>
      <c r="B500" s="76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</row>
    <row r="501">
      <c r="A501" s="52"/>
      <c r="B501" s="76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</row>
    <row r="502">
      <c r="A502" s="52"/>
      <c r="B502" s="76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</row>
    <row r="503">
      <c r="A503" s="52"/>
      <c r="B503" s="76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</row>
    <row r="504">
      <c r="A504" s="52"/>
      <c r="B504" s="76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</row>
    <row r="505">
      <c r="A505" s="52"/>
      <c r="B505" s="76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</row>
    <row r="506">
      <c r="A506" s="52"/>
      <c r="B506" s="76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</row>
    <row r="507">
      <c r="A507" s="52"/>
      <c r="B507" s="76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</row>
    <row r="508">
      <c r="A508" s="52"/>
      <c r="B508" s="76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</row>
    <row r="509">
      <c r="A509" s="52"/>
      <c r="B509" s="76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</row>
    <row r="510">
      <c r="A510" s="52"/>
      <c r="B510" s="76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</row>
    <row r="511">
      <c r="A511" s="52"/>
      <c r="B511" s="76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</row>
    <row r="512">
      <c r="A512" s="52"/>
      <c r="B512" s="76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</row>
    <row r="513">
      <c r="A513" s="52"/>
      <c r="B513" s="76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</row>
    <row r="514">
      <c r="A514" s="52"/>
      <c r="B514" s="76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</row>
    <row r="515">
      <c r="A515" s="52"/>
      <c r="B515" s="76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</row>
    <row r="516">
      <c r="A516" s="52"/>
      <c r="B516" s="76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</row>
    <row r="517">
      <c r="A517" s="52"/>
      <c r="B517" s="76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</row>
    <row r="518">
      <c r="A518" s="52"/>
      <c r="B518" s="76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</row>
    <row r="519">
      <c r="A519" s="52"/>
      <c r="B519" s="76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</row>
    <row r="520">
      <c r="A520" s="52"/>
      <c r="B520" s="76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</row>
    <row r="521">
      <c r="A521" s="52"/>
      <c r="B521" s="76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</row>
    <row r="522">
      <c r="A522" s="52"/>
      <c r="B522" s="76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</row>
    <row r="523">
      <c r="A523" s="52"/>
      <c r="B523" s="76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</row>
    <row r="524">
      <c r="A524" s="52"/>
      <c r="B524" s="76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</row>
    <row r="525">
      <c r="A525" s="52"/>
      <c r="B525" s="76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</row>
    <row r="526">
      <c r="A526" s="52"/>
      <c r="B526" s="76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</row>
    <row r="527">
      <c r="A527" s="52"/>
      <c r="B527" s="76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</row>
    <row r="528">
      <c r="A528" s="52"/>
      <c r="B528" s="76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</row>
    <row r="529">
      <c r="A529" s="52"/>
      <c r="B529" s="76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</row>
    <row r="530">
      <c r="A530" s="52"/>
      <c r="B530" s="76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</row>
    <row r="531">
      <c r="A531" s="52"/>
      <c r="B531" s="76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</row>
    <row r="532">
      <c r="A532" s="52"/>
      <c r="B532" s="76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</row>
    <row r="533">
      <c r="A533" s="52"/>
      <c r="B533" s="76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</row>
    <row r="534">
      <c r="A534" s="52"/>
      <c r="B534" s="76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</row>
    <row r="535">
      <c r="A535" s="52"/>
      <c r="B535" s="76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</row>
    <row r="536">
      <c r="A536" s="52"/>
      <c r="B536" s="76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</row>
    <row r="537">
      <c r="A537" s="52"/>
      <c r="B537" s="76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</row>
    <row r="538">
      <c r="A538" s="52"/>
      <c r="B538" s="76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</row>
    <row r="539">
      <c r="A539" s="52"/>
      <c r="B539" s="76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</row>
    <row r="540">
      <c r="A540" s="52"/>
      <c r="B540" s="76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</row>
    <row r="541">
      <c r="A541" s="52"/>
      <c r="B541" s="76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</row>
    <row r="542">
      <c r="A542" s="52"/>
      <c r="B542" s="76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</row>
    <row r="543">
      <c r="A543" s="52"/>
      <c r="B543" s="76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</row>
    <row r="544">
      <c r="A544" s="52"/>
      <c r="B544" s="76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</row>
    <row r="545">
      <c r="A545" s="52"/>
      <c r="B545" s="76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</row>
    <row r="546">
      <c r="A546" s="52"/>
      <c r="B546" s="76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</row>
    <row r="547">
      <c r="A547" s="52"/>
      <c r="B547" s="76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</row>
    <row r="548">
      <c r="A548" s="52"/>
      <c r="B548" s="76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</row>
    <row r="549">
      <c r="A549" s="52"/>
      <c r="B549" s="76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</row>
    <row r="550">
      <c r="A550" s="52"/>
      <c r="B550" s="76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</row>
    <row r="551">
      <c r="A551" s="52"/>
      <c r="B551" s="76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</row>
    <row r="552">
      <c r="A552" s="52"/>
      <c r="B552" s="76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</row>
    <row r="553">
      <c r="A553" s="52"/>
      <c r="B553" s="76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</row>
    <row r="554">
      <c r="A554" s="52"/>
      <c r="B554" s="76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</row>
    <row r="555">
      <c r="A555" s="52"/>
      <c r="B555" s="76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</row>
    <row r="556">
      <c r="A556" s="52"/>
      <c r="B556" s="76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</row>
    <row r="557">
      <c r="A557" s="52"/>
      <c r="B557" s="76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</row>
    <row r="558">
      <c r="A558" s="52"/>
      <c r="B558" s="76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</row>
    <row r="559">
      <c r="A559" s="52"/>
      <c r="B559" s="76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</row>
    <row r="560">
      <c r="A560" s="52"/>
      <c r="B560" s="76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</row>
    <row r="561">
      <c r="A561" s="52"/>
      <c r="B561" s="76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</row>
    <row r="562">
      <c r="A562" s="52"/>
      <c r="B562" s="76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</row>
    <row r="563">
      <c r="A563" s="52"/>
      <c r="B563" s="76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</row>
    <row r="564">
      <c r="A564" s="52"/>
      <c r="B564" s="76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</row>
    <row r="565">
      <c r="A565" s="52"/>
      <c r="B565" s="76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</row>
    <row r="566">
      <c r="A566" s="52"/>
      <c r="B566" s="76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</row>
    <row r="567">
      <c r="A567" s="52"/>
      <c r="B567" s="76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</row>
    <row r="568">
      <c r="A568" s="52"/>
      <c r="B568" s="76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</row>
    <row r="569">
      <c r="A569" s="52"/>
      <c r="B569" s="76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</row>
    <row r="570">
      <c r="A570" s="52"/>
      <c r="B570" s="76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</row>
    <row r="571">
      <c r="A571" s="52"/>
      <c r="B571" s="76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</row>
    <row r="572">
      <c r="A572" s="52"/>
      <c r="B572" s="76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</row>
    <row r="573">
      <c r="A573" s="52"/>
      <c r="B573" s="76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</row>
    <row r="574">
      <c r="A574" s="52"/>
      <c r="B574" s="76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</row>
    <row r="575">
      <c r="A575" s="52"/>
      <c r="B575" s="76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</row>
    <row r="576">
      <c r="A576" s="52"/>
      <c r="B576" s="76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</row>
    <row r="577">
      <c r="A577" s="52"/>
      <c r="B577" s="76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</row>
    <row r="578">
      <c r="A578" s="52"/>
      <c r="B578" s="76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</row>
    <row r="579">
      <c r="A579" s="52"/>
      <c r="B579" s="76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</row>
    <row r="580">
      <c r="A580" s="52"/>
      <c r="B580" s="76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</row>
    <row r="581">
      <c r="A581" s="52"/>
      <c r="B581" s="76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</row>
    <row r="582">
      <c r="A582" s="52"/>
      <c r="B582" s="76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</row>
    <row r="583">
      <c r="A583" s="52"/>
      <c r="B583" s="76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</row>
    <row r="584">
      <c r="A584" s="52"/>
      <c r="B584" s="76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</row>
    <row r="585">
      <c r="A585" s="52"/>
      <c r="B585" s="76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</row>
    <row r="586">
      <c r="A586" s="52"/>
      <c r="B586" s="76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</row>
    <row r="587">
      <c r="A587" s="52"/>
      <c r="B587" s="76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</row>
    <row r="588">
      <c r="A588" s="52"/>
      <c r="B588" s="76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</row>
    <row r="589">
      <c r="A589" s="52"/>
      <c r="B589" s="76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</row>
    <row r="590">
      <c r="A590" s="52"/>
      <c r="B590" s="76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</row>
    <row r="591">
      <c r="A591" s="52"/>
      <c r="B591" s="76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</row>
    <row r="592">
      <c r="A592" s="52"/>
      <c r="B592" s="76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</row>
    <row r="593">
      <c r="A593" s="52"/>
      <c r="B593" s="76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</row>
    <row r="594">
      <c r="A594" s="52"/>
      <c r="B594" s="76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</row>
    <row r="595">
      <c r="A595" s="52"/>
      <c r="B595" s="76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</row>
    <row r="596">
      <c r="A596" s="52"/>
      <c r="B596" s="76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</row>
    <row r="597">
      <c r="A597" s="52"/>
      <c r="B597" s="76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</row>
    <row r="598">
      <c r="A598" s="52"/>
      <c r="B598" s="76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</row>
    <row r="599">
      <c r="A599" s="52"/>
      <c r="B599" s="76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</row>
    <row r="600">
      <c r="A600" s="52"/>
      <c r="B600" s="76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</row>
    <row r="601">
      <c r="A601" s="52"/>
      <c r="B601" s="76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</row>
    <row r="602">
      <c r="A602" s="52"/>
      <c r="B602" s="76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</row>
    <row r="603">
      <c r="A603" s="52"/>
      <c r="B603" s="76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</row>
    <row r="604">
      <c r="A604" s="52"/>
      <c r="B604" s="76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</row>
    <row r="605">
      <c r="A605" s="52"/>
      <c r="B605" s="76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</row>
    <row r="606">
      <c r="A606" s="52"/>
      <c r="B606" s="76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</row>
    <row r="607">
      <c r="A607" s="52"/>
      <c r="B607" s="76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</row>
    <row r="608">
      <c r="A608" s="52"/>
      <c r="B608" s="76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</row>
    <row r="609">
      <c r="A609" s="52"/>
      <c r="B609" s="76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</row>
    <row r="610">
      <c r="A610" s="52"/>
      <c r="B610" s="76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</row>
    <row r="611">
      <c r="A611" s="52"/>
      <c r="B611" s="76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</row>
    <row r="612">
      <c r="A612" s="52"/>
      <c r="B612" s="76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</row>
    <row r="613">
      <c r="A613" s="52"/>
      <c r="B613" s="76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</row>
    <row r="614">
      <c r="A614" s="52"/>
      <c r="B614" s="76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</row>
    <row r="615">
      <c r="A615" s="52"/>
      <c r="B615" s="76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</row>
    <row r="616">
      <c r="A616" s="52"/>
      <c r="B616" s="76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</row>
    <row r="617">
      <c r="A617" s="52"/>
      <c r="B617" s="76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</row>
    <row r="618">
      <c r="A618" s="52"/>
      <c r="B618" s="76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</row>
    <row r="619">
      <c r="A619" s="52"/>
      <c r="B619" s="76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</row>
    <row r="620">
      <c r="A620" s="52"/>
      <c r="B620" s="76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</row>
    <row r="621">
      <c r="A621" s="52"/>
      <c r="B621" s="76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</row>
    <row r="622">
      <c r="A622" s="52"/>
      <c r="B622" s="76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</row>
    <row r="623">
      <c r="A623" s="52"/>
      <c r="B623" s="76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</row>
    <row r="624">
      <c r="A624" s="52"/>
      <c r="B624" s="76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</row>
    <row r="625">
      <c r="A625" s="52"/>
      <c r="B625" s="76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</row>
    <row r="626">
      <c r="A626" s="52"/>
      <c r="B626" s="76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</row>
    <row r="627">
      <c r="A627" s="52"/>
      <c r="B627" s="76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</row>
    <row r="628">
      <c r="A628" s="52"/>
      <c r="B628" s="76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</row>
    <row r="629">
      <c r="A629" s="52"/>
      <c r="B629" s="76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</row>
    <row r="630">
      <c r="A630" s="52"/>
      <c r="B630" s="76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</row>
    <row r="631">
      <c r="A631" s="52"/>
      <c r="B631" s="76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</row>
    <row r="632">
      <c r="A632" s="52"/>
      <c r="B632" s="76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</row>
    <row r="633">
      <c r="A633" s="52"/>
      <c r="B633" s="76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</row>
    <row r="634">
      <c r="A634" s="52"/>
      <c r="B634" s="76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</row>
    <row r="635">
      <c r="A635" s="52"/>
      <c r="B635" s="76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</row>
    <row r="636">
      <c r="A636" s="52"/>
      <c r="B636" s="76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</row>
    <row r="637">
      <c r="A637" s="52"/>
      <c r="B637" s="76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</row>
    <row r="638">
      <c r="A638" s="52"/>
      <c r="B638" s="76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</row>
    <row r="639">
      <c r="A639" s="52"/>
      <c r="B639" s="76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</row>
    <row r="640">
      <c r="A640" s="52"/>
      <c r="B640" s="76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</row>
    <row r="641">
      <c r="A641" s="52"/>
      <c r="B641" s="76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</row>
    <row r="642">
      <c r="A642" s="52"/>
      <c r="B642" s="76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</row>
    <row r="643">
      <c r="A643" s="52"/>
      <c r="B643" s="76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</row>
    <row r="644">
      <c r="A644" s="52"/>
      <c r="B644" s="76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</row>
    <row r="645">
      <c r="A645" s="52"/>
      <c r="B645" s="76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</row>
    <row r="646">
      <c r="A646" s="52"/>
      <c r="B646" s="76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</row>
    <row r="647">
      <c r="A647" s="52"/>
      <c r="B647" s="76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</row>
    <row r="648">
      <c r="A648" s="52"/>
      <c r="B648" s="76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</row>
    <row r="649">
      <c r="A649" s="52"/>
      <c r="B649" s="76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</row>
    <row r="650">
      <c r="A650" s="52"/>
      <c r="B650" s="76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</row>
    <row r="651">
      <c r="A651" s="52"/>
      <c r="B651" s="76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</row>
    <row r="652">
      <c r="A652" s="52"/>
      <c r="B652" s="76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</row>
    <row r="653">
      <c r="A653" s="52"/>
      <c r="B653" s="76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</row>
    <row r="654">
      <c r="A654" s="52"/>
      <c r="B654" s="76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</row>
    <row r="655">
      <c r="A655" s="52"/>
      <c r="B655" s="76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</row>
    <row r="656">
      <c r="A656" s="52"/>
      <c r="B656" s="76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</row>
    <row r="657">
      <c r="A657" s="52"/>
      <c r="B657" s="76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</row>
    <row r="658">
      <c r="A658" s="52"/>
      <c r="B658" s="76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</row>
    <row r="659">
      <c r="A659" s="52"/>
      <c r="B659" s="76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</row>
    <row r="660">
      <c r="A660" s="52"/>
      <c r="B660" s="76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</row>
    <row r="661">
      <c r="A661" s="52"/>
      <c r="B661" s="76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</row>
    <row r="662">
      <c r="A662" s="52"/>
      <c r="B662" s="76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</row>
    <row r="663">
      <c r="A663" s="52"/>
      <c r="B663" s="76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</row>
    <row r="664">
      <c r="A664" s="52"/>
      <c r="B664" s="76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</row>
    <row r="665">
      <c r="A665" s="52"/>
      <c r="B665" s="76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</row>
    <row r="666">
      <c r="A666" s="52"/>
      <c r="B666" s="76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</row>
    <row r="667">
      <c r="A667" s="52"/>
      <c r="B667" s="76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</row>
    <row r="668">
      <c r="A668" s="52"/>
      <c r="B668" s="76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</row>
    <row r="669">
      <c r="A669" s="52"/>
      <c r="B669" s="76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</row>
    <row r="670">
      <c r="A670" s="52"/>
      <c r="B670" s="76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</row>
    <row r="671">
      <c r="A671" s="52"/>
      <c r="B671" s="76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</row>
    <row r="672">
      <c r="A672" s="52"/>
      <c r="B672" s="76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</row>
    <row r="673">
      <c r="A673" s="52"/>
      <c r="B673" s="76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</row>
    <row r="674">
      <c r="A674" s="52"/>
      <c r="B674" s="76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</row>
    <row r="675">
      <c r="A675" s="52"/>
      <c r="B675" s="76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</row>
    <row r="676">
      <c r="A676" s="52"/>
      <c r="B676" s="76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</row>
    <row r="677">
      <c r="A677" s="52"/>
      <c r="B677" s="76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</row>
    <row r="678">
      <c r="A678" s="52"/>
      <c r="B678" s="76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</row>
    <row r="679">
      <c r="A679" s="52"/>
      <c r="B679" s="76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</row>
    <row r="680">
      <c r="A680" s="52"/>
      <c r="B680" s="76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</row>
    <row r="681">
      <c r="A681" s="52"/>
      <c r="B681" s="76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</row>
    <row r="682">
      <c r="A682" s="52"/>
      <c r="B682" s="76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</row>
    <row r="683">
      <c r="A683" s="52"/>
      <c r="B683" s="76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</row>
    <row r="684">
      <c r="A684" s="52"/>
      <c r="B684" s="76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</row>
    <row r="685">
      <c r="A685" s="52"/>
      <c r="B685" s="76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</row>
    <row r="686">
      <c r="A686" s="52"/>
      <c r="B686" s="76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</row>
    <row r="687">
      <c r="A687" s="52"/>
      <c r="B687" s="76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</row>
    <row r="688">
      <c r="A688" s="52"/>
      <c r="B688" s="76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</row>
    <row r="689">
      <c r="A689" s="52"/>
      <c r="B689" s="76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</row>
    <row r="690">
      <c r="A690" s="52"/>
      <c r="B690" s="76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</row>
    <row r="691">
      <c r="A691" s="52"/>
      <c r="B691" s="76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</row>
    <row r="692">
      <c r="A692" s="52"/>
      <c r="B692" s="76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</row>
    <row r="693">
      <c r="A693" s="52"/>
      <c r="B693" s="76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</row>
    <row r="694">
      <c r="A694" s="52"/>
      <c r="B694" s="76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</row>
    <row r="695">
      <c r="A695" s="52"/>
      <c r="B695" s="76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</row>
    <row r="696">
      <c r="A696" s="52"/>
      <c r="B696" s="76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</row>
    <row r="697">
      <c r="A697" s="52"/>
      <c r="B697" s="76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</row>
    <row r="698">
      <c r="A698" s="52"/>
      <c r="B698" s="76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</row>
    <row r="699">
      <c r="A699" s="52"/>
      <c r="B699" s="76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</row>
    <row r="700">
      <c r="A700" s="52"/>
      <c r="B700" s="76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</row>
    <row r="701">
      <c r="A701" s="52"/>
      <c r="B701" s="76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</row>
    <row r="702">
      <c r="A702" s="52"/>
      <c r="B702" s="76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</row>
    <row r="703">
      <c r="A703" s="52"/>
      <c r="B703" s="76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</row>
    <row r="704">
      <c r="A704" s="52"/>
      <c r="B704" s="76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</row>
    <row r="705">
      <c r="A705" s="52"/>
      <c r="B705" s="76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</row>
    <row r="706">
      <c r="A706" s="52"/>
      <c r="B706" s="76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</row>
    <row r="707">
      <c r="A707" s="52"/>
      <c r="B707" s="76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</row>
    <row r="708">
      <c r="A708" s="52"/>
      <c r="B708" s="76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</row>
    <row r="709">
      <c r="A709" s="52"/>
      <c r="B709" s="76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</row>
    <row r="710">
      <c r="A710" s="52"/>
      <c r="B710" s="76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</row>
    <row r="711">
      <c r="A711" s="52"/>
      <c r="B711" s="76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</row>
    <row r="712">
      <c r="A712" s="52"/>
      <c r="B712" s="76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</row>
    <row r="713">
      <c r="A713" s="52"/>
      <c r="B713" s="76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</row>
    <row r="714">
      <c r="A714" s="52"/>
      <c r="B714" s="76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</row>
    <row r="715">
      <c r="A715" s="52"/>
      <c r="B715" s="76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</row>
    <row r="716">
      <c r="A716" s="52"/>
      <c r="B716" s="76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</row>
    <row r="717">
      <c r="A717" s="52"/>
      <c r="B717" s="76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</row>
    <row r="718">
      <c r="A718" s="52"/>
      <c r="B718" s="76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</row>
    <row r="719">
      <c r="A719" s="52"/>
      <c r="B719" s="76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</row>
    <row r="720">
      <c r="A720" s="52"/>
      <c r="B720" s="76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</row>
    <row r="721">
      <c r="A721" s="52"/>
      <c r="B721" s="76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</row>
    <row r="722">
      <c r="A722" s="52"/>
      <c r="B722" s="76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</row>
    <row r="723">
      <c r="A723" s="52"/>
      <c r="B723" s="76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</row>
    <row r="724">
      <c r="A724" s="52"/>
      <c r="B724" s="76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</row>
    <row r="725">
      <c r="A725" s="52"/>
      <c r="B725" s="76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</row>
    <row r="726">
      <c r="A726" s="52"/>
      <c r="B726" s="76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</row>
    <row r="727">
      <c r="A727" s="52"/>
      <c r="B727" s="76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</row>
    <row r="728">
      <c r="A728" s="52"/>
      <c r="B728" s="76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</row>
    <row r="729">
      <c r="A729" s="52"/>
      <c r="B729" s="76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</row>
    <row r="730">
      <c r="A730" s="52"/>
      <c r="B730" s="76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</row>
    <row r="731">
      <c r="A731" s="52"/>
      <c r="B731" s="76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</row>
    <row r="732">
      <c r="A732" s="52"/>
      <c r="B732" s="76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</row>
    <row r="733">
      <c r="A733" s="52"/>
      <c r="B733" s="76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</row>
    <row r="734">
      <c r="A734" s="52"/>
      <c r="B734" s="76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</row>
    <row r="735">
      <c r="A735" s="52"/>
      <c r="B735" s="76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</row>
    <row r="736">
      <c r="A736" s="52"/>
      <c r="B736" s="76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</row>
    <row r="737">
      <c r="A737" s="52"/>
      <c r="B737" s="76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</row>
    <row r="738">
      <c r="A738" s="52"/>
      <c r="B738" s="76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</row>
    <row r="739">
      <c r="A739" s="52"/>
      <c r="B739" s="76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</row>
    <row r="740">
      <c r="A740" s="52"/>
      <c r="B740" s="76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</row>
    <row r="741">
      <c r="A741" s="52"/>
      <c r="B741" s="76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</row>
    <row r="742">
      <c r="A742" s="52"/>
      <c r="B742" s="76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</row>
    <row r="743">
      <c r="A743" s="52"/>
      <c r="B743" s="76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</row>
    <row r="744">
      <c r="A744" s="52"/>
      <c r="B744" s="76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</row>
    <row r="745">
      <c r="A745" s="52"/>
      <c r="B745" s="76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</row>
    <row r="746">
      <c r="A746" s="52"/>
      <c r="B746" s="76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</row>
    <row r="747">
      <c r="A747" s="52"/>
      <c r="B747" s="76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</row>
    <row r="748">
      <c r="A748" s="52"/>
      <c r="B748" s="76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</row>
    <row r="749">
      <c r="A749" s="52"/>
      <c r="B749" s="76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</row>
    <row r="750">
      <c r="A750" s="52"/>
      <c r="B750" s="76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</row>
    <row r="751">
      <c r="A751" s="52"/>
      <c r="B751" s="76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</row>
    <row r="752">
      <c r="A752" s="52"/>
      <c r="B752" s="76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</row>
    <row r="753">
      <c r="A753" s="52"/>
      <c r="B753" s="76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</row>
    <row r="754">
      <c r="A754" s="52"/>
      <c r="B754" s="76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</row>
    <row r="755">
      <c r="A755" s="52"/>
      <c r="B755" s="76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</row>
    <row r="756">
      <c r="A756" s="52"/>
      <c r="B756" s="76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</row>
    <row r="757">
      <c r="A757" s="52"/>
      <c r="B757" s="76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</row>
    <row r="758">
      <c r="A758" s="52"/>
      <c r="B758" s="76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</row>
    <row r="759">
      <c r="A759" s="52"/>
      <c r="B759" s="76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</row>
    <row r="760">
      <c r="A760" s="52"/>
      <c r="B760" s="76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</row>
    <row r="761">
      <c r="A761" s="52"/>
      <c r="B761" s="76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</row>
    <row r="762">
      <c r="A762" s="52"/>
      <c r="B762" s="76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</row>
    <row r="763">
      <c r="A763" s="52"/>
      <c r="B763" s="76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</row>
    <row r="764">
      <c r="A764" s="52"/>
      <c r="B764" s="76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</row>
    <row r="765">
      <c r="A765" s="52"/>
      <c r="B765" s="76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</row>
    <row r="766">
      <c r="A766" s="52"/>
      <c r="B766" s="76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</row>
    <row r="767">
      <c r="A767" s="52"/>
      <c r="B767" s="76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</row>
    <row r="768">
      <c r="A768" s="52"/>
      <c r="B768" s="76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</row>
    <row r="769">
      <c r="A769" s="52"/>
      <c r="B769" s="76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</row>
    <row r="770">
      <c r="A770" s="52"/>
      <c r="B770" s="76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</row>
    <row r="771">
      <c r="A771" s="52"/>
      <c r="B771" s="76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</row>
    <row r="772">
      <c r="A772" s="52"/>
      <c r="B772" s="76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</row>
    <row r="773">
      <c r="A773" s="52"/>
      <c r="B773" s="76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</row>
    <row r="774">
      <c r="A774" s="52"/>
      <c r="B774" s="76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</row>
    <row r="775">
      <c r="A775" s="52"/>
      <c r="B775" s="76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</row>
    <row r="776">
      <c r="A776" s="52"/>
      <c r="B776" s="76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</row>
    <row r="777">
      <c r="A777" s="52"/>
      <c r="B777" s="76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</row>
    <row r="778">
      <c r="A778" s="52"/>
      <c r="B778" s="76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</row>
    <row r="779">
      <c r="A779" s="52"/>
      <c r="B779" s="76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</row>
    <row r="780">
      <c r="A780" s="52"/>
      <c r="B780" s="76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</row>
    <row r="781">
      <c r="A781" s="52"/>
      <c r="B781" s="76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</row>
    <row r="782">
      <c r="A782" s="52"/>
      <c r="B782" s="76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</row>
    <row r="783">
      <c r="A783" s="52"/>
      <c r="B783" s="76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</row>
    <row r="784">
      <c r="A784" s="52"/>
      <c r="B784" s="76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</row>
    <row r="785">
      <c r="A785" s="52"/>
      <c r="B785" s="76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</row>
    <row r="786">
      <c r="A786" s="52"/>
      <c r="B786" s="76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</row>
    <row r="787">
      <c r="A787" s="52"/>
      <c r="B787" s="76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</row>
    <row r="788">
      <c r="A788" s="52"/>
      <c r="B788" s="76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</row>
    <row r="789">
      <c r="A789" s="52"/>
      <c r="B789" s="76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</row>
    <row r="790">
      <c r="A790" s="52"/>
      <c r="B790" s="76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</row>
    <row r="791">
      <c r="A791" s="52"/>
      <c r="B791" s="76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</row>
    <row r="792">
      <c r="A792" s="52"/>
      <c r="B792" s="76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</row>
    <row r="793">
      <c r="A793" s="52"/>
      <c r="B793" s="76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</row>
    <row r="794">
      <c r="A794" s="52"/>
      <c r="B794" s="76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</row>
    <row r="795">
      <c r="A795" s="52"/>
      <c r="B795" s="76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</row>
    <row r="796">
      <c r="A796" s="52"/>
      <c r="B796" s="76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</row>
    <row r="797">
      <c r="A797" s="52"/>
      <c r="B797" s="76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</row>
    <row r="798">
      <c r="A798" s="52"/>
      <c r="B798" s="76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</row>
    <row r="799">
      <c r="A799" s="52"/>
      <c r="B799" s="76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</row>
    <row r="800">
      <c r="A800" s="52"/>
      <c r="B800" s="76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</row>
    <row r="801">
      <c r="A801" s="52"/>
      <c r="B801" s="76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</row>
    <row r="802">
      <c r="A802" s="52"/>
      <c r="B802" s="76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</row>
    <row r="803">
      <c r="A803" s="52"/>
      <c r="B803" s="76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</row>
    <row r="804">
      <c r="A804" s="52"/>
      <c r="B804" s="76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</row>
    <row r="805">
      <c r="A805" s="52"/>
      <c r="B805" s="76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</row>
    <row r="806">
      <c r="A806" s="52"/>
      <c r="B806" s="76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</row>
    <row r="807">
      <c r="A807" s="52"/>
      <c r="B807" s="76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</row>
    <row r="808">
      <c r="A808" s="52"/>
      <c r="B808" s="76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</row>
    <row r="809">
      <c r="A809" s="52"/>
      <c r="B809" s="76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</row>
    <row r="810">
      <c r="A810" s="52"/>
      <c r="B810" s="76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</row>
    <row r="811">
      <c r="A811" s="52"/>
      <c r="B811" s="76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</row>
    <row r="812">
      <c r="A812" s="52"/>
      <c r="B812" s="76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</row>
    <row r="813">
      <c r="A813" s="52"/>
      <c r="B813" s="76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</row>
    <row r="814">
      <c r="A814" s="52"/>
      <c r="B814" s="76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</row>
    <row r="815">
      <c r="A815" s="52"/>
      <c r="B815" s="76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</row>
    <row r="816">
      <c r="A816" s="52"/>
      <c r="B816" s="76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</row>
    <row r="817">
      <c r="A817" s="52"/>
      <c r="B817" s="76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</row>
    <row r="818">
      <c r="A818" s="52"/>
      <c r="B818" s="76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</row>
    <row r="819">
      <c r="A819" s="52"/>
      <c r="B819" s="76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</row>
    <row r="820">
      <c r="A820" s="52"/>
      <c r="B820" s="76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</row>
    <row r="821">
      <c r="A821" s="52"/>
      <c r="B821" s="76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</row>
    <row r="822">
      <c r="A822" s="52"/>
      <c r="B822" s="76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</row>
    <row r="823">
      <c r="A823" s="52"/>
      <c r="B823" s="76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</row>
    <row r="824">
      <c r="A824" s="52"/>
      <c r="B824" s="76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</row>
    <row r="825">
      <c r="A825" s="52"/>
      <c r="B825" s="76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</row>
    <row r="826">
      <c r="A826" s="52"/>
      <c r="B826" s="76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</row>
    <row r="827">
      <c r="A827" s="52"/>
      <c r="B827" s="76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</row>
    <row r="828">
      <c r="A828" s="52"/>
      <c r="B828" s="76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</row>
    <row r="829">
      <c r="A829" s="52"/>
      <c r="B829" s="76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</row>
    <row r="830">
      <c r="A830" s="52"/>
      <c r="B830" s="76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</row>
    <row r="831">
      <c r="A831" s="52"/>
      <c r="B831" s="76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</row>
    <row r="832">
      <c r="A832" s="52"/>
      <c r="B832" s="76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</row>
    <row r="833">
      <c r="A833" s="52"/>
      <c r="B833" s="76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</row>
    <row r="834">
      <c r="A834" s="52"/>
      <c r="B834" s="76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</row>
    <row r="835">
      <c r="A835" s="52"/>
      <c r="B835" s="76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</row>
    <row r="836">
      <c r="A836" s="52"/>
      <c r="B836" s="76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</row>
    <row r="837">
      <c r="A837" s="52"/>
      <c r="B837" s="76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</row>
    <row r="838">
      <c r="A838" s="52"/>
      <c r="B838" s="76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</row>
    <row r="839">
      <c r="A839" s="52"/>
      <c r="B839" s="76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</row>
    <row r="840">
      <c r="A840" s="52"/>
      <c r="B840" s="76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</row>
    <row r="841">
      <c r="A841" s="52"/>
      <c r="B841" s="76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</row>
    <row r="842">
      <c r="A842" s="52"/>
      <c r="B842" s="76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</row>
    <row r="843">
      <c r="A843" s="52"/>
      <c r="B843" s="76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</row>
    <row r="844">
      <c r="A844" s="52"/>
      <c r="B844" s="76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</row>
    <row r="845">
      <c r="A845" s="52"/>
      <c r="B845" s="76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</row>
    <row r="846">
      <c r="A846" s="52"/>
      <c r="B846" s="76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</row>
    <row r="847">
      <c r="A847" s="52"/>
      <c r="B847" s="76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</row>
    <row r="848">
      <c r="A848" s="52"/>
      <c r="B848" s="76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</row>
    <row r="849">
      <c r="A849" s="52"/>
      <c r="B849" s="76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</row>
    <row r="850">
      <c r="A850" s="52"/>
      <c r="B850" s="76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</row>
    <row r="851">
      <c r="A851" s="52"/>
      <c r="B851" s="76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</row>
    <row r="852">
      <c r="A852" s="52"/>
      <c r="B852" s="76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</row>
    <row r="853">
      <c r="A853" s="52"/>
      <c r="B853" s="76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</row>
    <row r="854">
      <c r="A854" s="52"/>
      <c r="B854" s="76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</row>
    <row r="855">
      <c r="A855" s="52"/>
      <c r="B855" s="76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</row>
    <row r="856">
      <c r="A856" s="52"/>
      <c r="B856" s="76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</row>
    <row r="857">
      <c r="A857" s="52"/>
      <c r="B857" s="76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</row>
    <row r="858">
      <c r="A858" s="52"/>
      <c r="B858" s="76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</row>
    <row r="859">
      <c r="A859" s="52"/>
      <c r="B859" s="76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</row>
    <row r="860">
      <c r="A860" s="52"/>
      <c r="B860" s="76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</row>
    <row r="861">
      <c r="A861" s="52"/>
      <c r="B861" s="76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</row>
    <row r="862">
      <c r="A862" s="52"/>
      <c r="B862" s="76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</row>
    <row r="863">
      <c r="A863" s="52"/>
      <c r="B863" s="76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</row>
    <row r="864">
      <c r="A864" s="52"/>
      <c r="B864" s="76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</row>
    <row r="865">
      <c r="A865" s="52"/>
      <c r="B865" s="76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</row>
    <row r="866">
      <c r="A866" s="52"/>
      <c r="B866" s="76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</row>
    <row r="867">
      <c r="A867" s="52"/>
      <c r="B867" s="76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</row>
    <row r="868">
      <c r="A868" s="52"/>
      <c r="B868" s="76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</row>
    <row r="869">
      <c r="A869" s="52"/>
      <c r="B869" s="76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</row>
    <row r="870">
      <c r="A870" s="52"/>
      <c r="B870" s="76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</row>
    <row r="871">
      <c r="A871" s="52"/>
      <c r="B871" s="76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</row>
    <row r="872">
      <c r="A872" s="52"/>
      <c r="B872" s="76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</row>
    <row r="873">
      <c r="A873" s="52"/>
      <c r="B873" s="76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</row>
    <row r="874">
      <c r="A874" s="52"/>
      <c r="B874" s="76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</row>
    <row r="875">
      <c r="A875" s="52"/>
      <c r="B875" s="76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</row>
    <row r="876">
      <c r="A876" s="52"/>
      <c r="B876" s="76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</row>
    <row r="877">
      <c r="A877" s="52"/>
      <c r="B877" s="76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</row>
    <row r="878">
      <c r="A878" s="52"/>
      <c r="B878" s="76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</row>
    <row r="879">
      <c r="A879" s="52"/>
      <c r="B879" s="76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</row>
    <row r="880">
      <c r="A880" s="52"/>
      <c r="B880" s="76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</row>
    <row r="881">
      <c r="A881" s="52"/>
      <c r="B881" s="76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</row>
    <row r="882">
      <c r="A882" s="52"/>
      <c r="B882" s="76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</row>
    <row r="883">
      <c r="A883" s="52"/>
      <c r="B883" s="76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</row>
    <row r="884">
      <c r="A884" s="52"/>
      <c r="B884" s="76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</row>
    <row r="885">
      <c r="A885" s="52"/>
      <c r="B885" s="76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</row>
    <row r="886">
      <c r="A886" s="52"/>
      <c r="B886" s="76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</row>
    <row r="887">
      <c r="A887" s="52"/>
      <c r="B887" s="76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</row>
    <row r="888">
      <c r="A888" s="52"/>
      <c r="B888" s="76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</row>
    <row r="889">
      <c r="A889" s="52"/>
      <c r="B889" s="76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</row>
    <row r="890">
      <c r="A890" s="52"/>
      <c r="B890" s="76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</row>
    <row r="891">
      <c r="A891" s="52"/>
      <c r="B891" s="76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</row>
    <row r="892">
      <c r="A892" s="52"/>
      <c r="B892" s="76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</row>
    <row r="893">
      <c r="A893" s="52"/>
      <c r="B893" s="76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</row>
    <row r="894">
      <c r="A894" s="52"/>
      <c r="B894" s="76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</row>
    <row r="895">
      <c r="A895" s="52"/>
      <c r="B895" s="76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</row>
    <row r="896">
      <c r="A896" s="52"/>
      <c r="B896" s="76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</row>
    <row r="897">
      <c r="A897" s="52"/>
      <c r="B897" s="76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</row>
    <row r="898">
      <c r="A898" s="52"/>
      <c r="B898" s="76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</row>
    <row r="899">
      <c r="A899" s="52"/>
      <c r="B899" s="76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</row>
    <row r="900">
      <c r="A900" s="52"/>
      <c r="B900" s="76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</row>
    <row r="901">
      <c r="A901" s="52"/>
      <c r="B901" s="76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</row>
    <row r="902">
      <c r="A902" s="52"/>
      <c r="B902" s="76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</row>
    <row r="903">
      <c r="A903" s="52"/>
      <c r="B903" s="76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</row>
    <row r="904">
      <c r="A904" s="52"/>
      <c r="B904" s="76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</row>
    <row r="905">
      <c r="A905" s="52"/>
      <c r="B905" s="76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</row>
    <row r="906">
      <c r="A906" s="52"/>
      <c r="B906" s="76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</row>
    <row r="907">
      <c r="A907" s="52"/>
      <c r="B907" s="76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</row>
    <row r="908">
      <c r="A908" s="52"/>
      <c r="B908" s="76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</row>
    <row r="909">
      <c r="A909" s="52"/>
      <c r="B909" s="76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</row>
    <row r="910">
      <c r="A910" s="52"/>
      <c r="B910" s="76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</row>
    <row r="911">
      <c r="A911" s="52"/>
      <c r="B911" s="76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</row>
    <row r="912">
      <c r="A912" s="52"/>
      <c r="B912" s="76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</row>
    <row r="913">
      <c r="A913" s="52"/>
      <c r="B913" s="76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</row>
    <row r="914">
      <c r="A914" s="52"/>
      <c r="B914" s="76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</row>
    <row r="915">
      <c r="A915" s="52"/>
      <c r="B915" s="76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</row>
    <row r="916">
      <c r="A916" s="52"/>
      <c r="B916" s="76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</row>
    <row r="917">
      <c r="A917" s="52"/>
      <c r="B917" s="76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</row>
    <row r="918">
      <c r="A918" s="52"/>
      <c r="B918" s="76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</row>
    <row r="919">
      <c r="A919" s="52"/>
      <c r="B919" s="76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</row>
    <row r="920">
      <c r="A920" s="52"/>
      <c r="B920" s="76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</row>
    <row r="921">
      <c r="A921" s="52"/>
      <c r="B921" s="76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</row>
    <row r="922">
      <c r="A922" s="52"/>
      <c r="B922" s="76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</row>
    <row r="923">
      <c r="A923" s="52"/>
      <c r="B923" s="76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</row>
    <row r="924">
      <c r="A924" s="52"/>
      <c r="B924" s="76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</row>
    <row r="925">
      <c r="A925" s="52"/>
      <c r="B925" s="76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</row>
    <row r="926">
      <c r="A926" s="52"/>
      <c r="B926" s="76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</row>
    <row r="927">
      <c r="A927" s="52"/>
      <c r="B927" s="76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</row>
    <row r="928">
      <c r="A928" s="52"/>
      <c r="B928" s="76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</row>
    <row r="929">
      <c r="A929" s="52"/>
      <c r="B929" s="76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</row>
    <row r="930">
      <c r="A930" s="52"/>
      <c r="B930" s="76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</row>
    <row r="931">
      <c r="A931" s="52"/>
      <c r="B931" s="76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</row>
    <row r="932">
      <c r="A932" s="52"/>
      <c r="B932" s="76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</row>
    <row r="933">
      <c r="A933" s="52"/>
      <c r="B933" s="76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</row>
    <row r="934">
      <c r="A934" s="52"/>
      <c r="B934" s="76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</row>
    <row r="935">
      <c r="A935" s="52"/>
      <c r="B935" s="76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</row>
    <row r="936">
      <c r="A936" s="52"/>
      <c r="B936" s="76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</row>
    <row r="937">
      <c r="A937" s="52"/>
      <c r="B937" s="76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</row>
    <row r="938">
      <c r="A938" s="52"/>
      <c r="B938" s="76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</row>
    <row r="939">
      <c r="A939" s="52"/>
      <c r="B939" s="76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</row>
    <row r="940">
      <c r="A940" s="52"/>
      <c r="B940" s="76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</row>
    <row r="941">
      <c r="A941" s="52"/>
      <c r="B941" s="76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</row>
    <row r="942">
      <c r="A942" s="52"/>
      <c r="B942" s="76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</row>
    <row r="943">
      <c r="A943" s="52"/>
      <c r="B943" s="76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</row>
    <row r="944">
      <c r="A944" s="52"/>
      <c r="B944" s="76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</row>
    <row r="945">
      <c r="A945" s="52"/>
      <c r="B945" s="76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</row>
    <row r="946">
      <c r="A946" s="52"/>
      <c r="B946" s="76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</row>
    <row r="947">
      <c r="A947" s="52"/>
      <c r="B947" s="76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</row>
    <row r="948">
      <c r="A948" s="52"/>
      <c r="B948" s="76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</row>
    <row r="949">
      <c r="A949" s="52"/>
      <c r="B949" s="76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</row>
    <row r="950">
      <c r="A950" s="52"/>
      <c r="B950" s="76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</row>
    <row r="951">
      <c r="A951" s="52"/>
      <c r="B951" s="76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</row>
    <row r="952">
      <c r="A952" s="52"/>
      <c r="B952" s="76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</row>
    <row r="953">
      <c r="A953" s="52"/>
      <c r="B953" s="76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</row>
    <row r="954">
      <c r="A954" s="52"/>
      <c r="B954" s="76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</row>
    <row r="955">
      <c r="B955" s="77"/>
    </row>
    <row r="956">
      <c r="B956" s="77"/>
    </row>
    <row r="957">
      <c r="B957" s="77"/>
    </row>
    <row r="958">
      <c r="B958" s="77"/>
    </row>
    <row r="959">
      <c r="B959" s="77"/>
    </row>
    <row r="960">
      <c r="B960" s="77"/>
    </row>
    <row r="961">
      <c r="B961" s="77"/>
    </row>
    <row r="962">
      <c r="B962" s="77"/>
    </row>
    <row r="963">
      <c r="B963" s="77"/>
    </row>
    <row r="964">
      <c r="B964" s="77"/>
    </row>
    <row r="965">
      <c r="B965" s="77"/>
    </row>
    <row r="966">
      <c r="B966" s="77"/>
    </row>
    <row r="967">
      <c r="B967" s="77"/>
    </row>
    <row r="968">
      <c r="B968" s="77"/>
    </row>
    <row r="969">
      <c r="B969" s="77"/>
    </row>
    <row r="970">
      <c r="B970" s="77"/>
    </row>
    <row r="971">
      <c r="B971" s="77"/>
    </row>
    <row r="972">
      <c r="B972" s="77"/>
    </row>
    <row r="973">
      <c r="B973" s="77"/>
    </row>
    <row r="974">
      <c r="B974" s="77"/>
    </row>
    <row r="975">
      <c r="B975" s="77"/>
    </row>
    <row r="976">
      <c r="B976" s="77"/>
    </row>
    <row r="977">
      <c r="B977" s="77"/>
    </row>
    <row r="978">
      <c r="B978" s="77"/>
    </row>
    <row r="979">
      <c r="B979" s="77"/>
    </row>
    <row r="980">
      <c r="B980" s="77"/>
    </row>
    <row r="981">
      <c r="B981" s="77"/>
    </row>
    <row r="982">
      <c r="B982" s="77"/>
    </row>
    <row r="983">
      <c r="B983" s="77"/>
    </row>
    <row r="984">
      <c r="B984" s="77"/>
    </row>
    <row r="985">
      <c r="B985" s="77"/>
    </row>
    <row r="986">
      <c r="B986" s="77"/>
    </row>
    <row r="987">
      <c r="B987" s="77"/>
    </row>
  </sheetData>
  <dataValidations>
    <dataValidation type="list" allowBlank="1" showErrorMessage="1" sqref="N6">
      <formula1>"Renato Balbutin,Irvin James Alpuerto,Angelo Encarnacion,John Cris Ponting,Ryan Mesia"</formula1>
    </dataValidation>
    <dataValidation type="list" allowBlank="1" showErrorMessage="1" sqref="D2:D5 D7:D256">
      <formula1>"Laptop,Desktop"</formula1>
    </dataValidation>
    <dataValidation type="list" allowBlank="1" showErrorMessage="1" sqref="E2:E256">
      <formula1>"Ingress"</formula1>
    </dataValidation>
    <dataValidation type="list" allowBlank="1" showErrorMessage="1" sqref="N2:N5 N7:N256">
      <formula1>"Renato Balbutin,Irvin James Alpuerto,John Cris Ponting,Angelo Encarnacion,Ryan Mesia,Glenn Oturdo,Aldwin Cruz"</formula1>
    </dataValidation>
    <dataValidation type="list" allowBlank="1" showErrorMessage="1" sqref="D6">
      <formula1>"Laptop,Desktop"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3.0"/>
    <col customWidth="1" min="3" max="3" width="24.38"/>
    <col customWidth="1" min="4" max="4" width="12.0"/>
    <col customWidth="1" min="5" max="5" width="12.88"/>
    <col customWidth="1" min="6" max="6" width="11.63"/>
    <col customWidth="1" min="7" max="7" width="49.75"/>
    <col customWidth="1" min="8" max="8" width="12.0"/>
    <col customWidth="1" min="9" max="9" width="16.88"/>
    <col customWidth="1" min="10" max="10" width="20.0"/>
    <col customWidth="1" min="11" max="11" width="28.5"/>
    <col customWidth="1" min="12" max="12" width="27.38"/>
    <col customWidth="1" min="13" max="13" width="27.63"/>
    <col customWidth="1" min="14" max="14" width="21.63"/>
  </cols>
  <sheetData>
    <row r="1">
      <c r="A1" s="75" t="s">
        <v>0</v>
      </c>
      <c r="B1" s="75" t="s">
        <v>1</v>
      </c>
      <c r="C1" s="75" t="s">
        <v>4</v>
      </c>
      <c r="D1" s="75" t="s">
        <v>3</v>
      </c>
      <c r="E1" s="75" t="s">
        <v>2864</v>
      </c>
      <c r="F1" s="75" t="s">
        <v>2</v>
      </c>
      <c r="G1" s="75" t="s">
        <v>2828</v>
      </c>
      <c r="H1" s="75" t="s">
        <v>3026</v>
      </c>
      <c r="I1" s="75" t="s">
        <v>2830</v>
      </c>
      <c r="J1" s="75" t="s">
        <v>3027</v>
      </c>
      <c r="K1" s="75" t="s">
        <v>2831</v>
      </c>
      <c r="L1" s="75" t="s">
        <v>2832</v>
      </c>
      <c r="M1" s="75" t="s">
        <v>2833</v>
      </c>
      <c r="N1" s="75" t="s">
        <v>3028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>
      <c r="A2" s="45" t="s">
        <v>3029</v>
      </c>
      <c r="B2" s="45" t="s">
        <v>2733</v>
      </c>
      <c r="C2" s="45" t="s">
        <v>2735</v>
      </c>
      <c r="D2" s="45" t="s">
        <v>1960</v>
      </c>
      <c r="E2" s="45" t="s">
        <v>2850</v>
      </c>
      <c r="F2" s="45" t="s">
        <v>3030</v>
      </c>
      <c r="G2" s="45" t="s">
        <v>3031</v>
      </c>
      <c r="H2" s="45" t="s">
        <v>3032</v>
      </c>
      <c r="I2" s="45" t="s">
        <v>2852</v>
      </c>
      <c r="J2" s="45" t="s">
        <v>2853</v>
      </c>
      <c r="K2" s="45" t="s">
        <v>3033</v>
      </c>
      <c r="L2" s="45" t="s">
        <v>3034</v>
      </c>
      <c r="M2" s="45" t="s">
        <v>3035</v>
      </c>
      <c r="N2" s="45" t="s">
        <v>2879</v>
      </c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>
      <c r="A3" s="78" t="s">
        <v>2549</v>
      </c>
      <c r="B3" s="78">
        <v>6.0020252E7</v>
      </c>
      <c r="C3" s="78" t="s">
        <v>2540</v>
      </c>
      <c r="D3" s="45" t="s">
        <v>1960</v>
      </c>
      <c r="E3" s="45" t="s">
        <v>2850</v>
      </c>
      <c r="F3" s="78" t="s">
        <v>2550</v>
      </c>
      <c r="G3" s="45" t="s">
        <v>3036</v>
      </c>
      <c r="H3" s="78" t="s">
        <v>3037</v>
      </c>
      <c r="I3" s="45" t="s">
        <v>2852</v>
      </c>
      <c r="J3" s="45" t="s">
        <v>2853</v>
      </c>
      <c r="K3" s="79" t="s">
        <v>3038</v>
      </c>
      <c r="L3" s="80" t="s">
        <v>3039</v>
      </c>
      <c r="M3" s="45" t="s">
        <v>3040</v>
      </c>
      <c r="N3" s="45" t="s">
        <v>2983</v>
      </c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>
      <c r="A4" s="78" t="s">
        <v>2538</v>
      </c>
      <c r="B4" s="78">
        <v>6.0020148E7</v>
      </c>
      <c r="C4" s="78" t="s">
        <v>2761</v>
      </c>
      <c r="D4" s="45" t="s">
        <v>1960</v>
      </c>
      <c r="E4" s="45" t="s">
        <v>2850</v>
      </c>
      <c r="F4" s="78" t="s">
        <v>2539</v>
      </c>
      <c r="G4" s="78" t="s">
        <v>3041</v>
      </c>
      <c r="H4" s="45" t="s">
        <v>3042</v>
      </c>
      <c r="I4" s="45" t="s">
        <v>2852</v>
      </c>
      <c r="J4" s="45" t="s">
        <v>2853</v>
      </c>
      <c r="K4" s="45" t="s">
        <v>3043</v>
      </c>
      <c r="L4" s="45" t="s">
        <v>3044</v>
      </c>
      <c r="M4" s="45" t="s">
        <v>3045</v>
      </c>
      <c r="N4" s="45" t="s">
        <v>2879</v>
      </c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>
      <c r="A5" s="81" t="s">
        <v>2880</v>
      </c>
      <c r="B5" s="82">
        <v>6.0023252E7</v>
      </c>
      <c r="C5" s="83" t="s">
        <v>3046</v>
      </c>
      <c r="D5" s="45" t="s">
        <v>1960</v>
      </c>
      <c r="E5" s="45" t="s">
        <v>2850</v>
      </c>
      <c r="F5" s="83" t="s">
        <v>2882</v>
      </c>
      <c r="G5" s="83" t="s">
        <v>3047</v>
      </c>
      <c r="H5" s="45" t="s">
        <v>3048</v>
      </c>
      <c r="I5" s="45" t="s">
        <v>2852</v>
      </c>
      <c r="J5" s="45" t="s">
        <v>2853</v>
      </c>
      <c r="K5" s="84" t="s">
        <v>3049</v>
      </c>
      <c r="L5" s="45" t="s">
        <v>2989</v>
      </c>
      <c r="M5" s="45" t="s">
        <v>2990</v>
      </c>
      <c r="N5" s="45" t="s">
        <v>2871</v>
      </c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>
      <c r="A6" s="85" t="s">
        <v>2824</v>
      </c>
      <c r="B6" s="86">
        <v>6.0020159E7</v>
      </c>
      <c r="C6" s="78" t="s">
        <v>2761</v>
      </c>
      <c r="D6" s="45" t="s">
        <v>1960</v>
      </c>
      <c r="E6" s="45" t="s">
        <v>2850</v>
      </c>
      <c r="F6" s="87" t="s">
        <v>2825</v>
      </c>
      <c r="G6" s="45" t="s">
        <v>3050</v>
      </c>
      <c r="H6" s="45" t="s">
        <v>2995</v>
      </c>
      <c r="I6" s="45" t="s">
        <v>2852</v>
      </c>
      <c r="J6" s="45" t="s">
        <v>2853</v>
      </c>
      <c r="K6" s="45" t="s">
        <v>3051</v>
      </c>
      <c r="L6" s="45" t="s">
        <v>3052</v>
      </c>
      <c r="M6" s="45" t="s">
        <v>3053</v>
      </c>
      <c r="N6" s="45" t="s">
        <v>2871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>
      <c r="A7" s="45"/>
      <c r="B7" s="78">
        <v>6.0021211E7</v>
      </c>
      <c r="C7" s="78" t="s">
        <v>3054</v>
      </c>
      <c r="D7" s="45" t="s">
        <v>10</v>
      </c>
      <c r="E7" s="45" t="s">
        <v>2850</v>
      </c>
      <c r="F7" s="78" t="s">
        <v>3055</v>
      </c>
      <c r="G7" s="87" t="s">
        <v>3056</v>
      </c>
      <c r="H7" s="88">
        <v>46083.0</v>
      </c>
      <c r="I7" s="45" t="s">
        <v>3057</v>
      </c>
      <c r="J7" s="45" t="s">
        <v>2853</v>
      </c>
      <c r="K7" s="45" t="s">
        <v>3058</v>
      </c>
      <c r="L7" s="45" t="s">
        <v>3059</v>
      </c>
      <c r="M7" s="45" t="s">
        <v>3060</v>
      </c>
      <c r="N7" s="45" t="s">
        <v>2879</v>
      </c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>
      <c r="A8" s="89" t="s">
        <v>2814</v>
      </c>
      <c r="B8" s="90">
        <v>6.0022893E7</v>
      </c>
      <c r="C8" s="89" t="s">
        <v>2924</v>
      </c>
      <c r="D8" s="45" t="s">
        <v>1960</v>
      </c>
      <c r="E8" s="45" t="s">
        <v>2850</v>
      </c>
      <c r="F8" s="89" t="s">
        <v>2813</v>
      </c>
      <c r="G8" s="89" t="s">
        <v>3061</v>
      </c>
      <c r="H8" s="91">
        <v>46175.0</v>
      </c>
      <c r="I8" s="45" t="s">
        <v>2852</v>
      </c>
      <c r="J8" s="45" t="s">
        <v>2853</v>
      </c>
      <c r="K8" s="45" t="s">
        <v>3062</v>
      </c>
      <c r="L8" s="92" t="s">
        <v>3063</v>
      </c>
      <c r="M8" s="45" t="s">
        <v>3064</v>
      </c>
      <c r="N8" s="45" t="s">
        <v>2871</v>
      </c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>
      <c r="A9" s="93">
        <v>6.002067E7</v>
      </c>
      <c r="B9" s="93">
        <v>6.002067E7</v>
      </c>
      <c r="C9" s="87" t="s">
        <v>3065</v>
      </c>
      <c r="D9" s="45" t="s">
        <v>3066</v>
      </c>
      <c r="E9" s="45" t="s">
        <v>2850</v>
      </c>
      <c r="F9" s="87" t="s">
        <v>3067</v>
      </c>
      <c r="G9" s="45" t="s">
        <v>3068</v>
      </c>
      <c r="H9" s="94">
        <v>46328.0</v>
      </c>
      <c r="I9" s="45" t="s">
        <v>3069</v>
      </c>
      <c r="J9" s="45" t="s">
        <v>2853</v>
      </c>
      <c r="K9" s="87" t="s">
        <v>3070</v>
      </c>
      <c r="L9" s="45" t="s">
        <v>3071</v>
      </c>
      <c r="M9" s="45" t="s">
        <v>3072</v>
      </c>
      <c r="N9" s="45" t="s">
        <v>2894</v>
      </c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>
      <c r="A10" s="87" t="s">
        <v>2553</v>
      </c>
      <c r="B10" s="86">
        <v>6.0020254E7</v>
      </c>
      <c r="C10" s="87" t="s">
        <v>3073</v>
      </c>
      <c r="D10" s="45" t="s">
        <v>1960</v>
      </c>
      <c r="E10" s="45" t="s">
        <v>2850</v>
      </c>
      <c r="F10" s="87" t="s">
        <v>2552</v>
      </c>
      <c r="G10" s="87" t="s">
        <v>2851</v>
      </c>
      <c r="H10" s="45" t="s">
        <v>3074</v>
      </c>
      <c r="I10" s="45" t="s">
        <v>2852</v>
      </c>
      <c r="J10" s="45" t="s">
        <v>2853</v>
      </c>
      <c r="K10" s="45" t="s">
        <v>3075</v>
      </c>
      <c r="L10" s="95" t="s">
        <v>3076</v>
      </c>
      <c r="M10" s="45" t="s">
        <v>3064</v>
      </c>
      <c r="N10" s="45" t="s">
        <v>2871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>
      <c r="A11" s="87" t="s">
        <v>2954</v>
      </c>
      <c r="B11" s="86">
        <v>6.0021847E7</v>
      </c>
      <c r="C11" s="45" t="s">
        <v>3077</v>
      </c>
      <c r="D11" s="45" t="s">
        <v>1960</v>
      </c>
      <c r="E11" s="45" t="s">
        <v>2850</v>
      </c>
      <c r="F11" s="45" t="s">
        <v>2956</v>
      </c>
      <c r="G11" s="87" t="s">
        <v>2851</v>
      </c>
      <c r="H11" s="45" t="s">
        <v>3078</v>
      </c>
      <c r="I11" s="45" t="s">
        <v>2852</v>
      </c>
      <c r="J11" s="45" t="s">
        <v>2853</v>
      </c>
      <c r="K11" s="87" t="s">
        <v>3079</v>
      </c>
      <c r="L11" s="45" t="s">
        <v>3080</v>
      </c>
      <c r="M11" s="95" t="s">
        <v>2901</v>
      </c>
      <c r="N11" s="45" t="s">
        <v>2894</v>
      </c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>
      <c r="A12" s="96" t="s">
        <v>2848</v>
      </c>
      <c r="B12" s="96" t="s">
        <v>2843</v>
      </c>
      <c r="C12" s="96" t="s">
        <v>2849</v>
      </c>
      <c r="D12" s="96" t="s">
        <v>1960</v>
      </c>
      <c r="E12" s="96" t="s">
        <v>2850</v>
      </c>
      <c r="F12" s="96" t="s">
        <v>2839</v>
      </c>
      <c r="G12" s="87" t="s">
        <v>2851</v>
      </c>
      <c r="H12" s="96" t="s">
        <v>2841</v>
      </c>
      <c r="I12" s="45" t="s">
        <v>2852</v>
      </c>
      <c r="J12" s="45" t="s">
        <v>2853</v>
      </c>
      <c r="K12" s="96" t="s">
        <v>2854</v>
      </c>
      <c r="L12" s="96" t="s">
        <v>2855</v>
      </c>
      <c r="M12" s="96" t="s">
        <v>2856</v>
      </c>
      <c r="N12" s="97" t="s">
        <v>2847</v>
      </c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>
      <c r="A13" s="98" t="s">
        <v>785</v>
      </c>
      <c r="B13" s="96" t="s">
        <v>786</v>
      </c>
      <c r="C13" s="96" t="s">
        <v>11</v>
      </c>
      <c r="D13" s="96" t="s">
        <v>10</v>
      </c>
      <c r="E13" s="45"/>
      <c r="F13" s="96" t="s">
        <v>787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</row>
  </sheetData>
  <dataValidations>
    <dataValidation type="list" allowBlank="1" showErrorMessage="1" sqref="N2:N289">
      <formula1>"Renato Balbutin,Irvin James Alpuerto,Angelo Encarnacion,John Cris Ponting,Ryan Mesia"</formula1>
    </dataValidation>
    <dataValidation type="list" allowBlank="1" showErrorMessage="1" sqref="E2:E289">
      <formula1>"Egress"</formula1>
    </dataValidation>
    <dataValidation type="list" allowBlank="1" showErrorMessage="1" sqref="D2:D8 D10:D289">
      <formula1>"Laptop,Desktop"</formula1>
    </dataValidation>
    <dataValidation type="list" allowBlank="1" showErrorMessage="1" sqref="D9">
      <formula1>"Laptop,Desktop,Monitor"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4" max="4" width="18.13"/>
    <col customWidth="1" min="7" max="7" width="30.75"/>
    <col customWidth="1" min="8" max="8" width="14.25"/>
    <col customWidth="1" min="9" max="9" width="20.75"/>
    <col customWidth="1" min="10" max="10" width="20.25"/>
    <col customWidth="1" min="13" max="13" width="17.88"/>
  </cols>
  <sheetData>
    <row r="1">
      <c r="A1" s="99" t="s">
        <v>3081</v>
      </c>
      <c r="B1" s="100" t="s">
        <v>0</v>
      </c>
      <c r="C1" s="101" t="s">
        <v>1</v>
      </c>
      <c r="D1" s="101" t="s">
        <v>2</v>
      </c>
      <c r="E1" s="101" t="s">
        <v>3082</v>
      </c>
      <c r="F1" s="101" t="s">
        <v>3083</v>
      </c>
      <c r="G1" s="101" t="s">
        <v>3084</v>
      </c>
      <c r="H1" s="100" t="s">
        <v>3085</v>
      </c>
      <c r="I1" s="4" t="s">
        <v>5</v>
      </c>
      <c r="J1" s="102" t="s">
        <v>3086</v>
      </c>
      <c r="K1" s="4" t="s">
        <v>6</v>
      </c>
      <c r="L1" s="4" t="s">
        <v>4</v>
      </c>
      <c r="M1" s="103" t="s">
        <v>3087</v>
      </c>
      <c r="N1" s="102" t="s">
        <v>3088</v>
      </c>
      <c r="O1" s="104" t="s">
        <v>3089</v>
      </c>
      <c r="P1" s="102" t="s">
        <v>3090</v>
      </c>
      <c r="Q1" s="102" t="s">
        <v>3091</v>
      </c>
      <c r="R1" s="102" t="s">
        <v>3092</v>
      </c>
      <c r="S1" s="102" t="s">
        <v>2830</v>
      </c>
      <c r="T1" s="102" t="s">
        <v>0</v>
      </c>
      <c r="U1" s="102" t="s">
        <v>3093</v>
      </c>
      <c r="V1" s="102" t="s">
        <v>3094</v>
      </c>
      <c r="W1" s="102" t="s">
        <v>3095</v>
      </c>
      <c r="X1" s="102" t="s">
        <v>3096</v>
      </c>
      <c r="Y1" s="102" t="s">
        <v>3097</v>
      </c>
      <c r="Z1" s="102" t="s">
        <v>3098</v>
      </c>
      <c r="AA1" s="102" t="s">
        <v>3099</v>
      </c>
      <c r="AB1" s="102" t="s">
        <v>3100</v>
      </c>
      <c r="AC1" s="102" t="s">
        <v>3101</v>
      </c>
      <c r="AD1" s="102" t="s">
        <v>3102</v>
      </c>
      <c r="AE1" s="102" t="s">
        <v>2865</v>
      </c>
      <c r="AF1" s="102" t="s">
        <v>3103</v>
      </c>
      <c r="AG1" s="102" t="s">
        <v>3104</v>
      </c>
      <c r="AH1" s="102" t="s">
        <v>3105</v>
      </c>
      <c r="AI1" s="11"/>
    </row>
    <row r="2">
      <c r="A2" s="105" t="str">
        <f t="shared" ref="A2:A3" si="1">#REF!+1</f>
        <v>#REF!</v>
      </c>
      <c r="B2" s="106" t="s">
        <v>1963</v>
      </c>
      <c r="C2" s="106" t="s">
        <v>1963</v>
      </c>
      <c r="D2" s="106" t="s">
        <v>1964</v>
      </c>
      <c r="E2" s="106" t="s">
        <v>3106</v>
      </c>
      <c r="F2" s="106" t="s">
        <v>1960</v>
      </c>
      <c r="G2" s="106" t="s">
        <v>1965</v>
      </c>
      <c r="H2" s="107"/>
      <c r="I2" s="16" t="s">
        <v>1962</v>
      </c>
      <c r="J2" s="17"/>
      <c r="K2" s="16" t="s">
        <v>13</v>
      </c>
      <c r="L2" s="16" t="s">
        <v>3107</v>
      </c>
      <c r="M2" s="108">
        <v>41298.0</v>
      </c>
      <c r="N2" s="109">
        <f t="shared" ref="N2:N19" si="2">YEAR(TODAY()) - YEAR(DATEVALUE(M2))
</f>
        <v>13</v>
      </c>
      <c r="O2" s="17"/>
      <c r="P2" s="110" t="s">
        <v>3108</v>
      </c>
      <c r="Q2" s="17"/>
      <c r="R2" s="17"/>
      <c r="S2" s="17"/>
      <c r="T2" s="16" t="s">
        <v>1963</v>
      </c>
      <c r="U2" s="17"/>
      <c r="V2" s="17"/>
      <c r="W2" s="17"/>
      <c r="X2" s="17"/>
      <c r="Y2" s="17"/>
      <c r="Z2" s="17"/>
      <c r="AA2" s="17"/>
      <c r="AB2" s="17"/>
      <c r="AC2" s="16" t="e">
        <v>#N/A</v>
      </c>
      <c r="AD2" s="16" t="e">
        <v>#N/A</v>
      </c>
      <c r="AE2" s="16" t="e">
        <v>#N/A</v>
      </c>
      <c r="AF2" s="17"/>
      <c r="AG2" s="16">
        <v>5.5001013E7</v>
      </c>
      <c r="AH2" s="17"/>
      <c r="AI2" s="11"/>
    </row>
    <row r="3">
      <c r="A3" s="105" t="str">
        <f t="shared" si="1"/>
        <v>#REF!</v>
      </c>
      <c r="B3" s="106" t="s">
        <v>1971</v>
      </c>
      <c r="C3" s="106" t="s">
        <v>1971</v>
      </c>
      <c r="D3" s="106" t="s">
        <v>1972</v>
      </c>
      <c r="E3" s="106" t="s">
        <v>3106</v>
      </c>
      <c r="F3" s="106" t="s">
        <v>1960</v>
      </c>
      <c r="G3" s="106" t="s">
        <v>1973</v>
      </c>
      <c r="H3" s="107"/>
      <c r="I3" s="16" t="s">
        <v>1962</v>
      </c>
      <c r="J3" s="17"/>
      <c r="K3" s="16" t="s">
        <v>79</v>
      </c>
      <c r="L3" s="16" t="s">
        <v>3109</v>
      </c>
      <c r="M3" s="108">
        <v>42380.0</v>
      </c>
      <c r="N3" s="109">
        <f t="shared" si="2"/>
        <v>10</v>
      </c>
      <c r="O3" s="111"/>
      <c r="P3" s="16" t="s">
        <v>3110</v>
      </c>
      <c r="Q3" s="17"/>
      <c r="R3" s="17"/>
      <c r="S3" s="17"/>
      <c r="T3" s="16" t="s">
        <v>1971</v>
      </c>
      <c r="U3" s="17"/>
      <c r="V3" s="17"/>
      <c r="W3" s="17"/>
      <c r="X3" s="17"/>
      <c r="Y3" s="17"/>
      <c r="Z3" s="17"/>
      <c r="AA3" s="17"/>
      <c r="AB3" s="17"/>
      <c r="AC3" s="16" t="e">
        <v>#N/A</v>
      </c>
      <c r="AD3" s="16" t="e">
        <v>#N/A</v>
      </c>
      <c r="AE3" s="16" t="e">
        <v>#N/A</v>
      </c>
      <c r="AF3" s="17"/>
      <c r="AG3" s="16">
        <v>5.5001203E7</v>
      </c>
      <c r="AH3" s="17"/>
      <c r="AI3" s="11"/>
    </row>
    <row r="4">
      <c r="A4" s="105" t="str">
        <f t="shared" ref="A4:A12" si="3">A3+1</f>
        <v>#REF!</v>
      </c>
      <c r="B4" s="106">
        <v>2.130000387E9</v>
      </c>
      <c r="C4" s="106">
        <v>2.130000387E9</v>
      </c>
      <c r="D4" s="106" t="s">
        <v>1974</v>
      </c>
      <c r="E4" s="106" t="s">
        <v>3106</v>
      </c>
      <c r="F4" s="106" t="s">
        <v>1960</v>
      </c>
      <c r="G4" s="106" t="s">
        <v>1975</v>
      </c>
      <c r="H4" s="107"/>
      <c r="I4" s="16" t="s">
        <v>1962</v>
      </c>
      <c r="J4" s="17"/>
      <c r="K4" s="16" t="s">
        <v>36</v>
      </c>
      <c r="L4" s="16" t="s">
        <v>3111</v>
      </c>
      <c r="M4" s="108" t="e">
        <v>#N/A</v>
      </c>
      <c r="N4" s="109" t="str">
        <f t="shared" si="2"/>
        <v>#N/A</v>
      </c>
      <c r="O4" s="111"/>
      <c r="P4" s="16" t="s">
        <v>3110</v>
      </c>
      <c r="Q4" s="17"/>
      <c r="R4" s="17"/>
      <c r="S4" s="17"/>
      <c r="T4" s="16">
        <v>2.130000387E9</v>
      </c>
      <c r="U4" s="17"/>
      <c r="V4" s="17"/>
      <c r="W4" s="17"/>
      <c r="X4" s="17"/>
      <c r="Y4" s="17"/>
      <c r="Z4" s="17"/>
      <c r="AA4" s="17"/>
      <c r="AB4" s="17"/>
      <c r="AC4" s="16" t="e">
        <v>#N/A</v>
      </c>
      <c r="AD4" s="16" t="e">
        <v>#N/A</v>
      </c>
      <c r="AE4" s="16" t="e">
        <v>#N/A</v>
      </c>
      <c r="AF4" s="17"/>
      <c r="AG4" s="17"/>
      <c r="AH4" s="17"/>
      <c r="AI4" s="11"/>
    </row>
    <row r="5">
      <c r="A5" s="105" t="str">
        <f t="shared" si="3"/>
        <v>#REF!</v>
      </c>
      <c r="B5" s="106" t="s">
        <v>1976</v>
      </c>
      <c r="C5" s="106" t="s">
        <v>1976</v>
      </c>
      <c r="D5" s="106" t="s">
        <v>1977</v>
      </c>
      <c r="E5" s="106" t="s">
        <v>3106</v>
      </c>
      <c r="F5" s="106" t="s">
        <v>1960</v>
      </c>
      <c r="G5" s="106" t="s">
        <v>1978</v>
      </c>
      <c r="H5" s="107"/>
      <c r="I5" s="16" t="s">
        <v>1962</v>
      </c>
      <c r="J5" s="17"/>
      <c r="K5" s="16" t="s">
        <v>36</v>
      </c>
      <c r="L5" s="16" t="s">
        <v>3112</v>
      </c>
      <c r="M5" s="108" t="e">
        <v>#N/A</v>
      </c>
      <c r="N5" s="109" t="str">
        <f t="shared" si="2"/>
        <v>#N/A</v>
      </c>
      <c r="O5" s="111"/>
      <c r="P5" s="16" t="s">
        <v>3110</v>
      </c>
      <c r="Q5" s="17"/>
      <c r="R5" s="17"/>
      <c r="S5" s="17"/>
      <c r="T5" s="16" t="s">
        <v>1976</v>
      </c>
      <c r="U5" s="17"/>
      <c r="V5" s="17"/>
      <c r="W5" s="17"/>
      <c r="X5" s="17"/>
      <c r="Y5" s="17"/>
      <c r="Z5" s="17"/>
      <c r="AA5" s="17"/>
      <c r="AB5" s="17"/>
      <c r="AC5" s="16" t="e">
        <v>#N/A</v>
      </c>
      <c r="AD5" s="16" t="e">
        <v>#N/A</v>
      </c>
      <c r="AE5" s="16" t="e">
        <v>#N/A</v>
      </c>
      <c r="AF5" s="17"/>
      <c r="AG5" s="17"/>
      <c r="AH5" s="17"/>
      <c r="AI5" s="11"/>
    </row>
    <row r="6">
      <c r="A6" s="105" t="str">
        <f t="shared" si="3"/>
        <v>#REF!</v>
      </c>
      <c r="B6" s="106" t="s">
        <v>1979</v>
      </c>
      <c r="C6" s="106" t="s">
        <v>1979</v>
      </c>
      <c r="D6" s="106" t="s">
        <v>1980</v>
      </c>
      <c r="E6" s="106" t="s">
        <v>3106</v>
      </c>
      <c r="F6" s="106" t="s">
        <v>1960</v>
      </c>
      <c r="G6" s="106" t="s">
        <v>1978</v>
      </c>
      <c r="H6" s="107"/>
      <c r="I6" s="16" t="s">
        <v>1962</v>
      </c>
      <c r="J6" s="17"/>
      <c r="K6" s="16" t="s">
        <v>36</v>
      </c>
      <c r="L6" s="16" t="s">
        <v>3112</v>
      </c>
      <c r="M6" s="108" t="e">
        <v>#N/A</v>
      </c>
      <c r="N6" s="109" t="str">
        <f t="shared" si="2"/>
        <v>#N/A</v>
      </c>
      <c r="O6" s="111"/>
      <c r="P6" s="16" t="s">
        <v>3110</v>
      </c>
      <c r="Q6" s="17"/>
      <c r="R6" s="17"/>
      <c r="S6" s="17"/>
      <c r="T6" s="16" t="s">
        <v>1979</v>
      </c>
      <c r="U6" s="17"/>
      <c r="V6" s="17"/>
      <c r="W6" s="17"/>
      <c r="X6" s="17"/>
      <c r="Y6" s="17"/>
      <c r="Z6" s="17"/>
      <c r="AA6" s="17"/>
      <c r="AB6" s="17"/>
      <c r="AC6" s="16" t="e">
        <v>#N/A</v>
      </c>
      <c r="AD6" s="16" t="e">
        <v>#N/A</v>
      </c>
      <c r="AE6" s="16" t="e">
        <v>#N/A</v>
      </c>
      <c r="AF6" s="17"/>
      <c r="AG6" s="17"/>
      <c r="AH6" s="17"/>
      <c r="AI6" s="11"/>
    </row>
    <row r="7">
      <c r="A7" s="105" t="str">
        <f t="shared" si="3"/>
        <v>#REF!</v>
      </c>
      <c r="B7" s="106" t="s">
        <v>1981</v>
      </c>
      <c r="C7" s="106" t="s">
        <v>1981</v>
      </c>
      <c r="D7" s="106">
        <v>4.00558042E9</v>
      </c>
      <c r="E7" s="106" t="s">
        <v>3106</v>
      </c>
      <c r="F7" s="106" t="s">
        <v>1960</v>
      </c>
      <c r="G7" s="106" t="s">
        <v>1982</v>
      </c>
      <c r="H7" s="107"/>
      <c r="I7" s="16" t="s">
        <v>1962</v>
      </c>
      <c r="J7" s="17"/>
      <c r="K7" s="16" t="s">
        <v>1983</v>
      </c>
      <c r="L7" s="16" t="s">
        <v>3113</v>
      </c>
      <c r="M7" s="108">
        <v>40529.0</v>
      </c>
      <c r="N7" s="109">
        <f t="shared" si="2"/>
        <v>16</v>
      </c>
      <c r="O7" s="111"/>
      <c r="P7" s="16" t="s">
        <v>3110</v>
      </c>
      <c r="Q7" s="17"/>
      <c r="R7" s="17"/>
      <c r="S7" s="17"/>
      <c r="T7" s="16" t="s">
        <v>1981</v>
      </c>
      <c r="U7" s="17"/>
      <c r="V7" s="17"/>
      <c r="W7" s="17"/>
      <c r="X7" s="17"/>
      <c r="Y7" s="17"/>
      <c r="Z7" s="17"/>
      <c r="AA7" s="17"/>
      <c r="AB7" s="17"/>
      <c r="AC7" s="16" t="e">
        <v>#N/A</v>
      </c>
      <c r="AD7" s="16" t="e">
        <v>#N/A</v>
      </c>
      <c r="AE7" s="16" t="e">
        <v>#N/A</v>
      </c>
      <c r="AF7" s="17"/>
      <c r="AG7" s="16">
        <v>3.5000842E7</v>
      </c>
      <c r="AH7" s="17"/>
      <c r="AI7" s="11"/>
    </row>
    <row r="8">
      <c r="A8" s="105" t="str">
        <f t="shared" si="3"/>
        <v>#REF!</v>
      </c>
      <c r="B8" s="106" t="s">
        <v>1984</v>
      </c>
      <c r="C8" s="106" t="s">
        <v>1984</v>
      </c>
      <c r="D8" s="106" t="s">
        <v>1985</v>
      </c>
      <c r="E8" s="106" t="s">
        <v>3106</v>
      </c>
      <c r="F8" s="106" t="s">
        <v>1960</v>
      </c>
      <c r="G8" s="106" t="s">
        <v>1986</v>
      </c>
      <c r="H8" s="107"/>
      <c r="I8" s="16" t="s">
        <v>1962</v>
      </c>
      <c r="J8" s="17"/>
      <c r="K8" s="16" t="s">
        <v>13</v>
      </c>
      <c r="L8" s="16" t="s">
        <v>3114</v>
      </c>
      <c r="M8" s="108">
        <v>41473.0</v>
      </c>
      <c r="N8" s="109">
        <f t="shared" si="2"/>
        <v>13</v>
      </c>
      <c r="O8" s="111"/>
      <c r="P8" s="16" t="s">
        <v>3110</v>
      </c>
      <c r="Q8" s="17"/>
      <c r="R8" s="17"/>
      <c r="S8" s="17"/>
      <c r="T8" s="16" t="s">
        <v>1984</v>
      </c>
      <c r="U8" s="17"/>
      <c r="V8" s="17"/>
      <c r="W8" s="17"/>
      <c r="X8" s="17"/>
      <c r="Y8" s="17"/>
      <c r="Z8" s="17"/>
      <c r="AA8" s="17"/>
      <c r="AB8" s="17"/>
      <c r="AC8" s="16" t="e">
        <v>#N/A</v>
      </c>
      <c r="AD8" s="16" t="e">
        <v>#N/A</v>
      </c>
      <c r="AE8" s="16" t="e">
        <v>#N/A</v>
      </c>
      <c r="AF8" s="17"/>
      <c r="AG8" s="16">
        <v>5.500136E7</v>
      </c>
      <c r="AH8" s="17"/>
      <c r="AI8" s="11"/>
    </row>
    <row r="9">
      <c r="A9" s="105" t="str">
        <f t="shared" si="3"/>
        <v>#REF!</v>
      </c>
      <c r="B9" s="106" t="s">
        <v>1987</v>
      </c>
      <c r="C9" s="106" t="s">
        <v>1987</v>
      </c>
      <c r="D9" s="106" t="s">
        <v>1988</v>
      </c>
      <c r="E9" s="106" t="s">
        <v>3106</v>
      </c>
      <c r="F9" s="106" t="s">
        <v>1960</v>
      </c>
      <c r="G9" s="106" t="s">
        <v>1986</v>
      </c>
      <c r="H9" s="107"/>
      <c r="I9" s="16" t="s">
        <v>1962</v>
      </c>
      <c r="J9" s="17"/>
      <c r="K9" s="16" t="s">
        <v>13</v>
      </c>
      <c r="L9" s="16" t="s">
        <v>3114</v>
      </c>
      <c r="M9" s="108">
        <v>41717.0</v>
      </c>
      <c r="N9" s="109">
        <f t="shared" si="2"/>
        <v>12</v>
      </c>
      <c r="O9" s="111"/>
      <c r="P9" s="16" t="s">
        <v>3110</v>
      </c>
      <c r="Q9" s="17"/>
      <c r="R9" s="17"/>
      <c r="S9" s="17"/>
      <c r="T9" s="16" t="s">
        <v>1987</v>
      </c>
      <c r="U9" s="17"/>
      <c r="V9" s="17"/>
      <c r="W9" s="17"/>
      <c r="X9" s="17"/>
      <c r="Y9" s="17"/>
      <c r="Z9" s="17"/>
      <c r="AA9" s="17"/>
      <c r="AB9" s="17"/>
      <c r="AC9" s="16" t="e">
        <v>#N/A</v>
      </c>
      <c r="AD9" s="16" t="e">
        <v>#N/A</v>
      </c>
      <c r="AE9" s="16" t="e">
        <v>#N/A</v>
      </c>
      <c r="AF9" s="17"/>
      <c r="AG9" s="16">
        <v>5.0000349E7</v>
      </c>
      <c r="AH9" s="17"/>
      <c r="AI9" s="11"/>
    </row>
    <row r="10">
      <c r="A10" s="105" t="str">
        <f t="shared" si="3"/>
        <v>#REF!</v>
      </c>
      <c r="B10" s="106" t="s">
        <v>1989</v>
      </c>
      <c r="C10" s="106" t="s">
        <v>1989</v>
      </c>
      <c r="D10" s="106" t="s">
        <v>1990</v>
      </c>
      <c r="E10" s="106" t="s">
        <v>3106</v>
      </c>
      <c r="F10" s="106" t="s">
        <v>1960</v>
      </c>
      <c r="G10" s="106" t="s">
        <v>1965</v>
      </c>
      <c r="H10" s="107"/>
      <c r="I10" s="16" t="s">
        <v>1962</v>
      </c>
      <c r="J10" s="17"/>
      <c r="K10" s="16" t="s">
        <v>13</v>
      </c>
      <c r="L10" s="16" t="s">
        <v>3107</v>
      </c>
      <c r="M10" s="108">
        <v>41136.0</v>
      </c>
      <c r="N10" s="109">
        <f t="shared" si="2"/>
        <v>14</v>
      </c>
      <c r="O10" s="111"/>
      <c r="P10" s="16" t="s">
        <v>3110</v>
      </c>
      <c r="Q10" s="17"/>
      <c r="R10" s="17"/>
      <c r="S10" s="17"/>
      <c r="T10" s="16" t="s">
        <v>1989</v>
      </c>
      <c r="U10" s="17"/>
      <c r="V10" s="17"/>
      <c r="W10" s="17"/>
      <c r="X10" s="17"/>
      <c r="Y10" s="17"/>
      <c r="Z10" s="17"/>
      <c r="AA10" s="17"/>
      <c r="AB10" s="17"/>
      <c r="AC10" s="16" t="e">
        <v>#N/A</v>
      </c>
      <c r="AD10" s="16" t="e">
        <v>#N/A</v>
      </c>
      <c r="AE10" s="16" t="e">
        <v>#N/A</v>
      </c>
      <c r="AF10" s="17"/>
      <c r="AG10" s="16">
        <v>5.5000549E7</v>
      </c>
      <c r="AH10" s="17"/>
      <c r="AI10" s="11"/>
    </row>
    <row r="11">
      <c r="A11" s="105" t="str">
        <f t="shared" si="3"/>
        <v>#REF!</v>
      </c>
      <c r="B11" s="106" t="s">
        <v>1991</v>
      </c>
      <c r="C11" s="106" t="s">
        <v>1991</v>
      </c>
      <c r="D11" s="106" t="s">
        <v>1992</v>
      </c>
      <c r="E11" s="106" t="s">
        <v>3106</v>
      </c>
      <c r="F11" s="106" t="s">
        <v>1960</v>
      </c>
      <c r="G11" s="106" t="s">
        <v>1993</v>
      </c>
      <c r="H11" s="107"/>
      <c r="I11" s="16" t="s">
        <v>1962</v>
      </c>
      <c r="J11" s="17"/>
      <c r="K11" s="16" t="s">
        <v>13</v>
      </c>
      <c r="L11" s="16" t="s">
        <v>3115</v>
      </c>
      <c r="M11" s="108">
        <v>41198.0</v>
      </c>
      <c r="N11" s="109">
        <f t="shared" si="2"/>
        <v>14</v>
      </c>
      <c r="O11" s="111"/>
      <c r="P11" s="16" t="s">
        <v>3110</v>
      </c>
      <c r="Q11" s="17"/>
      <c r="R11" s="17"/>
      <c r="S11" s="17"/>
      <c r="T11" s="16" t="s">
        <v>1991</v>
      </c>
      <c r="U11" s="17"/>
      <c r="V11" s="17"/>
      <c r="W11" s="17"/>
      <c r="X11" s="17"/>
      <c r="Y11" s="17"/>
      <c r="Z11" s="17"/>
      <c r="AA11" s="17"/>
      <c r="AB11" s="17"/>
      <c r="AC11" s="16" t="e">
        <v>#N/A</v>
      </c>
      <c r="AD11" s="16" t="e">
        <v>#N/A</v>
      </c>
      <c r="AE11" s="16" t="e">
        <v>#N/A</v>
      </c>
      <c r="AF11" s="17"/>
      <c r="AG11" s="16">
        <v>5000772.0</v>
      </c>
      <c r="AH11" s="17"/>
      <c r="AI11" s="11"/>
    </row>
    <row r="12">
      <c r="A12" s="105" t="str">
        <f t="shared" si="3"/>
        <v>#REF!</v>
      </c>
      <c r="B12" s="106" t="s">
        <v>1994</v>
      </c>
      <c r="C12" s="106" t="s">
        <v>1994</v>
      </c>
      <c r="D12" s="106" t="s">
        <v>1995</v>
      </c>
      <c r="E12" s="106" t="s">
        <v>3106</v>
      </c>
      <c r="F12" s="106" t="s">
        <v>1960</v>
      </c>
      <c r="G12" s="106" t="s">
        <v>1996</v>
      </c>
      <c r="H12" s="107"/>
      <c r="I12" s="16" t="s">
        <v>1962</v>
      </c>
      <c r="J12" s="17"/>
      <c r="K12" s="16" t="s">
        <v>1997</v>
      </c>
      <c r="L12" s="16" t="s">
        <v>3116</v>
      </c>
      <c r="M12" s="108">
        <v>41110.0</v>
      </c>
      <c r="N12" s="109">
        <f t="shared" si="2"/>
        <v>14</v>
      </c>
      <c r="O12" s="17"/>
      <c r="P12" s="16" t="s">
        <v>3110</v>
      </c>
      <c r="Q12" s="111"/>
      <c r="R12" s="17"/>
      <c r="S12" s="17"/>
      <c r="T12" s="16" t="s">
        <v>1994</v>
      </c>
      <c r="U12" s="17"/>
      <c r="V12" s="17"/>
      <c r="W12" s="17"/>
      <c r="X12" s="17"/>
      <c r="Y12" s="17"/>
      <c r="Z12" s="17"/>
      <c r="AA12" s="17"/>
      <c r="AB12" s="17"/>
      <c r="AC12" s="16" t="e">
        <v>#N/A</v>
      </c>
      <c r="AD12" s="16" t="e">
        <v>#N/A</v>
      </c>
      <c r="AE12" s="16" t="e">
        <v>#N/A</v>
      </c>
      <c r="AF12" s="17"/>
      <c r="AG12" s="17"/>
      <c r="AH12" s="17"/>
      <c r="AI12" s="11"/>
    </row>
    <row r="13">
      <c r="A13" s="105" t="str">
        <f>#REF!+1</f>
        <v>#REF!</v>
      </c>
      <c r="B13" s="106" t="s">
        <v>2000</v>
      </c>
      <c r="C13" s="106" t="s">
        <v>2000</v>
      </c>
      <c r="D13" s="106" t="s">
        <v>2001</v>
      </c>
      <c r="E13" s="106" t="s">
        <v>3106</v>
      </c>
      <c r="F13" s="106" t="s">
        <v>1960</v>
      </c>
      <c r="G13" s="106" t="s">
        <v>1996</v>
      </c>
      <c r="H13" s="107"/>
      <c r="I13" s="16" t="s">
        <v>1962</v>
      </c>
      <c r="J13" s="17"/>
      <c r="K13" s="16" t="s">
        <v>1997</v>
      </c>
      <c r="L13" s="16" t="s">
        <v>3116</v>
      </c>
      <c r="M13" s="108">
        <v>41110.0</v>
      </c>
      <c r="N13" s="109">
        <f t="shared" si="2"/>
        <v>14</v>
      </c>
      <c r="O13" s="111"/>
      <c r="P13" s="16" t="s">
        <v>3110</v>
      </c>
      <c r="Q13" s="17"/>
      <c r="R13" s="17"/>
      <c r="S13" s="17"/>
      <c r="T13" s="16" t="s">
        <v>2000</v>
      </c>
      <c r="U13" s="17"/>
      <c r="V13" s="17"/>
      <c r="W13" s="17"/>
      <c r="X13" s="17"/>
      <c r="Y13" s="17"/>
      <c r="Z13" s="17"/>
      <c r="AA13" s="17"/>
      <c r="AB13" s="17"/>
      <c r="AC13" s="16" t="e">
        <v>#N/A</v>
      </c>
      <c r="AD13" s="16" t="e">
        <v>#N/A</v>
      </c>
      <c r="AE13" s="16" t="e">
        <v>#N/A</v>
      </c>
      <c r="AF13" s="17"/>
      <c r="AG13" s="17"/>
      <c r="AH13" s="17"/>
      <c r="AI13" s="11"/>
    </row>
    <row r="14">
      <c r="A14" s="105" t="str">
        <f t="shared" ref="A14:A19" si="4">A13+1</f>
        <v>#REF!</v>
      </c>
      <c r="B14" s="106" t="s">
        <v>2002</v>
      </c>
      <c r="C14" s="106" t="s">
        <v>2002</v>
      </c>
      <c r="D14" s="106" t="s">
        <v>2003</v>
      </c>
      <c r="E14" s="106" t="s">
        <v>3106</v>
      </c>
      <c r="F14" s="106" t="s">
        <v>1960</v>
      </c>
      <c r="G14" s="106" t="s">
        <v>1996</v>
      </c>
      <c r="H14" s="107"/>
      <c r="I14" s="16" t="s">
        <v>1962</v>
      </c>
      <c r="J14" s="17"/>
      <c r="K14" s="16" t="s">
        <v>1997</v>
      </c>
      <c r="L14" s="16" t="s">
        <v>3116</v>
      </c>
      <c r="M14" s="108">
        <v>41110.0</v>
      </c>
      <c r="N14" s="109">
        <f t="shared" si="2"/>
        <v>14</v>
      </c>
      <c r="O14" s="111"/>
      <c r="P14" s="16" t="s">
        <v>3110</v>
      </c>
      <c r="Q14" s="17"/>
      <c r="R14" s="17"/>
      <c r="S14" s="17"/>
      <c r="T14" s="16" t="s">
        <v>2002</v>
      </c>
      <c r="U14" s="17"/>
      <c r="V14" s="17"/>
      <c r="W14" s="17"/>
      <c r="X14" s="17"/>
      <c r="Y14" s="17"/>
      <c r="Z14" s="17"/>
      <c r="AA14" s="17"/>
      <c r="AB14" s="17"/>
      <c r="AC14" s="16" t="e">
        <v>#N/A</v>
      </c>
      <c r="AD14" s="16" t="e">
        <v>#N/A</v>
      </c>
      <c r="AE14" s="16" t="e">
        <v>#N/A</v>
      </c>
      <c r="AF14" s="17"/>
      <c r="AG14" s="17"/>
      <c r="AH14" s="17"/>
      <c r="AI14" s="11"/>
    </row>
    <row r="15">
      <c r="A15" s="105" t="str">
        <f t="shared" si="4"/>
        <v>#REF!</v>
      </c>
      <c r="B15" s="106" t="s">
        <v>2004</v>
      </c>
      <c r="C15" s="106" t="s">
        <v>2004</v>
      </c>
      <c r="D15" s="106" t="s">
        <v>2005</v>
      </c>
      <c r="E15" s="106" t="s">
        <v>3106</v>
      </c>
      <c r="F15" s="106" t="s">
        <v>1960</v>
      </c>
      <c r="G15" s="106" t="s">
        <v>2006</v>
      </c>
      <c r="H15" s="107"/>
      <c r="I15" s="16" t="s">
        <v>1962</v>
      </c>
      <c r="J15" s="17"/>
      <c r="K15" s="16" t="s">
        <v>36</v>
      </c>
      <c r="L15" s="16" t="s">
        <v>3117</v>
      </c>
      <c r="M15" s="108" t="e">
        <v>#N/A</v>
      </c>
      <c r="N15" s="109" t="str">
        <f t="shared" si="2"/>
        <v>#N/A</v>
      </c>
      <c r="O15" s="17"/>
      <c r="P15" s="16" t="s">
        <v>3110</v>
      </c>
      <c r="Q15" s="17"/>
      <c r="R15" s="17"/>
      <c r="S15" s="17"/>
      <c r="T15" s="16" t="s">
        <v>2004</v>
      </c>
      <c r="U15" s="17"/>
      <c r="V15" s="17"/>
      <c r="W15" s="17"/>
      <c r="X15" s="17"/>
      <c r="Y15" s="17"/>
      <c r="Z15" s="17"/>
      <c r="AA15" s="17"/>
      <c r="AB15" s="17"/>
      <c r="AC15" s="16" t="e">
        <v>#N/A</v>
      </c>
      <c r="AD15" s="16" t="e">
        <v>#N/A</v>
      </c>
      <c r="AE15" s="16" t="e">
        <v>#N/A</v>
      </c>
      <c r="AF15" s="17"/>
      <c r="AG15" s="17"/>
      <c r="AH15" s="17"/>
      <c r="AI15" s="11"/>
    </row>
    <row r="16">
      <c r="A16" s="105" t="str">
        <f t="shared" si="4"/>
        <v>#REF!</v>
      </c>
      <c r="B16" s="106" t="s">
        <v>2007</v>
      </c>
      <c r="C16" s="106" t="s">
        <v>2007</v>
      </c>
      <c r="D16" s="106" t="s">
        <v>2008</v>
      </c>
      <c r="E16" s="106" t="s">
        <v>3106</v>
      </c>
      <c r="F16" s="106" t="s">
        <v>1960</v>
      </c>
      <c r="G16" s="106" t="s">
        <v>1993</v>
      </c>
      <c r="H16" s="107"/>
      <c r="I16" s="16" t="s">
        <v>1962</v>
      </c>
      <c r="J16" s="17"/>
      <c r="K16" s="16" t="s">
        <v>13</v>
      </c>
      <c r="L16" s="16" t="s">
        <v>3115</v>
      </c>
      <c r="M16" s="108">
        <v>41226.0</v>
      </c>
      <c r="N16" s="109">
        <f t="shared" si="2"/>
        <v>14</v>
      </c>
      <c r="O16" s="111"/>
      <c r="P16" s="16" t="s">
        <v>3110</v>
      </c>
      <c r="Q16" s="17"/>
      <c r="R16" s="17"/>
      <c r="S16" s="17"/>
      <c r="T16" s="16" t="s">
        <v>2007</v>
      </c>
      <c r="U16" s="17"/>
      <c r="V16" s="17"/>
      <c r="W16" s="17"/>
      <c r="X16" s="17"/>
      <c r="Y16" s="17"/>
      <c r="Z16" s="17"/>
      <c r="AA16" s="17"/>
      <c r="AB16" s="17"/>
      <c r="AC16" s="16" t="e">
        <v>#N/A</v>
      </c>
      <c r="AD16" s="16" t="e">
        <v>#N/A</v>
      </c>
      <c r="AE16" s="16" t="e">
        <v>#N/A</v>
      </c>
      <c r="AF16" s="17"/>
      <c r="AG16" s="16">
        <v>5.5000834E7</v>
      </c>
      <c r="AH16" s="17"/>
      <c r="AI16" s="11"/>
    </row>
    <row r="17">
      <c r="A17" s="105" t="str">
        <f t="shared" si="4"/>
        <v>#REF!</v>
      </c>
      <c r="B17" s="106" t="s">
        <v>2009</v>
      </c>
      <c r="C17" s="106" t="s">
        <v>2009</v>
      </c>
      <c r="D17" s="106" t="s">
        <v>2010</v>
      </c>
      <c r="E17" s="106" t="s">
        <v>3106</v>
      </c>
      <c r="F17" s="106" t="s">
        <v>1960</v>
      </c>
      <c r="G17" s="106" t="s">
        <v>1968</v>
      </c>
      <c r="H17" s="107"/>
      <c r="I17" s="16" t="s">
        <v>1962</v>
      </c>
      <c r="J17" s="17"/>
      <c r="K17" s="16" t="s">
        <v>13</v>
      </c>
      <c r="L17" s="16" t="s">
        <v>3118</v>
      </c>
      <c r="M17" s="108">
        <v>41074.0</v>
      </c>
      <c r="N17" s="109">
        <f t="shared" si="2"/>
        <v>14</v>
      </c>
      <c r="O17" s="17"/>
      <c r="P17" s="16" t="s">
        <v>3110</v>
      </c>
      <c r="Q17" s="112"/>
      <c r="R17" s="17"/>
      <c r="S17" s="17"/>
      <c r="T17" s="16" t="s">
        <v>2009</v>
      </c>
      <c r="U17" s="17"/>
      <c r="V17" s="17"/>
      <c r="W17" s="17"/>
      <c r="X17" s="17"/>
      <c r="Y17" s="17"/>
      <c r="Z17" s="17"/>
      <c r="AA17" s="17"/>
      <c r="AB17" s="17"/>
      <c r="AC17" s="16" t="e">
        <v>#N/A</v>
      </c>
      <c r="AD17" s="16" t="e">
        <v>#N/A</v>
      </c>
      <c r="AE17" s="16" t="e">
        <v>#N/A</v>
      </c>
      <c r="AF17" s="17"/>
      <c r="AG17" s="16">
        <v>5.5000417E7</v>
      </c>
      <c r="AH17" s="17"/>
      <c r="AI17" s="11"/>
    </row>
    <row r="18">
      <c r="A18" s="105" t="str">
        <f t="shared" si="4"/>
        <v>#REF!</v>
      </c>
      <c r="B18" s="106" t="s">
        <v>2011</v>
      </c>
      <c r="C18" s="106" t="s">
        <v>2011</v>
      </c>
      <c r="D18" s="106" t="s">
        <v>2012</v>
      </c>
      <c r="E18" s="106" t="s">
        <v>3106</v>
      </c>
      <c r="F18" s="106" t="s">
        <v>1960</v>
      </c>
      <c r="G18" s="106" t="s">
        <v>1968</v>
      </c>
      <c r="H18" s="107"/>
      <c r="I18" s="16" t="s">
        <v>1962</v>
      </c>
      <c r="J18" s="17"/>
      <c r="K18" s="16" t="s">
        <v>13</v>
      </c>
      <c r="L18" s="16" t="s">
        <v>3118</v>
      </c>
      <c r="M18" s="108">
        <v>41158.0</v>
      </c>
      <c r="N18" s="109">
        <f t="shared" si="2"/>
        <v>14</v>
      </c>
      <c r="O18" s="17"/>
      <c r="P18" s="16" t="s">
        <v>3110</v>
      </c>
      <c r="Q18" s="17"/>
      <c r="R18" s="17"/>
      <c r="S18" s="17"/>
      <c r="T18" s="16" t="s">
        <v>2011</v>
      </c>
      <c r="U18" s="17"/>
      <c r="V18" s="17"/>
      <c r="W18" s="17"/>
      <c r="X18" s="17"/>
      <c r="Y18" s="17"/>
      <c r="Z18" s="17"/>
      <c r="AA18" s="17"/>
      <c r="AB18" s="17"/>
      <c r="AC18" s="16" t="e">
        <v>#N/A</v>
      </c>
      <c r="AD18" s="16" t="e">
        <v>#N/A</v>
      </c>
      <c r="AE18" s="16" t="e">
        <v>#N/A</v>
      </c>
      <c r="AF18" s="17"/>
      <c r="AG18" s="16">
        <v>5.5000667E7</v>
      </c>
      <c r="AH18" s="17"/>
      <c r="AI18" s="11"/>
    </row>
    <row r="19">
      <c r="A19" s="105" t="str">
        <f t="shared" si="4"/>
        <v>#REF!</v>
      </c>
      <c r="B19" s="106" t="s">
        <v>2013</v>
      </c>
      <c r="C19" s="106" t="s">
        <v>2013</v>
      </c>
      <c r="D19" s="106" t="s">
        <v>2014</v>
      </c>
      <c r="E19" s="106" t="s">
        <v>3106</v>
      </c>
      <c r="F19" s="106" t="s">
        <v>1960</v>
      </c>
      <c r="G19" s="106" t="s">
        <v>2015</v>
      </c>
      <c r="H19" s="107"/>
      <c r="I19" s="16" t="s">
        <v>1962</v>
      </c>
      <c r="J19" s="17"/>
      <c r="K19" s="16" t="s">
        <v>36</v>
      </c>
      <c r="L19" s="16" t="s">
        <v>3119</v>
      </c>
      <c r="M19" s="108">
        <v>39230.0</v>
      </c>
      <c r="N19" s="109">
        <f t="shared" si="2"/>
        <v>19</v>
      </c>
      <c r="O19" s="17"/>
      <c r="P19" s="16" t="s">
        <v>3110</v>
      </c>
      <c r="Q19" s="17"/>
      <c r="R19" s="17"/>
      <c r="S19" s="17"/>
      <c r="T19" s="16" t="s">
        <v>2013</v>
      </c>
      <c r="U19" s="17"/>
      <c r="V19" s="17"/>
      <c r="W19" s="17"/>
      <c r="X19" s="17"/>
      <c r="Y19" s="17"/>
      <c r="Z19" s="17"/>
      <c r="AA19" s="17"/>
      <c r="AB19" s="17"/>
      <c r="AC19" s="16" t="e">
        <v>#N/A</v>
      </c>
      <c r="AD19" s="16" t="e">
        <v>#N/A</v>
      </c>
      <c r="AE19" s="16" t="e">
        <v>#N/A</v>
      </c>
      <c r="AF19" s="17"/>
      <c r="AG19" s="16">
        <v>4.500002232E9</v>
      </c>
      <c r="AH19" s="17"/>
      <c r="AI19" s="11"/>
    </row>
    <row r="20">
      <c r="A20" s="105" t="str">
        <f>#REF!+1</f>
        <v>#REF!</v>
      </c>
      <c r="B20" s="106" t="s">
        <v>2018</v>
      </c>
      <c r="C20" s="106" t="s">
        <v>2018</v>
      </c>
      <c r="D20" s="106" t="s">
        <v>2019</v>
      </c>
      <c r="E20" s="106" t="s">
        <v>3106</v>
      </c>
      <c r="F20" s="106" t="s">
        <v>1960</v>
      </c>
      <c r="G20" s="106" t="s">
        <v>2020</v>
      </c>
      <c r="H20" s="107"/>
      <c r="I20" s="16" t="s">
        <v>1962</v>
      </c>
      <c r="J20" s="17"/>
      <c r="K20" s="16" t="s">
        <v>79</v>
      </c>
      <c r="L20" s="16" t="s">
        <v>3120</v>
      </c>
      <c r="M20" s="108">
        <v>42989.0</v>
      </c>
      <c r="N20" s="109">
        <f t="shared" ref="N20:N350" si="5">YEARFRAC(M20, TODAY())</f>
        <v>8.502777778</v>
      </c>
      <c r="O20" s="17"/>
      <c r="P20" s="16" t="s">
        <v>3121</v>
      </c>
      <c r="Q20" s="17"/>
      <c r="R20" s="17"/>
      <c r="S20" s="17"/>
      <c r="T20" s="16" t="s">
        <v>2018</v>
      </c>
      <c r="U20" s="17"/>
      <c r="V20" s="17"/>
      <c r="W20" s="17"/>
      <c r="X20" s="17"/>
      <c r="Y20" s="17"/>
      <c r="Z20" s="17"/>
      <c r="AA20" s="17"/>
      <c r="AB20" s="17"/>
      <c r="AC20" s="16" t="s">
        <v>3122</v>
      </c>
      <c r="AD20" s="16" t="e">
        <v>#N/A</v>
      </c>
      <c r="AE20" s="16" t="e">
        <v>#N/A</v>
      </c>
      <c r="AF20" s="17"/>
      <c r="AG20" s="16">
        <v>2241.0</v>
      </c>
      <c r="AH20" s="17"/>
      <c r="AI20" s="11"/>
    </row>
    <row r="21">
      <c r="A21" s="105" t="str">
        <f t="shared" ref="A21:A350" si="6">A20+1</f>
        <v>#REF!</v>
      </c>
      <c r="B21" s="106" t="s">
        <v>2021</v>
      </c>
      <c r="C21" s="106" t="s">
        <v>2022</v>
      </c>
      <c r="D21" s="106" t="s">
        <v>2023</v>
      </c>
      <c r="E21" s="106" t="s">
        <v>3106</v>
      </c>
      <c r="F21" s="106" t="s">
        <v>1960</v>
      </c>
      <c r="G21" s="106" t="s">
        <v>2024</v>
      </c>
      <c r="H21" s="107"/>
      <c r="I21" s="16" t="s">
        <v>1962</v>
      </c>
      <c r="J21" s="17"/>
      <c r="K21" s="16" t="s">
        <v>79</v>
      </c>
      <c r="L21" s="16" t="s">
        <v>3123</v>
      </c>
      <c r="M21" s="108">
        <v>42547.0</v>
      </c>
      <c r="N21" s="109">
        <f t="shared" si="5"/>
        <v>9.711111111</v>
      </c>
      <c r="O21" s="111"/>
      <c r="P21" s="16" t="s">
        <v>3121</v>
      </c>
      <c r="Q21" s="17"/>
      <c r="R21" s="17"/>
      <c r="S21" s="17"/>
      <c r="T21" s="16" t="s">
        <v>2021</v>
      </c>
      <c r="U21" s="17"/>
      <c r="V21" s="17"/>
      <c r="W21" s="17"/>
      <c r="X21" s="17"/>
      <c r="Y21" s="17"/>
      <c r="Z21" s="17"/>
      <c r="AA21" s="17"/>
      <c r="AB21" s="17"/>
      <c r="AC21" s="16" t="s">
        <v>3124</v>
      </c>
      <c r="AD21" s="16" t="e">
        <v>#N/A</v>
      </c>
      <c r="AE21" s="16" t="s">
        <v>3125</v>
      </c>
      <c r="AF21" s="17"/>
      <c r="AG21" s="16">
        <v>5.0001436E7</v>
      </c>
      <c r="AH21" s="16" t="s">
        <v>157</v>
      </c>
      <c r="AI21" s="11"/>
    </row>
    <row r="22">
      <c r="A22" s="105" t="str">
        <f t="shared" si="6"/>
        <v>#REF!</v>
      </c>
      <c r="B22" s="106" t="s">
        <v>2025</v>
      </c>
      <c r="C22" s="106" t="s">
        <v>2025</v>
      </c>
      <c r="D22" s="106" t="s">
        <v>2026</v>
      </c>
      <c r="E22" s="106" t="s">
        <v>3106</v>
      </c>
      <c r="F22" s="106" t="s">
        <v>1960</v>
      </c>
      <c r="G22" s="113" t="s">
        <v>2020</v>
      </c>
      <c r="H22" s="107"/>
      <c r="I22" s="16" t="s">
        <v>1962</v>
      </c>
      <c r="J22" s="17"/>
      <c r="K22" s="16" t="s">
        <v>79</v>
      </c>
      <c r="L22" s="114" t="s">
        <v>3120</v>
      </c>
      <c r="M22" s="108">
        <v>43425.0</v>
      </c>
      <c r="N22" s="109">
        <f t="shared" si="5"/>
        <v>7.308333333</v>
      </c>
      <c r="O22" s="17"/>
      <c r="P22" s="16" t="s">
        <v>3121</v>
      </c>
      <c r="Q22" s="111"/>
      <c r="R22" s="17"/>
      <c r="S22" s="17"/>
      <c r="T22" s="16" t="s">
        <v>2025</v>
      </c>
      <c r="U22" s="17"/>
      <c r="V22" s="17"/>
      <c r="W22" s="17"/>
      <c r="X22" s="17"/>
      <c r="Y22" s="17"/>
      <c r="Z22" s="17"/>
      <c r="AA22" s="17"/>
      <c r="AB22" s="17"/>
      <c r="AC22" s="16" t="e">
        <v>#N/A</v>
      </c>
      <c r="AD22" s="16" t="e">
        <v>#N/A</v>
      </c>
      <c r="AE22" s="16" t="e">
        <v>#N/A</v>
      </c>
      <c r="AF22" s="17"/>
      <c r="AG22" s="17"/>
      <c r="AH22" s="17"/>
      <c r="AI22" s="11"/>
    </row>
    <row r="23">
      <c r="A23" s="105" t="str">
        <f t="shared" si="6"/>
        <v>#REF!</v>
      </c>
      <c r="B23" s="106" t="s">
        <v>2027</v>
      </c>
      <c r="C23" s="106" t="s">
        <v>2027</v>
      </c>
      <c r="D23" s="106" t="e">
        <v>#N/A</v>
      </c>
      <c r="E23" s="106" t="s">
        <v>3106</v>
      </c>
      <c r="F23" s="106" t="s">
        <v>1960</v>
      </c>
      <c r="G23" s="106" t="s">
        <v>1973</v>
      </c>
      <c r="H23" s="107"/>
      <c r="I23" s="16" t="s">
        <v>1962</v>
      </c>
      <c r="J23" s="17"/>
      <c r="K23" s="16" t="s">
        <v>79</v>
      </c>
      <c r="L23" s="16" t="s">
        <v>3109</v>
      </c>
      <c r="M23" s="108">
        <v>42771.0</v>
      </c>
      <c r="N23" s="109">
        <f t="shared" si="5"/>
        <v>9.102777778</v>
      </c>
      <c r="O23" s="111"/>
      <c r="P23" s="16" t="s">
        <v>3121</v>
      </c>
      <c r="Q23" s="17"/>
      <c r="R23" s="17"/>
      <c r="S23" s="17"/>
      <c r="T23" s="16" t="s">
        <v>2027</v>
      </c>
      <c r="U23" s="17"/>
      <c r="V23" s="17"/>
      <c r="W23" s="17"/>
      <c r="X23" s="17"/>
      <c r="Y23" s="17"/>
      <c r="Z23" s="17"/>
      <c r="AA23" s="17"/>
      <c r="AB23" s="17"/>
      <c r="AC23" s="16" t="e">
        <v>#N/A</v>
      </c>
      <c r="AD23" s="16" t="e">
        <v>#N/A</v>
      </c>
      <c r="AE23" s="16" t="e">
        <v>#N/A</v>
      </c>
      <c r="AF23" s="17"/>
      <c r="AG23" s="16">
        <v>5.0000803E7</v>
      </c>
      <c r="AH23" s="17"/>
      <c r="AI23" s="11"/>
    </row>
    <row r="24">
      <c r="A24" s="105" t="str">
        <f t="shared" si="6"/>
        <v>#REF!</v>
      </c>
      <c r="B24" s="106" t="s">
        <v>2028</v>
      </c>
      <c r="C24" s="106" t="s">
        <v>2028</v>
      </c>
      <c r="D24" s="106" t="e">
        <v>#N/A</v>
      </c>
      <c r="E24" s="106" t="s">
        <v>3106</v>
      </c>
      <c r="F24" s="106" t="s">
        <v>1960</v>
      </c>
      <c r="G24" s="106" t="s">
        <v>1973</v>
      </c>
      <c r="H24" s="107"/>
      <c r="I24" s="16" t="s">
        <v>1962</v>
      </c>
      <c r="J24" s="17"/>
      <c r="K24" s="16" t="s">
        <v>79</v>
      </c>
      <c r="L24" s="16" t="s">
        <v>3109</v>
      </c>
      <c r="M24" s="108">
        <v>42381.0</v>
      </c>
      <c r="N24" s="109">
        <f t="shared" si="5"/>
        <v>10.16666667</v>
      </c>
      <c r="O24" s="111"/>
      <c r="P24" s="16" t="s">
        <v>3121</v>
      </c>
      <c r="Q24" s="17"/>
      <c r="R24" s="17"/>
      <c r="S24" s="17"/>
      <c r="T24" s="16" t="s">
        <v>2028</v>
      </c>
      <c r="U24" s="17"/>
      <c r="V24" s="17"/>
      <c r="W24" s="17"/>
      <c r="X24" s="17"/>
      <c r="Y24" s="17"/>
      <c r="Z24" s="17"/>
      <c r="AA24" s="17"/>
      <c r="AB24" s="17"/>
      <c r="AC24" s="16" t="e">
        <v>#N/A</v>
      </c>
      <c r="AD24" s="16" t="e">
        <v>#N/A</v>
      </c>
      <c r="AE24" s="16" t="e">
        <v>#N/A</v>
      </c>
      <c r="AF24" s="17"/>
      <c r="AG24" s="16">
        <v>5.0001203E7</v>
      </c>
      <c r="AH24" s="17"/>
      <c r="AI24" s="11"/>
    </row>
    <row r="25">
      <c r="A25" s="105" t="str">
        <f t="shared" si="6"/>
        <v>#REF!</v>
      </c>
      <c r="B25" s="106" t="s">
        <v>2029</v>
      </c>
      <c r="C25" s="106" t="s">
        <v>2029</v>
      </c>
      <c r="D25" s="106" t="s">
        <v>2030</v>
      </c>
      <c r="E25" s="106" t="s">
        <v>3106</v>
      </c>
      <c r="F25" s="106" t="s">
        <v>1960</v>
      </c>
      <c r="G25" s="113" t="s">
        <v>2020</v>
      </c>
      <c r="H25" s="107"/>
      <c r="I25" s="16" t="s">
        <v>1962</v>
      </c>
      <c r="J25" s="17"/>
      <c r="K25" s="16" t="s">
        <v>79</v>
      </c>
      <c r="L25" s="114" t="s">
        <v>3120</v>
      </c>
      <c r="M25" s="108">
        <v>42111.0</v>
      </c>
      <c r="N25" s="109">
        <f t="shared" si="5"/>
        <v>10.90277778</v>
      </c>
      <c r="O25" s="111"/>
      <c r="P25" s="16" t="s">
        <v>3121</v>
      </c>
      <c r="Q25" s="17"/>
      <c r="R25" s="17"/>
      <c r="S25" s="17"/>
      <c r="T25" s="16" t="s">
        <v>2029</v>
      </c>
      <c r="U25" s="17"/>
      <c r="V25" s="17"/>
      <c r="W25" s="17"/>
      <c r="X25" s="17"/>
      <c r="Y25" s="17"/>
      <c r="Z25" s="17"/>
      <c r="AA25" s="17"/>
      <c r="AB25" s="17"/>
      <c r="AC25" s="16" t="e">
        <v>#N/A</v>
      </c>
      <c r="AD25" s="16" t="e">
        <v>#N/A</v>
      </c>
      <c r="AE25" s="16" t="e">
        <v>#N/A</v>
      </c>
      <c r="AF25" s="17"/>
      <c r="AG25" s="17"/>
      <c r="AH25" s="17"/>
      <c r="AI25" s="11"/>
    </row>
    <row r="26">
      <c r="A26" s="105" t="str">
        <f t="shared" si="6"/>
        <v>#REF!</v>
      </c>
      <c r="B26" s="106" t="s">
        <v>2031</v>
      </c>
      <c r="C26" s="106" t="s">
        <v>2031</v>
      </c>
      <c r="D26" s="106" t="e">
        <v>#N/A</v>
      </c>
      <c r="E26" s="106" t="s">
        <v>3106</v>
      </c>
      <c r="F26" s="106" t="s">
        <v>1960</v>
      </c>
      <c r="G26" s="106" t="s">
        <v>1968</v>
      </c>
      <c r="H26" s="107"/>
      <c r="I26" s="16" t="s">
        <v>1962</v>
      </c>
      <c r="J26" s="17"/>
      <c r="K26" s="16" t="s">
        <v>13</v>
      </c>
      <c r="L26" s="16" t="s">
        <v>3118</v>
      </c>
      <c r="M26" s="108">
        <v>41074.0</v>
      </c>
      <c r="N26" s="109">
        <f t="shared" si="5"/>
        <v>13.74444444</v>
      </c>
      <c r="O26" s="111"/>
      <c r="P26" s="16" t="s">
        <v>3121</v>
      </c>
      <c r="Q26" s="17"/>
      <c r="R26" s="17"/>
      <c r="S26" s="17"/>
      <c r="T26" s="16" t="s">
        <v>2031</v>
      </c>
      <c r="U26" s="17"/>
      <c r="V26" s="17"/>
      <c r="W26" s="17"/>
      <c r="X26" s="17"/>
      <c r="Y26" s="17"/>
      <c r="Z26" s="17"/>
      <c r="AA26" s="17"/>
      <c r="AB26" s="17"/>
      <c r="AC26" s="16" t="e">
        <v>#N/A</v>
      </c>
      <c r="AD26" s="16" t="e">
        <v>#N/A</v>
      </c>
      <c r="AE26" s="16" t="e">
        <v>#N/A</v>
      </c>
      <c r="AF26" s="17"/>
      <c r="AG26" s="17"/>
      <c r="AH26" s="17"/>
      <c r="AI26" s="11"/>
    </row>
    <row r="27">
      <c r="A27" s="105" t="str">
        <f t="shared" si="6"/>
        <v>#REF!</v>
      </c>
      <c r="B27" s="106" t="s">
        <v>2032</v>
      </c>
      <c r="C27" s="106" t="s">
        <v>2032</v>
      </c>
      <c r="D27" s="106" t="e">
        <v>#N/A</v>
      </c>
      <c r="E27" s="106" t="s">
        <v>3106</v>
      </c>
      <c r="F27" s="106" t="s">
        <v>1960</v>
      </c>
      <c r="G27" s="106" t="s">
        <v>1986</v>
      </c>
      <c r="H27" s="107"/>
      <c r="I27" s="16" t="s">
        <v>1962</v>
      </c>
      <c r="J27" s="17"/>
      <c r="K27" s="16" t="s">
        <v>13</v>
      </c>
      <c r="L27" s="16" t="s">
        <v>3114</v>
      </c>
      <c r="M27" s="108">
        <v>41717.0</v>
      </c>
      <c r="N27" s="109">
        <f t="shared" si="5"/>
        <v>11.98055556</v>
      </c>
      <c r="O27" s="111"/>
      <c r="P27" s="16" t="s">
        <v>3121</v>
      </c>
      <c r="Q27" s="17"/>
      <c r="R27" s="17"/>
      <c r="S27" s="17"/>
      <c r="T27" s="16" t="s">
        <v>2032</v>
      </c>
      <c r="U27" s="17"/>
      <c r="V27" s="17"/>
      <c r="W27" s="17"/>
      <c r="X27" s="17"/>
      <c r="Y27" s="17"/>
      <c r="Z27" s="17"/>
      <c r="AA27" s="17"/>
      <c r="AB27" s="17"/>
      <c r="AC27" s="16" t="e">
        <v>#N/A</v>
      </c>
      <c r="AD27" s="16" t="e">
        <v>#N/A</v>
      </c>
      <c r="AE27" s="16" t="e">
        <v>#N/A</v>
      </c>
      <c r="AF27" s="17"/>
      <c r="AG27" s="17"/>
      <c r="AH27" s="17"/>
      <c r="AI27" s="11"/>
    </row>
    <row r="28">
      <c r="A28" s="105" t="str">
        <f t="shared" si="6"/>
        <v>#REF!</v>
      </c>
      <c r="B28" s="106" t="s">
        <v>2033</v>
      </c>
      <c r="C28" s="106" t="s">
        <v>2033</v>
      </c>
      <c r="D28" s="106" t="e">
        <v>#N/A</v>
      </c>
      <c r="E28" s="106" t="s">
        <v>3106</v>
      </c>
      <c r="F28" s="106" t="s">
        <v>1960</v>
      </c>
      <c r="G28" s="106" t="s">
        <v>2034</v>
      </c>
      <c r="H28" s="107"/>
      <c r="I28" s="16" t="s">
        <v>1962</v>
      </c>
      <c r="J28" s="17"/>
      <c r="K28" s="16" t="s">
        <v>13</v>
      </c>
      <c r="L28" s="16" t="s">
        <v>3126</v>
      </c>
      <c r="M28" s="108">
        <v>41923.0</v>
      </c>
      <c r="N28" s="109">
        <f t="shared" si="5"/>
        <v>11.41944444</v>
      </c>
      <c r="O28" s="111"/>
      <c r="P28" s="16" t="s">
        <v>3121</v>
      </c>
      <c r="Q28" s="17"/>
      <c r="R28" s="17"/>
      <c r="S28" s="17"/>
      <c r="T28" s="16" t="s">
        <v>2033</v>
      </c>
      <c r="U28" s="17"/>
      <c r="V28" s="17"/>
      <c r="W28" s="17"/>
      <c r="X28" s="17"/>
      <c r="Y28" s="17"/>
      <c r="Z28" s="17"/>
      <c r="AA28" s="17"/>
      <c r="AB28" s="17"/>
      <c r="AC28" s="16" t="e">
        <v>#N/A</v>
      </c>
      <c r="AD28" s="16" t="e">
        <v>#N/A</v>
      </c>
      <c r="AE28" s="16" t="e">
        <v>#N/A</v>
      </c>
      <c r="AF28" s="17"/>
      <c r="AG28" s="17"/>
      <c r="AH28" s="17"/>
      <c r="AI28" s="11"/>
    </row>
    <row r="29">
      <c r="A29" s="105" t="str">
        <f t="shared" si="6"/>
        <v>#REF!</v>
      </c>
      <c r="B29" s="106" t="s">
        <v>2035</v>
      </c>
      <c r="C29" s="106" t="s">
        <v>2035</v>
      </c>
      <c r="D29" s="106" t="e">
        <v>#N/A</v>
      </c>
      <c r="E29" s="106" t="s">
        <v>3106</v>
      </c>
      <c r="F29" s="106" t="s">
        <v>1960</v>
      </c>
      <c r="G29" s="106" t="s">
        <v>2034</v>
      </c>
      <c r="H29" s="107"/>
      <c r="I29" s="16" t="s">
        <v>1962</v>
      </c>
      <c r="J29" s="17"/>
      <c r="K29" s="16" t="s">
        <v>13</v>
      </c>
      <c r="L29" s="16" t="s">
        <v>3126</v>
      </c>
      <c r="M29" s="108">
        <v>43073.0</v>
      </c>
      <c r="N29" s="109">
        <f t="shared" si="5"/>
        <v>8.272222222</v>
      </c>
      <c r="O29" s="111"/>
      <c r="P29" s="16" t="s">
        <v>3121</v>
      </c>
      <c r="Q29" s="17"/>
      <c r="R29" s="17"/>
      <c r="S29" s="17"/>
      <c r="T29" s="16" t="s">
        <v>2035</v>
      </c>
      <c r="U29" s="17"/>
      <c r="V29" s="17"/>
      <c r="W29" s="17"/>
      <c r="X29" s="17"/>
      <c r="Y29" s="17"/>
      <c r="Z29" s="17"/>
      <c r="AA29" s="17"/>
      <c r="AB29" s="17"/>
      <c r="AC29" s="16" t="e">
        <v>#N/A</v>
      </c>
      <c r="AD29" s="16" t="e">
        <v>#N/A</v>
      </c>
      <c r="AE29" s="16" t="e">
        <v>#N/A</v>
      </c>
      <c r="AF29" s="17"/>
      <c r="AG29" s="17"/>
      <c r="AH29" s="17"/>
      <c r="AI29" s="11"/>
    </row>
    <row r="30">
      <c r="A30" s="105" t="str">
        <f t="shared" si="6"/>
        <v>#REF!</v>
      </c>
      <c r="B30" s="106" t="s">
        <v>2036</v>
      </c>
      <c r="C30" s="106" t="s">
        <v>2036</v>
      </c>
      <c r="D30" s="106" t="e">
        <v>#N/A</v>
      </c>
      <c r="E30" s="106" t="s">
        <v>3106</v>
      </c>
      <c r="F30" s="106" t="s">
        <v>1960</v>
      </c>
      <c r="G30" s="106" t="s">
        <v>1968</v>
      </c>
      <c r="H30" s="107"/>
      <c r="I30" s="16" t="s">
        <v>1962</v>
      </c>
      <c r="J30" s="17"/>
      <c r="K30" s="16" t="s">
        <v>13</v>
      </c>
      <c r="L30" s="16" t="s">
        <v>3118</v>
      </c>
      <c r="M30" s="108">
        <v>40708.0</v>
      </c>
      <c r="N30" s="109">
        <f t="shared" si="5"/>
        <v>14.74444444</v>
      </c>
      <c r="O30" s="111"/>
      <c r="P30" s="16" t="s">
        <v>3121</v>
      </c>
      <c r="Q30" s="17"/>
      <c r="R30" s="17"/>
      <c r="S30" s="17"/>
      <c r="T30" s="16" t="s">
        <v>2036</v>
      </c>
      <c r="U30" s="17"/>
      <c r="V30" s="17"/>
      <c r="W30" s="17"/>
      <c r="X30" s="17"/>
      <c r="Y30" s="17"/>
      <c r="Z30" s="17"/>
      <c r="AA30" s="17"/>
      <c r="AB30" s="17"/>
      <c r="AC30" s="16" t="e">
        <v>#N/A</v>
      </c>
      <c r="AD30" s="16" t="e">
        <v>#N/A</v>
      </c>
      <c r="AE30" s="16" t="e">
        <v>#N/A</v>
      </c>
      <c r="AF30" s="17"/>
      <c r="AG30" s="17"/>
      <c r="AH30" s="17"/>
      <c r="AI30" s="11"/>
    </row>
    <row r="31">
      <c r="A31" s="105" t="str">
        <f t="shared" si="6"/>
        <v>#REF!</v>
      </c>
      <c r="B31" s="106" t="s">
        <v>2037</v>
      </c>
      <c r="C31" s="106" t="s">
        <v>2037</v>
      </c>
      <c r="D31" s="106" t="s">
        <v>2038</v>
      </c>
      <c r="E31" s="106" t="s">
        <v>3106</v>
      </c>
      <c r="F31" s="106" t="s">
        <v>1960</v>
      </c>
      <c r="G31" s="106" t="s">
        <v>2024</v>
      </c>
      <c r="H31" s="107"/>
      <c r="I31" s="16" t="s">
        <v>1962</v>
      </c>
      <c r="J31" s="17"/>
      <c r="K31" s="16" t="s">
        <v>79</v>
      </c>
      <c r="L31" s="16" t="s">
        <v>3123</v>
      </c>
      <c r="M31" s="108">
        <v>42667.0</v>
      </c>
      <c r="N31" s="109">
        <f t="shared" si="5"/>
        <v>9.383333333</v>
      </c>
      <c r="O31" s="111"/>
      <c r="P31" s="16" t="s">
        <v>3121</v>
      </c>
      <c r="Q31" s="17"/>
      <c r="R31" s="17"/>
      <c r="S31" s="17"/>
      <c r="T31" s="16" t="s">
        <v>2037</v>
      </c>
      <c r="U31" s="17"/>
      <c r="V31" s="17"/>
      <c r="W31" s="17"/>
      <c r="X31" s="17"/>
      <c r="Y31" s="17"/>
      <c r="Z31" s="17"/>
      <c r="AA31" s="17"/>
      <c r="AB31" s="17"/>
      <c r="AC31" s="16" t="e">
        <v>#N/A</v>
      </c>
      <c r="AD31" s="16" t="e">
        <v>#N/A</v>
      </c>
      <c r="AE31" s="16" t="e">
        <v>#N/A</v>
      </c>
      <c r="AF31" s="17"/>
      <c r="AG31" s="17"/>
      <c r="AH31" s="17"/>
      <c r="AI31" s="11"/>
    </row>
    <row r="32">
      <c r="A32" s="105" t="str">
        <f t="shared" si="6"/>
        <v>#REF!</v>
      </c>
      <c r="B32" s="106" t="s">
        <v>2039</v>
      </c>
      <c r="C32" s="106" t="s">
        <v>2039</v>
      </c>
      <c r="D32" s="106" t="s">
        <v>2040</v>
      </c>
      <c r="E32" s="106" t="s">
        <v>3106</v>
      </c>
      <c r="F32" s="106" t="s">
        <v>1960</v>
      </c>
      <c r="G32" s="106" t="s">
        <v>2020</v>
      </c>
      <c r="H32" s="107"/>
      <c r="I32" s="16" t="s">
        <v>1962</v>
      </c>
      <c r="J32" s="17"/>
      <c r="K32" s="16" t="s">
        <v>79</v>
      </c>
      <c r="L32" s="16" t="s">
        <v>3120</v>
      </c>
      <c r="M32" s="108">
        <v>42907.0</v>
      </c>
      <c r="N32" s="109">
        <f t="shared" si="5"/>
        <v>8.725</v>
      </c>
      <c r="O32" s="111"/>
      <c r="P32" s="16" t="s">
        <v>3121</v>
      </c>
      <c r="Q32" s="17"/>
      <c r="R32" s="17"/>
      <c r="S32" s="17"/>
      <c r="T32" s="16" t="s">
        <v>2039</v>
      </c>
      <c r="U32" s="17"/>
      <c r="V32" s="17"/>
      <c r="W32" s="17"/>
      <c r="X32" s="17"/>
      <c r="Y32" s="17"/>
      <c r="Z32" s="17"/>
      <c r="AA32" s="17"/>
      <c r="AB32" s="17"/>
      <c r="AC32" s="16" t="e">
        <v>#N/A</v>
      </c>
      <c r="AD32" s="16" t="e">
        <v>#N/A</v>
      </c>
      <c r="AE32" s="16" t="e">
        <v>#N/A</v>
      </c>
      <c r="AF32" s="17"/>
      <c r="AG32" s="16">
        <v>5.000198E7</v>
      </c>
      <c r="AH32" s="17"/>
      <c r="AI32" s="11"/>
    </row>
    <row r="33">
      <c r="A33" s="105" t="str">
        <f t="shared" si="6"/>
        <v>#REF!</v>
      </c>
      <c r="B33" s="106" t="s">
        <v>2041</v>
      </c>
      <c r="C33" s="106" t="s">
        <v>2041</v>
      </c>
      <c r="D33" s="106" t="e">
        <v>#N/A</v>
      </c>
      <c r="E33" s="106" t="s">
        <v>3106</v>
      </c>
      <c r="F33" s="106" t="s">
        <v>1960</v>
      </c>
      <c r="G33" s="106" t="s">
        <v>1973</v>
      </c>
      <c r="H33" s="107"/>
      <c r="I33" s="16" t="s">
        <v>1962</v>
      </c>
      <c r="J33" s="17"/>
      <c r="K33" s="16" t="s">
        <v>79</v>
      </c>
      <c r="L33" s="16" t="s">
        <v>3109</v>
      </c>
      <c r="M33" s="108" t="e">
        <v>#N/A</v>
      </c>
      <c r="N33" s="109" t="str">
        <f t="shared" si="5"/>
        <v>#N/A</v>
      </c>
      <c r="O33" s="17"/>
      <c r="P33" s="16" t="s">
        <v>3121</v>
      </c>
      <c r="Q33" s="17"/>
      <c r="R33" s="17"/>
      <c r="S33" s="17"/>
      <c r="T33" s="16" t="s">
        <v>2041</v>
      </c>
      <c r="U33" s="17"/>
      <c r="V33" s="17"/>
      <c r="W33" s="17"/>
      <c r="X33" s="17"/>
      <c r="Y33" s="17"/>
      <c r="Z33" s="17"/>
      <c r="AA33" s="17"/>
      <c r="AB33" s="17"/>
      <c r="AC33" s="16" t="e">
        <v>#N/A</v>
      </c>
      <c r="AD33" s="16" t="e">
        <v>#N/A</v>
      </c>
      <c r="AE33" s="16" t="e">
        <v>#N/A</v>
      </c>
      <c r="AF33" s="17"/>
      <c r="AG33" s="17"/>
      <c r="AH33" s="17"/>
      <c r="AI33" s="11"/>
    </row>
    <row r="34">
      <c r="A34" s="105" t="str">
        <f t="shared" si="6"/>
        <v>#REF!</v>
      </c>
      <c r="B34" s="106" t="s">
        <v>2042</v>
      </c>
      <c r="C34" s="106" t="s">
        <v>2042</v>
      </c>
      <c r="D34" s="106" t="s">
        <v>2043</v>
      </c>
      <c r="E34" s="106" t="s">
        <v>3106</v>
      </c>
      <c r="F34" s="106" t="s">
        <v>1960</v>
      </c>
      <c r="G34" s="106" t="s">
        <v>1973</v>
      </c>
      <c r="H34" s="107"/>
      <c r="I34" s="16" t="s">
        <v>1962</v>
      </c>
      <c r="J34" s="17"/>
      <c r="K34" s="16" t="s">
        <v>79</v>
      </c>
      <c r="L34" s="16" t="s">
        <v>3109</v>
      </c>
      <c r="M34" s="108">
        <v>42111.0</v>
      </c>
      <c r="N34" s="109">
        <f t="shared" si="5"/>
        <v>10.90277778</v>
      </c>
      <c r="O34" s="17"/>
      <c r="P34" s="16" t="s">
        <v>3121</v>
      </c>
      <c r="Q34" s="17"/>
      <c r="R34" s="17"/>
      <c r="S34" s="17"/>
      <c r="T34" s="16" t="s">
        <v>2042</v>
      </c>
      <c r="U34" s="17"/>
      <c r="V34" s="17"/>
      <c r="W34" s="17"/>
      <c r="X34" s="17"/>
      <c r="Y34" s="17"/>
      <c r="Z34" s="17"/>
      <c r="AA34" s="17"/>
      <c r="AB34" s="17"/>
      <c r="AC34" s="16" t="e">
        <v>#N/A</v>
      </c>
      <c r="AD34" s="16" t="e">
        <v>#N/A</v>
      </c>
      <c r="AE34" s="16" t="e">
        <v>#N/A</v>
      </c>
      <c r="AF34" s="17"/>
      <c r="AG34" s="16">
        <v>5.0000937E7</v>
      </c>
      <c r="AH34" s="17"/>
      <c r="AI34" s="11"/>
    </row>
    <row r="35">
      <c r="A35" s="105" t="str">
        <f t="shared" si="6"/>
        <v>#REF!</v>
      </c>
      <c r="B35" s="106" t="s">
        <v>2044</v>
      </c>
      <c r="C35" s="106" t="s">
        <v>2044</v>
      </c>
      <c r="D35" s="106" t="s">
        <v>2045</v>
      </c>
      <c r="E35" s="106" t="s">
        <v>3106</v>
      </c>
      <c r="F35" s="106" t="s">
        <v>1960</v>
      </c>
      <c r="G35" s="106" t="s">
        <v>2020</v>
      </c>
      <c r="H35" s="107"/>
      <c r="I35" s="16" t="s">
        <v>1962</v>
      </c>
      <c r="J35" s="17"/>
      <c r="K35" s="16" t="s">
        <v>79</v>
      </c>
      <c r="L35" s="16" t="s">
        <v>3120</v>
      </c>
      <c r="M35" s="108">
        <v>42947.0</v>
      </c>
      <c r="N35" s="109">
        <f t="shared" si="5"/>
        <v>8.616666667</v>
      </c>
      <c r="O35" s="17"/>
      <c r="P35" s="16" t="s">
        <v>3121</v>
      </c>
      <c r="Q35" s="17"/>
      <c r="R35" s="17"/>
      <c r="S35" s="17"/>
      <c r="T35" s="16" t="s">
        <v>2044</v>
      </c>
      <c r="U35" s="17"/>
      <c r="V35" s="17"/>
      <c r="W35" s="17"/>
      <c r="X35" s="17"/>
      <c r="Y35" s="17"/>
      <c r="Z35" s="17"/>
      <c r="AA35" s="17"/>
      <c r="AB35" s="17"/>
      <c r="AC35" s="16" t="e">
        <v>#N/A</v>
      </c>
      <c r="AD35" s="16" t="e">
        <v>#N/A</v>
      </c>
      <c r="AE35" s="16" t="e">
        <v>#N/A</v>
      </c>
      <c r="AF35" s="17"/>
      <c r="AG35" s="16">
        <v>5.0002034E7</v>
      </c>
      <c r="AH35" s="17"/>
      <c r="AI35" s="11"/>
    </row>
    <row r="36">
      <c r="A36" s="105" t="str">
        <f t="shared" si="6"/>
        <v>#REF!</v>
      </c>
      <c r="B36" s="106" t="s">
        <v>2046</v>
      </c>
      <c r="C36" s="106" t="s">
        <v>2046</v>
      </c>
      <c r="D36" s="106" t="e">
        <v>#N/A</v>
      </c>
      <c r="E36" s="106" t="s">
        <v>3106</v>
      </c>
      <c r="F36" s="106" t="s">
        <v>1960</v>
      </c>
      <c r="G36" s="106" t="s">
        <v>2020</v>
      </c>
      <c r="H36" s="107"/>
      <c r="I36" s="16" t="s">
        <v>1962</v>
      </c>
      <c r="J36" s="17"/>
      <c r="K36" s="16" t="s">
        <v>79</v>
      </c>
      <c r="L36" s="16" t="s">
        <v>3120</v>
      </c>
      <c r="M36" s="108" t="e">
        <v>#N/A</v>
      </c>
      <c r="N36" s="109" t="str">
        <f t="shared" si="5"/>
        <v>#N/A</v>
      </c>
      <c r="O36" s="111"/>
      <c r="P36" s="16" t="s">
        <v>3121</v>
      </c>
      <c r="Q36" s="17"/>
      <c r="R36" s="17"/>
      <c r="S36" s="17"/>
      <c r="T36" s="16" t="s">
        <v>2046</v>
      </c>
      <c r="U36" s="17"/>
      <c r="V36" s="17"/>
      <c r="W36" s="17"/>
      <c r="X36" s="17"/>
      <c r="Y36" s="17"/>
      <c r="Z36" s="17"/>
      <c r="AA36" s="17"/>
      <c r="AB36" s="17"/>
      <c r="AC36" s="16" t="e">
        <v>#N/A</v>
      </c>
      <c r="AD36" s="16" t="e">
        <v>#N/A</v>
      </c>
      <c r="AE36" s="16" t="e">
        <v>#N/A</v>
      </c>
      <c r="AF36" s="17"/>
      <c r="AG36" s="17"/>
      <c r="AH36" s="17"/>
      <c r="AI36" s="11"/>
    </row>
    <row r="37">
      <c r="A37" s="105" t="str">
        <f t="shared" si="6"/>
        <v>#REF!</v>
      </c>
      <c r="B37" s="106" t="s">
        <v>2047</v>
      </c>
      <c r="C37" s="106" t="s">
        <v>2047</v>
      </c>
      <c r="D37" s="106" t="e">
        <v>#N/A</v>
      </c>
      <c r="E37" s="106" t="s">
        <v>3106</v>
      </c>
      <c r="F37" s="106" t="s">
        <v>1960</v>
      </c>
      <c r="G37" s="106" t="s">
        <v>1973</v>
      </c>
      <c r="H37" s="107"/>
      <c r="I37" s="16" t="s">
        <v>1962</v>
      </c>
      <c r="J37" s="17"/>
      <c r="K37" s="16" t="s">
        <v>79</v>
      </c>
      <c r="L37" s="16" t="s">
        <v>3109</v>
      </c>
      <c r="M37" s="108">
        <v>42111.0</v>
      </c>
      <c r="N37" s="109">
        <f t="shared" si="5"/>
        <v>10.90277778</v>
      </c>
      <c r="O37" s="111"/>
      <c r="P37" s="16" t="s">
        <v>3121</v>
      </c>
      <c r="Q37" s="17"/>
      <c r="R37" s="17"/>
      <c r="S37" s="17"/>
      <c r="T37" s="16" t="s">
        <v>2047</v>
      </c>
      <c r="U37" s="17"/>
      <c r="V37" s="17"/>
      <c r="W37" s="17"/>
      <c r="X37" s="17"/>
      <c r="Y37" s="17"/>
      <c r="Z37" s="17"/>
      <c r="AA37" s="17"/>
      <c r="AB37" s="17"/>
      <c r="AC37" s="16" t="e">
        <v>#N/A</v>
      </c>
      <c r="AD37" s="16" t="e">
        <v>#N/A</v>
      </c>
      <c r="AE37" s="16" t="e">
        <v>#N/A</v>
      </c>
      <c r="AF37" s="17"/>
      <c r="AG37" s="16">
        <v>5.0000937E7</v>
      </c>
      <c r="AH37" s="17"/>
      <c r="AI37" s="11"/>
    </row>
    <row r="38">
      <c r="A38" s="105" t="str">
        <f t="shared" si="6"/>
        <v>#REF!</v>
      </c>
      <c r="B38" s="106" t="s">
        <v>2048</v>
      </c>
      <c r="C38" s="106" t="s">
        <v>2048</v>
      </c>
      <c r="D38" s="106" t="e">
        <v>#N/A</v>
      </c>
      <c r="E38" s="106" t="s">
        <v>3106</v>
      </c>
      <c r="F38" s="106" t="s">
        <v>1960</v>
      </c>
      <c r="G38" s="106" t="s">
        <v>1973</v>
      </c>
      <c r="H38" s="107"/>
      <c r="I38" s="16" t="s">
        <v>1962</v>
      </c>
      <c r="J38" s="17"/>
      <c r="K38" s="16" t="s">
        <v>79</v>
      </c>
      <c r="L38" s="16" t="s">
        <v>3109</v>
      </c>
      <c r="M38" s="108" t="e">
        <v>#N/A</v>
      </c>
      <c r="N38" s="109" t="str">
        <f t="shared" si="5"/>
        <v>#N/A</v>
      </c>
      <c r="O38" s="111"/>
      <c r="P38" s="16" t="s">
        <v>3121</v>
      </c>
      <c r="Q38" s="17"/>
      <c r="R38" s="17"/>
      <c r="S38" s="17"/>
      <c r="T38" s="16" t="s">
        <v>2048</v>
      </c>
      <c r="U38" s="17"/>
      <c r="V38" s="17"/>
      <c r="W38" s="17"/>
      <c r="X38" s="17"/>
      <c r="Y38" s="17"/>
      <c r="Z38" s="17"/>
      <c r="AA38" s="17"/>
      <c r="AB38" s="17"/>
      <c r="AC38" s="16" t="e">
        <v>#N/A</v>
      </c>
      <c r="AD38" s="16" t="e">
        <v>#N/A</v>
      </c>
      <c r="AE38" s="16" t="e">
        <v>#N/A</v>
      </c>
      <c r="AF38" s="17"/>
      <c r="AG38" s="17"/>
      <c r="AH38" s="17"/>
      <c r="AI38" s="11"/>
    </row>
    <row r="39">
      <c r="A39" s="105" t="str">
        <f t="shared" si="6"/>
        <v>#REF!</v>
      </c>
      <c r="B39" s="106" t="s">
        <v>2049</v>
      </c>
      <c r="C39" s="106" t="s">
        <v>2049</v>
      </c>
      <c r="D39" s="106" t="s">
        <v>2050</v>
      </c>
      <c r="E39" s="106" t="s">
        <v>3106</v>
      </c>
      <c r="F39" s="106" t="s">
        <v>1960</v>
      </c>
      <c r="G39" s="113" t="s">
        <v>2051</v>
      </c>
      <c r="H39" s="107"/>
      <c r="I39" s="16" t="s">
        <v>1962</v>
      </c>
      <c r="J39" s="17"/>
      <c r="K39" s="16" t="s">
        <v>79</v>
      </c>
      <c r="L39" s="114" t="s">
        <v>3127</v>
      </c>
      <c r="M39" s="108">
        <v>43465.0</v>
      </c>
      <c r="N39" s="109">
        <f t="shared" si="5"/>
        <v>7.2</v>
      </c>
      <c r="O39" s="111"/>
      <c r="P39" s="16" t="s">
        <v>3121</v>
      </c>
      <c r="Q39" s="17"/>
      <c r="R39" s="17"/>
      <c r="S39" s="17"/>
      <c r="T39" s="16" t="s">
        <v>2049</v>
      </c>
      <c r="U39" s="17"/>
      <c r="V39" s="17"/>
      <c r="W39" s="17"/>
      <c r="X39" s="17"/>
      <c r="Y39" s="17"/>
      <c r="Z39" s="17"/>
      <c r="AA39" s="17"/>
      <c r="AB39" s="17"/>
      <c r="AC39" s="16" t="e">
        <v>#N/A</v>
      </c>
      <c r="AD39" s="16" t="e">
        <v>#N/A</v>
      </c>
      <c r="AE39" s="16" t="e">
        <v>#N/A</v>
      </c>
      <c r="AF39" s="17"/>
      <c r="AG39" s="17"/>
      <c r="AH39" s="17"/>
      <c r="AI39" s="11"/>
    </row>
    <row r="40">
      <c r="A40" s="105" t="str">
        <f t="shared" si="6"/>
        <v>#REF!</v>
      </c>
      <c r="B40" s="106" t="s">
        <v>2052</v>
      </c>
      <c r="C40" s="106" t="s">
        <v>2052</v>
      </c>
      <c r="D40" s="106" t="e">
        <v>#N/A</v>
      </c>
      <c r="E40" s="106" t="s">
        <v>3106</v>
      </c>
      <c r="F40" s="106" t="s">
        <v>1960</v>
      </c>
      <c r="G40" s="113" t="s">
        <v>2053</v>
      </c>
      <c r="H40" s="107"/>
      <c r="I40" s="16" t="s">
        <v>1962</v>
      </c>
      <c r="J40" s="17"/>
      <c r="K40" s="16" t="s">
        <v>2054</v>
      </c>
      <c r="L40" s="114" t="s">
        <v>3118</v>
      </c>
      <c r="M40" s="108">
        <v>41063.0</v>
      </c>
      <c r="N40" s="109">
        <f t="shared" si="5"/>
        <v>13.775</v>
      </c>
      <c r="O40" s="111"/>
      <c r="P40" s="16" t="s">
        <v>3121</v>
      </c>
      <c r="Q40" s="17"/>
      <c r="R40" s="17"/>
      <c r="S40" s="17"/>
      <c r="T40" s="16" t="s">
        <v>2052</v>
      </c>
      <c r="U40" s="17"/>
      <c r="V40" s="17"/>
      <c r="W40" s="17"/>
      <c r="X40" s="17"/>
      <c r="Y40" s="17"/>
      <c r="Z40" s="17"/>
      <c r="AA40" s="17"/>
      <c r="AB40" s="17"/>
      <c r="AC40" s="16" t="e">
        <v>#N/A</v>
      </c>
      <c r="AD40" s="16" t="e">
        <v>#N/A</v>
      </c>
      <c r="AE40" s="16" t="e">
        <v>#N/A</v>
      </c>
      <c r="AF40" s="17"/>
      <c r="AG40" s="17"/>
      <c r="AH40" s="17"/>
      <c r="AI40" s="11"/>
    </row>
    <row r="41">
      <c r="A41" s="105" t="str">
        <f t="shared" si="6"/>
        <v>#REF!</v>
      </c>
      <c r="B41" s="106" t="s">
        <v>2055</v>
      </c>
      <c r="C41" s="106" t="s">
        <v>2055</v>
      </c>
      <c r="D41" s="106" t="e">
        <v>#N/A</v>
      </c>
      <c r="E41" s="106" t="s">
        <v>3106</v>
      </c>
      <c r="F41" s="106" t="s">
        <v>1960</v>
      </c>
      <c r="G41" s="113" t="s">
        <v>2056</v>
      </c>
      <c r="H41" s="107"/>
      <c r="I41" s="16" t="s">
        <v>1962</v>
      </c>
      <c r="J41" s="17"/>
      <c r="K41" s="16" t="s">
        <v>2054</v>
      </c>
      <c r="L41" s="114" t="s">
        <v>3107</v>
      </c>
      <c r="M41" s="108">
        <v>41487.0</v>
      </c>
      <c r="N41" s="109">
        <f t="shared" si="5"/>
        <v>12.61388889</v>
      </c>
      <c r="O41" s="111"/>
      <c r="P41" s="16" t="s">
        <v>3121</v>
      </c>
      <c r="Q41" s="17"/>
      <c r="R41" s="17"/>
      <c r="S41" s="17"/>
      <c r="T41" s="16" t="s">
        <v>2055</v>
      </c>
      <c r="U41" s="17"/>
      <c r="V41" s="17"/>
      <c r="W41" s="17"/>
      <c r="X41" s="17"/>
      <c r="Y41" s="17"/>
      <c r="Z41" s="17"/>
      <c r="AA41" s="17"/>
      <c r="AB41" s="17"/>
      <c r="AC41" s="16" t="e">
        <v>#N/A</v>
      </c>
      <c r="AD41" s="16" t="e">
        <v>#N/A</v>
      </c>
      <c r="AE41" s="16" t="e">
        <v>#N/A</v>
      </c>
      <c r="AF41" s="17"/>
      <c r="AG41" s="16">
        <v>5.5001014E7</v>
      </c>
      <c r="AH41" s="17"/>
      <c r="AI41" s="11"/>
    </row>
    <row r="42">
      <c r="A42" s="105" t="str">
        <f t="shared" si="6"/>
        <v>#REF!</v>
      </c>
      <c r="B42" s="106" t="s">
        <v>2057</v>
      </c>
      <c r="C42" s="106" t="s">
        <v>2057</v>
      </c>
      <c r="D42" s="106" t="s">
        <v>2058</v>
      </c>
      <c r="E42" s="106" t="s">
        <v>3106</v>
      </c>
      <c r="F42" s="106" t="s">
        <v>1960</v>
      </c>
      <c r="G42" s="113" t="s">
        <v>2020</v>
      </c>
      <c r="H42" s="107"/>
      <c r="I42" s="16" t="s">
        <v>1962</v>
      </c>
      <c r="J42" s="17"/>
      <c r="K42" s="16" t="s">
        <v>79</v>
      </c>
      <c r="L42" s="114" t="s">
        <v>3120</v>
      </c>
      <c r="M42" s="108">
        <v>43014.0</v>
      </c>
      <c r="N42" s="109">
        <f t="shared" si="5"/>
        <v>8.433333333</v>
      </c>
      <c r="O42" s="111"/>
      <c r="P42" s="16" t="s">
        <v>3121</v>
      </c>
      <c r="Q42" s="17"/>
      <c r="R42" s="17"/>
      <c r="S42" s="17"/>
      <c r="T42" s="16" t="s">
        <v>2057</v>
      </c>
      <c r="U42" s="17"/>
      <c r="V42" s="17"/>
      <c r="W42" s="17"/>
      <c r="X42" s="17"/>
      <c r="Y42" s="17"/>
      <c r="Z42" s="17"/>
      <c r="AA42" s="17"/>
      <c r="AB42" s="17"/>
      <c r="AC42" s="16" t="e">
        <v>#N/A</v>
      </c>
      <c r="AD42" s="16" t="e">
        <v>#N/A</v>
      </c>
      <c r="AE42" s="16" t="e">
        <v>#N/A</v>
      </c>
      <c r="AF42" s="17"/>
      <c r="AG42" s="17"/>
      <c r="AH42" s="17"/>
      <c r="AI42" s="11"/>
    </row>
    <row r="43">
      <c r="A43" s="105" t="str">
        <f t="shared" si="6"/>
        <v>#REF!</v>
      </c>
      <c r="B43" s="106" t="s">
        <v>2059</v>
      </c>
      <c r="C43" s="106" t="s">
        <v>2059</v>
      </c>
      <c r="D43" s="106" t="e">
        <v>#N/A</v>
      </c>
      <c r="E43" s="106" t="s">
        <v>3106</v>
      </c>
      <c r="F43" s="106" t="s">
        <v>1960</v>
      </c>
      <c r="G43" s="106" t="s">
        <v>2060</v>
      </c>
      <c r="H43" s="107"/>
      <c r="I43" s="16" t="s">
        <v>1962</v>
      </c>
      <c r="J43" s="17"/>
      <c r="K43" s="16" t="s">
        <v>13</v>
      </c>
      <c r="L43" s="16" t="s">
        <v>3114</v>
      </c>
      <c r="M43" s="108">
        <v>41717.0</v>
      </c>
      <c r="N43" s="109">
        <f t="shared" si="5"/>
        <v>11.98055556</v>
      </c>
      <c r="O43" s="111"/>
      <c r="P43" s="16" t="s">
        <v>3121</v>
      </c>
      <c r="Q43" s="17"/>
      <c r="R43" s="17"/>
      <c r="S43" s="17"/>
      <c r="T43" s="16" t="s">
        <v>2059</v>
      </c>
      <c r="U43" s="17"/>
      <c r="V43" s="17"/>
      <c r="W43" s="17"/>
      <c r="X43" s="17"/>
      <c r="Y43" s="17"/>
      <c r="Z43" s="17"/>
      <c r="AA43" s="17"/>
      <c r="AB43" s="17"/>
      <c r="AC43" s="16" t="e">
        <v>#N/A</v>
      </c>
      <c r="AD43" s="16" t="e">
        <v>#N/A</v>
      </c>
      <c r="AE43" s="16" t="e">
        <v>#N/A</v>
      </c>
      <c r="AF43" s="17"/>
      <c r="AG43" s="17"/>
      <c r="AH43" s="17"/>
      <c r="AI43" s="11"/>
    </row>
    <row r="44">
      <c r="A44" s="105" t="str">
        <f t="shared" si="6"/>
        <v>#REF!</v>
      </c>
      <c r="B44" s="106" t="s">
        <v>2061</v>
      </c>
      <c r="C44" s="106" t="s">
        <v>2061</v>
      </c>
      <c r="D44" s="106" t="e">
        <v>#N/A</v>
      </c>
      <c r="E44" s="106" t="s">
        <v>3106</v>
      </c>
      <c r="F44" s="106" t="s">
        <v>1960</v>
      </c>
      <c r="G44" s="106" t="s">
        <v>1973</v>
      </c>
      <c r="H44" s="107"/>
      <c r="I44" s="16" t="s">
        <v>1962</v>
      </c>
      <c r="J44" s="17"/>
      <c r="K44" s="16" t="s">
        <v>79</v>
      </c>
      <c r="L44" s="16" t="s">
        <v>3109</v>
      </c>
      <c r="M44" s="108">
        <v>43615.0</v>
      </c>
      <c r="N44" s="109">
        <f t="shared" si="5"/>
        <v>6.783333333</v>
      </c>
      <c r="O44" s="111"/>
      <c r="P44" s="16" t="s">
        <v>3121</v>
      </c>
      <c r="Q44" s="17"/>
      <c r="R44" s="17"/>
      <c r="S44" s="17"/>
      <c r="T44" s="16" t="s">
        <v>2061</v>
      </c>
      <c r="U44" s="17"/>
      <c r="V44" s="17"/>
      <c r="W44" s="17"/>
      <c r="X44" s="17"/>
      <c r="Y44" s="17"/>
      <c r="Z44" s="17"/>
      <c r="AA44" s="17"/>
      <c r="AB44" s="17"/>
      <c r="AC44" s="16" t="e">
        <v>#N/A</v>
      </c>
      <c r="AD44" s="16" t="e">
        <v>#N/A</v>
      </c>
      <c r="AE44" s="16" t="e">
        <v>#N/A</v>
      </c>
      <c r="AF44" s="17"/>
      <c r="AG44" s="17"/>
      <c r="AH44" s="17"/>
      <c r="AI44" s="11"/>
    </row>
    <row r="45">
      <c r="A45" s="105" t="str">
        <f t="shared" si="6"/>
        <v>#REF!</v>
      </c>
      <c r="B45" s="106" t="s">
        <v>2062</v>
      </c>
      <c r="C45" s="106" t="s">
        <v>2062</v>
      </c>
      <c r="D45" s="106" t="e">
        <v>#N/A</v>
      </c>
      <c r="E45" s="106" t="s">
        <v>3106</v>
      </c>
      <c r="F45" s="106" t="s">
        <v>1960</v>
      </c>
      <c r="G45" s="106" t="s">
        <v>2053</v>
      </c>
      <c r="H45" s="107"/>
      <c r="I45" s="16" t="s">
        <v>1962</v>
      </c>
      <c r="J45" s="17"/>
      <c r="K45" s="16" t="s">
        <v>13</v>
      </c>
      <c r="L45" s="16" t="s">
        <v>3118</v>
      </c>
      <c r="M45" s="108">
        <v>41011.0</v>
      </c>
      <c r="N45" s="109">
        <f t="shared" si="5"/>
        <v>13.91666667</v>
      </c>
      <c r="O45" s="17"/>
      <c r="P45" s="16" t="s">
        <v>3121</v>
      </c>
      <c r="Q45" s="17"/>
      <c r="R45" s="17"/>
      <c r="S45" s="17"/>
      <c r="T45" s="16" t="s">
        <v>2062</v>
      </c>
      <c r="U45" s="17"/>
      <c r="V45" s="17"/>
      <c r="W45" s="17"/>
      <c r="X45" s="17"/>
      <c r="Y45" s="17"/>
      <c r="Z45" s="17"/>
      <c r="AA45" s="17"/>
      <c r="AB45" s="17"/>
      <c r="AC45" s="16" t="e">
        <v>#N/A</v>
      </c>
      <c r="AD45" s="16" t="e">
        <v>#N/A</v>
      </c>
      <c r="AE45" s="16" t="e">
        <v>#N/A</v>
      </c>
      <c r="AF45" s="17"/>
      <c r="AG45" s="17"/>
      <c r="AH45" s="17"/>
      <c r="AI45" s="11"/>
    </row>
    <row r="46">
      <c r="A46" s="105" t="str">
        <f t="shared" si="6"/>
        <v>#REF!</v>
      </c>
      <c r="B46" s="106" t="s">
        <v>2063</v>
      </c>
      <c r="C46" s="106" t="s">
        <v>2063</v>
      </c>
      <c r="D46" s="106" t="e">
        <v>#N/A</v>
      </c>
      <c r="E46" s="106" t="s">
        <v>3106</v>
      </c>
      <c r="F46" s="106" t="s">
        <v>1960</v>
      </c>
      <c r="G46" s="106" t="s">
        <v>2056</v>
      </c>
      <c r="H46" s="107"/>
      <c r="I46" s="16" t="s">
        <v>1962</v>
      </c>
      <c r="J46" s="17"/>
      <c r="K46" s="16" t="s">
        <v>13</v>
      </c>
      <c r="L46" s="16" t="s">
        <v>3107</v>
      </c>
      <c r="M46" s="108">
        <v>41284.0</v>
      </c>
      <c r="N46" s="109">
        <f t="shared" si="5"/>
        <v>13.17222222</v>
      </c>
      <c r="O46" s="111"/>
      <c r="P46" s="16" t="s">
        <v>3121</v>
      </c>
      <c r="Q46" s="17"/>
      <c r="R46" s="17"/>
      <c r="S46" s="17"/>
      <c r="T46" s="16" t="s">
        <v>2063</v>
      </c>
      <c r="U46" s="17"/>
      <c r="V46" s="17"/>
      <c r="W46" s="17"/>
      <c r="X46" s="17"/>
      <c r="Y46" s="17"/>
      <c r="Z46" s="17"/>
      <c r="AA46" s="17"/>
      <c r="AB46" s="17"/>
      <c r="AC46" s="16" t="e">
        <v>#N/A</v>
      </c>
      <c r="AD46" s="16" t="e">
        <v>#N/A</v>
      </c>
      <c r="AE46" s="16" t="e">
        <v>#N/A</v>
      </c>
      <c r="AF46" s="17"/>
      <c r="AG46" s="17"/>
      <c r="AH46" s="17"/>
      <c r="AI46" s="11"/>
    </row>
    <row r="47">
      <c r="A47" s="105" t="str">
        <f t="shared" si="6"/>
        <v>#REF!</v>
      </c>
      <c r="B47" s="106" t="s">
        <v>2064</v>
      </c>
      <c r="C47" s="106" t="s">
        <v>2064</v>
      </c>
      <c r="D47" s="106" t="e">
        <v>#N/A</v>
      </c>
      <c r="E47" s="106" t="s">
        <v>3106</v>
      </c>
      <c r="F47" s="106" t="s">
        <v>1960</v>
      </c>
      <c r="G47" s="106" t="s">
        <v>1973</v>
      </c>
      <c r="H47" s="107"/>
      <c r="I47" s="16" t="s">
        <v>2065</v>
      </c>
      <c r="J47" s="17"/>
      <c r="K47" s="16" t="s">
        <v>79</v>
      </c>
      <c r="L47" s="16" t="s">
        <v>3109</v>
      </c>
      <c r="M47" s="108" t="e">
        <v>#N/A</v>
      </c>
      <c r="N47" s="109" t="str">
        <f t="shared" si="5"/>
        <v>#N/A</v>
      </c>
      <c r="O47" s="111"/>
      <c r="P47" s="16" t="s">
        <v>3121</v>
      </c>
      <c r="Q47" s="17"/>
      <c r="R47" s="17"/>
      <c r="S47" s="17"/>
      <c r="T47" s="16" t="s">
        <v>2064</v>
      </c>
      <c r="U47" s="17"/>
      <c r="V47" s="17"/>
      <c r="W47" s="17"/>
      <c r="X47" s="17"/>
      <c r="Y47" s="17"/>
      <c r="Z47" s="17"/>
      <c r="AA47" s="17"/>
      <c r="AB47" s="17"/>
      <c r="AC47" s="16" t="e">
        <v>#N/A</v>
      </c>
      <c r="AD47" s="16" t="e">
        <v>#N/A</v>
      </c>
      <c r="AE47" s="16" t="e">
        <v>#N/A</v>
      </c>
      <c r="AF47" s="17"/>
      <c r="AG47" s="17"/>
      <c r="AH47" s="17"/>
      <c r="AI47" s="11"/>
    </row>
    <row r="48">
      <c r="A48" s="105" t="str">
        <f t="shared" si="6"/>
        <v>#REF!</v>
      </c>
      <c r="B48" s="106" t="s">
        <v>2066</v>
      </c>
      <c r="C48" s="106" t="s">
        <v>2067</v>
      </c>
      <c r="D48" s="106" t="s">
        <v>2068</v>
      </c>
      <c r="E48" s="106" t="s">
        <v>3106</v>
      </c>
      <c r="F48" s="106" t="s">
        <v>1960</v>
      </c>
      <c r="G48" s="106" t="s">
        <v>1973</v>
      </c>
      <c r="H48" s="107"/>
      <c r="I48" s="16" t="s">
        <v>1962</v>
      </c>
      <c r="J48" s="17"/>
      <c r="K48" s="16" t="s">
        <v>79</v>
      </c>
      <c r="L48" s="16" t="s">
        <v>3109</v>
      </c>
      <c r="M48" s="108" t="e">
        <v>#N/A</v>
      </c>
      <c r="N48" s="109" t="str">
        <f t="shared" si="5"/>
        <v>#N/A</v>
      </c>
      <c r="O48" s="111"/>
      <c r="P48" s="16" t="s">
        <v>3121</v>
      </c>
      <c r="Q48" s="17"/>
      <c r="R48" s="17"/>
      <c r="S48" s="17"/>
      <c r="T48" s="16" t="s">
        <v>2066</v>
      </c>
      <c r="U48" s="17"/>
      <c r="V48" s="17"/>
      <c r="W48" s="17"/>
      <c r="X48" s="17"/>
      <c r="Y48" s="17"/>
      <c r="Z48" s="17"/>
      <c r="AA48" s="17"/>
      <c r="AB48" s="17"/>
      <c r="AC48" s="16" t="e">
        <v>#N/A</v>
      </c>
      <c r="AD48" s="16" t="e">
        <v>#N/A</v>
      </c>
      <c r="AE48" s="16" t="e">
        <v>#N/A</v>
      </c>
      <c r="AF48" s="16" t="s">
        <v>3128</v>
      </c>
      <c r="AG48" s="17"/>
      <c r="AH48" s="17"/>
      <c r="AI48" s="11"/>
    </row>
    <row r="49">
      <c r="A49" s="105" t="str">
        <f t="shared" si="6"/>
        <v>#REF!</v>
      </c>
      <c r="B49" s="106" t="s">
        <v>2069</v>
      </c>
      <c r="C49" s="106" t="s">
        <v>2067</v>
      </c>
      <c r="D49" s="106" t="s">
        <v>2070</v>
      </c>
      <c r="E49" s="106" t="s">
        <v>3106</v>
      </c>
      <c r="F49" s="106" t="s">
        <v>1960</v>
      </c>
      <c r="G49" s="106" t="s">
        <v>1973</v>
      </c>
      <c r="H49" s="107"/>
      <c r="I49" s="16" t="s">
        <v>1962</v>
      </c>
      <c r="J49" s="17"/>
      <c r="K49" s="16" t="s">
        <v>79</v>
      </c>
      <c r="L49" s="16" t="s">
        <v>3109</v>
      </c>
      <c r="M49" s="108">
        <v>42782.0</v>
      </c>
      <c r="N49" s="109">
        <f t="shared" si="5"/>
        <v>9.072222222</v>
      </c>
      <c r="O49" s="111"/>
      <c r="P49" s="16" t="s">
        <v>3121</v>
      </c>
      <c r="Q49" s="17"/>
      <c r="R49" s="17"/>
      <c r="S49" s="17"/>
      <c r="T49" s="16" t="s">
        <v>2069</v>
      </c>
      <c r="U49" s="17"/>
      <c r="V49" s="17"/>
      <c r="W49" s="17"/>
      <c r="X49" s="17"/>
      <c r="Y49" s="17"/>
      <c r="Z49" s="17"/>
      <c r="AA49" s="17"/>
      <c r="AB49" s="17"/>
      <c r="AC49" s="16" t="e">
        <v>#N/A</v>
      </c>
      <c r="AD49" s="16" t="e">
        <v>#N/A</v>
      </c>
      <c r="AE49" s="16" t="e">
        <v>#N/A</v>
      </c>
      <c r="AF49" s="16" t="s">
        <v>3128</v>
      </c>
      <c r="AG49" s="17"/>
      <c r="AH49" s="17"/>
      <c r="AI49" s="11"/>
    </row>
    <row r="50">
      <c r="A50" s="105" t="str">
        <f t="shared" si="6"/>
        <v>#REF!</v>
      </c>
      <c r="B50" s="106" t="s">
        <v>2071</v>
      </c>
      <c r="C50" s="106" t="s">
        <v>2071</v>
      </c>
      <c r="D50" s="106" t="e">
        <v>#N/A</v>
      </c>
      <c r="E50" s="106" t="s">
        <v>3106</v>
      </c>
      <c r="F50" s="106" t="s">
        <v>1960</v>
      </c>
      <c r="G50" s="106" t="s">
        <v>2072</v>
      </c>
      <c r="H50" s="107"/>
      <c r="I50" s="16" t="s">
        <v>1962</v>
      </c>
      <c r="J50" s="17"/>
      <c r="K50" s="16" t="s">
        <v>79</v>
      </c>
      <c r="L50" s="16" t="s">
        <v>3129</v>
      </c>
      <c r="M50" s="108">
        <v>42699.0</v>
      </c>
      <c r="N50" s="109">
        <f t="shared" si="5"/>
        <v>9.297222222</v>
      </c>
      <c r="O50" s="111"/>
      <c r="P50" s="16" t="s">
        <v>3121</v>
      </c>
      <c r="Q50" s="17"/>
      <c r="R50" s="17"/>
      <c r="S50" s="17"/>
      <c r="T50" s="16" t="s">
        <v>2071</v>
      </c>
      <c r="U50" s="17"/>
      <c r="V50" s="17"/>
      <c r="W50" s="17"/>
      <c r="X50" s="17"/>
      <c r="Y50" s="17"/>
      <c r="Z50" s="17"/>
      <c r="AA50" s="17"/>
      <c r="AB50" s="17"/>
      <c r="AC50" s="16" t="e">
        <v>#N/A</v>
      </c>
      <c r="AD50" s="16" t="e">
        <v>#N/A</v>
      </c>
      <c r="AE50" s="16" t="e">
        <v>#N/A</v>
      </c>
      <c r="AF50" s="17"/>
      <c r="AG50" s="16">
        <v>5.0001829E7</v>
      </c>
      <c r="AH50" s="17"/>
      <c r="AI50" s="11"/>
    </row>
    <row r="51">
      <c r="A51" s="105" t="str">
        <f t="shared" si="6"/>
        <v>#REF!</v>
      </c>
      <c r="B51" s="106" t="s">
        <v>2073</v>
      </c>
      <c r="C51" s="106" t="s">
        <v>2073</v>
      </c>
      <c r="D51" s="106" t="s">
        <v>2074</v>
      </c>
      <c r="E51" s="106" t="s">
        <v>3106</v>
      </c>
      <c r="F51" s="106" t="s">
        <v>1960</v>
      </c>
      <c r="G51" s="106" t="s">
        <v>2020</v>
      </c>
      <c r="H51" s="107"/>
      <c r="I51" s="16" t="s">
        <v>1962</v>
      </c>
      <c r="J51" s="17"/>
      <c r="K51" s="16" t="s">
        <v>79</v>
      </c>
      <c r="L51" s="16" t="s">
        <v>3120</v>
      </c>
      <c r="M51" s="108">
        <v>43052.0</v>
      </c>
      <c r="N51" s="109">
        <f t="shared" si="5"/>
        <v>8.330555556</v>
      </c>
      <c r="O51" s="111"/>
      <c r="P51" s="16" t="s">
        <v>3121</v>
      </c>
      <c r="Q51" s="17"/>
      <c r="R51" s="17"/>
      <c r="S51" s="17"/>
      <c r="T51" s="16" t="s">
        <v>2073</v>
      </c>
      <c r="U51" s="17"/>
      <c r="V51" s="17"/>
      <c r="W51" s="17"/>
      <c r="X51" s="17"/>
      <c r="Y51" s="17"/>
      <c r="Z51" s="17"/>
      <c r="AA51" s="17"/>
      <c r="AB51" s="17"/>
      <c r="AC51" s="16" t="e">
        <v>#N/A</v>
      </c>
      <c r="AD51" s="16" t="e">
        <v>#N/A</v>
      </c>
      <c r="AE51" s="16" t="e">
        <v>#N/A</v>
      </c>
      <c r="AF51" s="17"/>
      <c r="AG51" s="17"/>
      <c r="AH51" s="16" t="s">
        <v>1962</v>
      </c>
      <c r="AI51" s="11"/>
    </row>
    <row r="52">
      <c r="A52" s="105" t="str">
        <f t="shared" si="6"/>
        <v>#REF!</v>
      </c>
      <c r="B52" s="106" t="s">
        <v>2075</v>
      </c>
      <c r="C52" s="106" t="s">
        <v>2075</v>
      </c>
      <c r="D52" s="106" t="e">
        <v>#N/A</v>
      </c>
      <c r="E52" s="106" t="s">
        <v>3106</v>
      </c>
      <c r="F52" s="106" t="s">
        <v>1960</v>
      </c>
      <c r="G52" s="106" t="s">
        <v>1973</v>
      </c>
      <c r="H52" s="107"/>
      <c r="I52" s="16" t="s">
        <v>2076</v>
      </c>
      <c r="J52" s="17"/>
      <c r="K52" s="16" t="s">
        <v>79</v>
      </c>
      <c r="L52" s="16" t="s">
        <v>3109</v>
      </c>
      <c r="M52" s="108" t="e">
        <v>#N/A</v>
      </c>
      <c r="N52" s="109" t="str">
        <f t="shared" si="5"/>
        <v>#N/A</v>
      </c>
      <c r="O52" s="111"/>
      <c r="P52" s="16" t="s">
        <v>3121</v>
      </c>
      <c r="Q52" s="17"/>
      <c r="R52" s="17"/>
      <c r="S52" s="17"/>
      <c r="T52" s="16" t="s">
        <v>2075</v>
      </c>
      <c r="U52" s="17"/>
      <c r="V52" s="17"/>
      <c r="W52" s="17"/>
      <c r="X52" s="17"/>
      <c r="Y52" s="17"/>
      <c r="Z52" s="17"/>
      <c r="AA52" s="17"/>
      <c r="AB52" s="17"/>
      <c r="AC52" s="16" t="e">
        <v>#N/A</v>
      </c>
      <c r="AD52" s="16" t="e">
        <v>#N/A</v>
      </c>
      <c r="AE52" s="16" t="e">
        <v>#N/A</v>
      </c>
      <c r="AF52" s="17"/>
      <c r="AG52" s="17"/>
      <c r="AH52" s="17"/>
      <c r="AI52" s="11"/>
    </row>
    <row r="53">
      <c r="A53" s="105" t="str">
        <f t="shared" si="6"/>
        <v>#REF!</v>
      </c>
      <c r="B53" s="106" t="s">
        <v>2077</v>
      </c>
      <c r="C53" s="106" t="s">
        <v>2077</v>
      </c>
      <c r="D53" s="106" t="s">
        <v>2078</v>
      </c>
      <c r="E53" s="106" t="s">
        <v>3106</v>
      </c>
      <c r="F53" s="106" t="s">
        <v>1960</v>
      </c>
      <c r="G53" s="106" t="s">
        <v>2024</v>
      </c>
      <c r="H53" s="107"/>
      <c r="I53" s="16" t="s">
        <v>2076</v>
      </c>
      <c r="J53" s="17"/>
      <c r="K53" s="16" t="s">
        <v>79</v>
      </c>
      <c r="L53" s="16" t="s">
        <v>3123</v>
      </c>
      <c r="M53" s="108">
        <v>42725.0</v>
      </c>
      <c r="N53" s="109">
        <f t="shared" si="5"/>
        <v>9.225</v>
      </c>
      <c r="O53" s="111"/>
      <c r="P53" s="16" t="s">
        <v>3121</v>
      </c>
      <c r="Q53" s="17"/>
      <c r="R53" s="17"/>
      <c r="S53" s="17"/>
      <c r="T53" s="16" t="s">
        <v>2077</v>
      </c>
      <c r="U53" s="17"/>
      <c r="V53" s="17"/>
      <c r="W53" s="17"/>
      <c r="X53" s="17"/>
      <c r="Y53" s="17"/>
      <c r="Z53" s="17"/>
      <c r="AA53" s="17"/>
      <c r="AB53" s="17"/>
      <c r="AC53" s="16" t="e">
        <v>#N/A</v>
      </c>
      <c r="AD53" s="16" t="e">
        <v>#N/A</v>
      </c>
      <c r="AE53" s="16" t="e">
        <v>#N/A</v>
      </c>
      <c r="AF53" s="17"/>
      <c r="AG53" s="17"/>
      <c r="AH53" s="17"/>
      <c r="AI53" s="11"/>
    </row>
    <row r="54">
      <c r="A54" s="105" t="str">
        <f t="shared" si="6"/>
        <v>#REF!</v>
      </c>
      <c r="B54" s="106" t="s">
        <v>2079</v>
      </c>
      <c r="C54" s="106" t="s">
        <v>2079</v>
      </c>
      <c r="D54" s="106" t="e">
        <v>#N/A</v>
      </c>
      <c r="E54" s="106" t="s">
        <v>3106</v>
      </c>
      <c r="F54" s="106" t="s">
        <v>1960</v>
      </c>
      <c r="G54" s="113" t="s">
        <v>2056</v>
      </c>
      <c r="H54" s="107"/>
      <c r="I54" s="16" t="s">
        <v>2076</v>
      </c>
      <c r="J54" s="17"/>
      <c r="K54" s="16" t="s">
        <v>2054</v>
      </c>
      <c r="L54" s="114" t="s">
        <v>3107</v>
      </c>
      <c r="M54" s="108">
        <v>41298.0</v>
      </c>
      <c r="N54" s="109">
        <f t="shared" si="5"/>
        <v>13.13333333</v>
      </c>
      <c r="O54" s="111"/>
      <c r="P54" s="16" t="s">
        <v>3121</v>
      </c>
      <c r="Q54" s="17"/>
      <c r="R54" s="17"/>
      <c r="S54" s="17"/>
      <c r="T54" s="16" t="s">
        <v>2079</v>
      </c>
      <c r="U54" s="17"/>
      <c r="V54" s="17"/>
      <c r="W54" s="17"/>
      <c r="X54" s="17"/>
      <c r="Y54" s="17"/>
      <c r="Z54" s="17"/>
      <c r="AA54" s="17"/>
      <c r="AB54" s="17"/>
      <c r="AC54" s="16" t="e">
        <v>#N/A</v>
      </c>
      <c r="AD54" s="16" t="e">
        <v>#N/A</v>
      </c>
      <c r="AE54" s="16" t="e">
        <v>#N/A</v>
      </c>
      <c r="AF54" s="17"/>
      <c r="AG54" s="17"/>
      <c r="AH54" s="17"/>
      <c r="AI54" s="11"/>
    </row>
    <row r="55">
      <c r="A55" s="105" t="str">
        <f t="shared" si="6"/>
        <v>#REF!</v>
      </c>
      <c r="B55" s="106" t="s">
        <v>2080</v>
      </c>
      <c r="C55" s="106" t="s">
        <v>2080</v>
      </c>
      <c r="D55" s="106" t="e">
        <v>#N/A</v>
      </c>
      <c r="E55" s="106" t="s">
        <v>3106</v>
      </c>
      <c r="F55" s="106" t="s">
        <v>1960</v>
      </c>
      <c r="G55" s="106" t="s">
        <v>1973</v>
      </c>
      <c r="H55" s="107"/>
      <c r="I55" s="16" t="s">
        <v>2076</v>
      </c>
      <c r="J55" s="17"/>
      <c r="K55" s="16" t="s">
        <v>79</v>
      </c>
      <c r="L55" s="16" t="s">
        <v>3109</v>
      </c>
      <c r="M55" s="108">
        <v>42111.0</v>
      </c>
      <c r="N55" s="109">
        <f t="shared" si="5"/>
        <v>10.90277778</v>
      </c>
      <c r="O55" s="111"/>
      <c r="P55" s="16" t="s">
        <v>3121</v>
      </c>
      <c r="Q55" s="17"/>
      <c r="R55" s="17"/>
      <c r="S55" s="17"/>
      <c r="T55" s="16" t="s">
        <v>2080</v>
      </c>
      <c r="U55" s="17"/>
      <c r="V55" s="17"/>
      <c r="W55" s="17"/>
      <c r="X55" s="17"/>
      <c r="Y55" s="17"/>
      <c r="Z55" s="17"/>
      <c r="AA55" s="17"/>
      <c r="AB55" s="17"/>
      <c r="AC55" s="16" t="e">
        <v>#N/A</v>
      </c>
      <c r="AD55" s="16" t="e">
        <v>#N/A</v>
      </c>
      <c r="AE55" s="16" t="e">
        <v>#N/A</v>
      </c>
      <c r="AF55" s="17"/>
      <c r="AG55" s="16">
        <v>5.0000942E7</v>
      </c>
      <c r="AH55" s="17"/>
      <c r="AI55" s="11"/>
    </row>
    <row r="56">
      <c r="A56" s="105" t="str">
        <f t="shared" si="6"/>
        <v>#REF!</v>
      </c>
      <c r="B56" s="106" t="s">
        <v>2081</v>
      </c>
      <c r="C56" s="106" t="s">
        <v>2081</v>
      </c>
      <c r="D56" s="106" t="e">
        <v>#N/A</v>
      </c>
      <c r="E56" s="106" t="s">
        <v>3106</v>
      </c>
      <c r="F56" s="106" t="s">
        <v>1960</v>
      </c>
      <c r="G56" s="106" t="s">
        <v>2082</v>
      </c>
      <c r="H56" s="107"/>
      <c r="I56" s="16" t="s">
        <v>1962</v>
      </c>
      <c r="J56" s="17"/>
      <c r="K56" s="16" t="s">
        <v>13</v>
      </c>
      <c r="L56" s="16" t="s">
        <v>3130</v>
      </c>
      <c r="M56" s="108">
        <v>41736.0</v>
      </c>
      <c r="N56" s="109">
        <f t="shared" si="5"/>
        <v>11.93055556</v>
      </c>
      <c r="O56" s="111"/>
      <c r="P56" s="16" t="s">
        <v>3121</v>
      </c>
      <c r="Q56" s="17"/>
      <c r="R56" s="17"/>
      <c r="S56" s="17"/>
      <c r="T56" s="16" t="s">
        <v>2081</v>
      </c>
      <c r="U56" s="17"/>
      <c r="V56" s="17"/>
      <c r="W56" s="17"/>
      <c r="X56" s="17"/>
      <c r="Y56" s="17"/>
      <c r="Z56" s="17"/>
      <c r="AA56" s="17"/>
      <c r="AB56" s="17"/>
      <c r="AC56" s="16" t="e">
        <v>#N/A</v>
      </c>
      <c r="AD56" s="16" t="e">
        <v>#N/A</v>
      </c>
      <c r="AE56" s="16" t="e">
        <v>#N/A</v>
      </c>
      <c r="AF56" s="17"/>
      <c r="AG56" s="17"/>
      <c r="AH56" s="16" t="s">
        <v>3131</v>
      </c>
      <c r="AI56" s="11"/>
    </row>
    <row r="57">
      <c r="A57" s="105" t="str">
        <f t="shared" si="6"/>
        <v>#REF!</v>
      </c>
      <c r="B57" s="106" t="s">
        <v>2083</v>
      </c>
      <c r="C57" s="106" t="s">
        <v>2083</v>
      </c>
      <c r="D57" s="106" t="e">
        <v>#N/A</v>
      </c>
      <c r="E57" s="106" t="s">
        <v>3106</v>
      </c>
      <c r="F57" s="106" t="s">
        <v>1960</v>
      </c>
      <c r="G57" s="106" t="s">
        <v>2084</v>
      </c>
      <c r="H57" s="107"/>
      <c r="I57" s="16" t="s">
        <v>2076</v>
      </c>
      <c r="J57" s="17"/>
      <c r="K57" s="16" t="s">
        <v>2085</v>
      </c>
      <c r="L57" s="16" t="s">
        <v>3132</v>
      </c>
      <c r="M57" s="108">
        <v>42440.0</v>
      </c>
      <c r="N57" s="109">
        <f t="shared" si="5"/>
        <v>10.00277778</v>
      </c>
      <c r="O57" s="111"/>
      <c r="P57" s="16" t="s">
        <v>3121</v>
      </c>
      <c r="Q57" s="17"/>
      <c r="R57" s="17"/>
      <c r="S57" s="17"/>
      <c r="T57" s="16" t="s">
        <v>2083</v>
      </c>
      <c r="U57" s="17"/>
      <c r="V57" s="17"/>
      <c r="W57" s="17"/>
      <c r="X57" s="17"/>
      <c r="Y57" s="17"/>
      <c r="Z57" s="17"/>
      <c r="AA57" s="17"/>
      <c r="AB57" s="17"/>
      <c r="AC57" s="16" t="e">
        <v>#N/A</v>
      </c>
      <c r="AD57" s="16" t="e">
        <v>#N/A</v>
      </c>
      <c r="AE57" s="16" t="e">
        <v>#N/A</v>
      </c>
      <c r="AF57" s="17"/>
      <c r="AG57" s="17"/>
      <c r="AH57" s="17"/>
      <c r="AI57" s="11"/>
    </row>
    <row r="58">
      <c r="A58" s="105" t="str">
        <f t="shared" si="6"/>
        <v>#REF!</v>
      </c>
      <c r="B58" s="106" t="s">
        <v>2086</v>
      </c>
      <c r="C58" s="106" t="s">
        <v>2086</v>
      </c>
      <c r="D58" s="106" t="e">
        <v>#N/A</v>
      </c>
      <c r="E58" s="106" t="s">
        <v>3106</v>
      </c>
      <c r="F58" s="106" t="s">
        <v>1960</v>
      </c>
      <c r="G58" s="106" t="s">
        <v>2087</v>
      </c>
      <c r="H58" s="107"/>
      <c r="I58" s="16" t="s">
        <v>2076</v>
      </c>
      <c r="J58" s="17"/>
      <c r="K58" s="16" t="s">
        <v>13</v>
      </c>
      <c r="L58" s="16" t="s">
        <v>3114</v>
      </c>
      <c r="M58" s="108">
        <v>41425.0</v>
      </c>
      <c r="N58" s="109">
        <f t="shared" si="5"/>
        <v>12.78333333</v>
      </c>
      <c r="O58" s="111"/>
      <c r="P58" s="16" t="s">
        <v>3121</v>
      </c>
      <c r="Q58" s="17"/>
      <c r="R58" s="17"/>
      <c r="S58" s="17"/>
      <c r="T58" s="16" t="s">
        <v>2086</v>
      </c>
      <c r="U58" s="17"/>
      <c r="V58" s="17"/>
      <c r="W58" s="17"/>
      <c r="X58" s="17"/>
      <c r="Y58" s="17"/>
      <c r="Z58" s="17"/>
      <c r="AA58" s="17"/>
      <c r="AB58" s="17"/>
      <c r="AC58" s="16" t="e">
        <v>#N/A</v>
      </c>
      <c r="AD58" s="16" t="e">
        <v>#N/A</v>
      </c>
      <c r="AE58" s="16" t="e">
        <v>#N/A</v>
      </c>
      <c r="AF58" s="17"/>
      <c r="AG58" s="17"/>
      <c r="AH58" s="17"/>
      <c r="AI58" s="11"/>
    </row>
    <row r="59">
      <c r="A59" s="105" t="str">
        <f t="shared" si="6"/>
        <v>#REF!</v>
      </c>
      <c r="B59" s="106" t="s">
        <v>2088</v>
      </c>
      <c r="C59" s="106" t="s">
        <v>2088</v>
      </c>
      <c r="D59" s="106" t="s">
        <v>2089</v>
      </c>
      <c r="E59" s="106" t="s">
        <v>3106</v>
      </c>
      <c r="F59" s="106" t="s">
        <v>1960</v>
      </c>
      <c r="G59" s="106" t="s">
        <v>2090</v>
      </c>
      <c r="H59" s="107"/>
      <c r="I59" s="16" t="s">
        <v>1962</v>
      </c>
      <c r="J59" s="17"/>
      <c r="K59" s="16" t="s">
        <v>79</v>
      </c>
      <c r="L59" s="16" t="s">
        <v>3120</v>
      </c>
      <c r="M59" s="108">
        <v>42989.0</v>
      </c>
      <c r="N59" s="109">
        <f t="shared" si="5"/>
        <v>8.502777778</v>
      </c>
      <c r="O59" s="111"/>
      <c r="P59" s="16" t="s">
        <v>3121</v>
      </c>
      <c r="Q59" s="17"/>
      <c r="R59" s="17"/>
      <c r="S59" s="17"/>
      <c r="T59" s="16" t="s">
        <v>2088</v>
      </c>
      <c r="U59" s="17"/>
      <c r="V59" s="17"/>
      <c r="W59" s="17"/>
      <c r="X59" s="17"/>
      <c r="Y59" s="17"/>
      <c r="Z59" s="17"/>
      <c r="AA59" s="17"/>
      <c r="AB59" s="17"/>
      <c r="AC59" s="16" t="e">
        <v>#N/A</v>
      </c>
      <c r="AD59" s="16" t="e">
        <v>#N/A</v>
      </c>
      <c r="AE59" s="16" t="e">
        <v>#N/A</v>
      </c>
      <c r="AF59" s="17"/>
      <c r="AG59" s="17"/>
      <c r="AH59" s="16" t="s">
        <v>1962</v>
      </c>
      <c r="AI59" s="11"/>
    </row>
    <row r="60">
      <c r="A60" s="105" t="str">
        <f t="shared" si="6"/>
        <v>#REF!</v>
      </c>
      <c r="B60" s="106" t="s">
        <v>2091</v>
      </c>
      <c r="C60" s="106" t="s">
        <v>2091</v>
      </c>
      <c r="D60" s="106" t="s">
        <v>2092</v>
      </c>
      <c r="E60" s="106" t="s">
        <v>3106</v>
      </c>
      <c r="F60" s="106" t="s">
        <v>1960</v>
      </c>
      <c r="G60" s="106" t="s">
        <v>2024</v>
      </c>
      <c r="H60" s="107"/>
      <c r="I60" s="16" t="s">
        <v>1962</v>
      </c>
      <c r="J60" s="17"/>
      <c r="K60" s="16" t="s">
        <v>79</v>
      </c>
      <c r="L60" s="16" t="s">
        <v>3123</v>
      </c>
      <c r="M60" s="108">
        <v>42607.0</v>
      </c>
      <c r="N60" s="109">
        <f t="shared" si="5"/>
        <v>9.547222222</v>
      </c>
      <c r="O60" s="111"/>
      <c r="P60" s="16" t="s">
        <v>3121</v>
      </c>
      <c r="Q60" s="17"/>
      <c r="R60" s="17"/>
      <c r="S60" s="17"/>
      <c r="T60" s="16" t="s">
        <v>2091</v>
      </c>
      <c r="U60" s="17"/>
      <c r="V60" s="17"/>
      <c r="W60" s="17"/>
      <c r="X60" s="17"/>
      <c r="Y60" s="17"/>
      <c r="Z60" s="17"/>
      <c r="AA60" s="17"/>
      <c r="AB60" s="17"/>
      <c r="AC60" s="16" t="e">
        <v>#N/A</v>
      </c>
      <c r="AD60" s="16" t="e">
        <v>#N/A</v>
      </c>
      <c r="AE60" s="16" t="e">
        <v>#N/A</v>
      </c>
      <c r="AF60" s="17"/>
      <c r="AG60" s="17"/>
      <c r="AH60" s="16" t="s">
        <v>1962</v>
      </c>
      <c r="AI60" s="11"/>
    </row>
    <row r="61">
      <c r="A61" s="105" t="str">
        <f t="shared" si="6"/>
        <v>#REF!</v>
      </c>
      <c r="B61" s="106" t="s">
        <v>2093</v>
      </c>
      <c r="C61" s="106" t="s">
        <v>2093</v>
      </c>
      <c r="D61" s="106" t="s">
        <v>2094</v>
      </c>
      <c r="E61" s="106" t="s">
        <v>3106</v>
      </c>
      <c r="F61" s="106" t="s">
        <v>1960</v>
      </c>
      <c r="G61" s="106" t="s">
        <v>2095</v>
      </c>
      <c r="H61" s="107"/>
      <c r="I61" s="16" t="s">
        <v>2076</v>
      </c>
      <c r="J61" s="17"/>
      <c r="K61" s="16" t="s">
        <v>79</v>
      </c>
      <c r="L61" s="16" t="s">
        <v>3133</v>
      </c>
      <c r="M61" s="108">
        <v>43410.0</v>
      </c>
      <c r="N61" s="109">
        <f t="shared" si="5"/>
        <v>7.35</v>
      </c>
      <c r="O61" s="17"/>
      <c r="P61" s="16" t="s">
        <v>3121</v>
      </c>
      <c r="Q61" s="16" t="s">
        <v>3134</v>
      </c>
      <c r="R61" s="17"/>
      <c r="S61" s="17"/>
      <c r="T61" s="16" t="s">
        <v>2093</v>
      </c>
      <c r="U61" s="17"/>
      <c r="V61" s="17"/>
      <c r="W61" s="17"/>
      <c r="X61" s="17"/>
      <c r="Y61" s="17"/>
      <c r="Z61" s="17"/>
      <c r="AA61" s="17"/>
      <c r="AB61" s="17"/>
      <c r="AC61" s="16" t="e">
        <v>#N/A</v>
      </c>
      <c r="AD61" s="16" t="e">
        <v>#N/A</v>
      </c>
      <c r="AE61" s="16" t="e">
        <v>#N/A</v>
      </c>
      <c r="AF61" s="17"/>
      <c r="AG61" s="17"/>
      <c r="AH61" s="17"/>
      <c r="AI61" s="11"/>
    </row>
    <row r="62">
      <c r="A62" s="105" t="str">
        <f t="shared" si="6"/>
        <v>#REF!</v>
      </c>
      <c r="B62" s="106" t="s">
        <v>2096</v>
      </c>
      <c r="C62" s="106" t="s">
        <v>2096</v>
      </c>
      <c r="D62" s="106" t="e">
        <v>#N/A</v>
      </c>
      <c r="E62" s="106" t="s">
        <v>3106</v>
      </c>
      <c r="F62" s="106" t="s">
        <v>1960</v>
      </c>
      <c r="G62" s="106" t="s">
        <v>1973</v>
      </c>
      <c r="H62" s="107"/>
      <c r="I62" s="16" t="s">
        <v>1962</v>
      </c>
      <c r="J62" s="17"/>
      <c r="K62" s="16" t="s">
        <v>79</v>
      </c>
      <c r="L62" s="16" t="s">
        <v>3109</v>
      </c>
      <c r="M62" s="108">
        <v>42335.0</v>
      </c>
      <c r="N62" s="109">
        <f t="shared" si="5"/>
        <v>10.29166667</v>
      </c>
      <c r="O62" s="111"/>
      <c r="P62" s="16" t="s">
        <v>3121</v>
      </c>
      <c r="Q62" s="17"/>
      <c r="R62" s="17"/>
      <c r="S62" s="17"/>
      <c r="T62" s="16" t="s">
        <v>2096</v>
      </c>
      <c r="U62" s="17"/>
      <c r="V62" s="17"/>
      <c r="W62" s="17"/>
      <c r="X62" s="17"/>
      <c r="Y62" s="17"/>
      <c r="Z62" s="17"/>
      <c r="AA62" s="17"/>
      <c r="AB62" s="17"/>
      <c r="AC62" s="16" t="e">
        <v>#N/A</v>
      </c>
      <c r="AD62" s="16" t="e">
        <v>#N/A</v>
      </c>
      <c r="AE62" s="16" t="e">
        <v>#N/A</v>
      </c>
      <c r="AF62" s="17"/>
      <c r="AG62" s="16">
        <v>5.0001166E7</v>
      </c>
      <c r="AH62" s="17"/>
      <c r="AI62" s="11"/>
    </row>
    <row r="63">
      <c r="A63" s="105" t="str">
        <f t="shared" si="6"/>
        <v>#REF!</v>
      </c>
      <c r="B63" s="106" t="s">
        <v>2097</v>
      </c>
      <c r="C63" s="106" t="s">
        <v>2098</v>
      </c>
      <c r="D63" s="106" t="s">
        <v>2099</v>
      </c>
      <c r="E63" s="106" t="s">
        <v>3106</v>
      </c>
      <c r="F63" s="106" t="s">
        <v>1960</v>
      </c>
      <c r="G63" s="106" t="s">
        <v>2100</v>
      </c>
      <c r="H63" s="107"/>
      <c r="I63" s="16" t="s">
        <v>2076</v>
      </c>
      <c r="J63" s="17"/>
      <c r="K63" s="17"/>
      <c r="L63" s="16" t="s">
        <v>2024</v>
      </c>
      <c r="M63" s="108">
        <v>42713.0</v>
      </c>
      <c r="N63" s="109">
        <f t="shared" si="5"/>
        <v>9.258333333</v>
      </c>
      <c r="O63" s="17"/>
      <c r="P63" s="16" t="s">
        <v>3121</v>
      </c>
      <c r="Q63" s="17"/>
      <c r="R63" s="17"/>
      <c r="S63" s="17"/>
      <c r="T63" s="16" t="s">
        <v>2097</v>
      </c>
      <c r="U63" s="17"/>
      <c r="V63" s="17"/>
      <c r="W63" s="17"/>
      <c r="X63" s="17"/>
      <c r="Y63" s="17"/>
      <c r="Z63" s="17"/>
      <c r="AA63" s="17"/>
      <c r="AB63" s="17"/>
      <c r="AC63" s="16" t="e">
        <v>#N/A</v>
      </c>
      <c r="AD63" s="16" t="s">
        <v>3135</v>
      </c>
      <c r="AE63" s="16" t="e">
        <v>#N/A</v>
      </c>
      <c r="AF63" s="17"/>
      <c r="AG63" s="17"/>
      <c r="AH63" s="16" t="s">
        <v>157</v>
      </c>
      <c r="AI63" s="11"/>
    </row>
    <row r="64">
      <c r="A64" s="105" t="str">
        <f t="shared" si="6"/>
        <v>#REF!</v>
      </c>
      <c r="B64" s="106" t="s">
        <v>2101</v>
      </c>
      <c r="C64" s="106" t="s">
        <v>2102</v>
      </c>
      <c r="D64" s="106" t="s">
        <v>2103</v>
      </c>
      <c r="E64" s="106" t="s">
        <v>3106</v>
      </c>
      <c r="F64" s="106" t="s">
        <v>1960</v>
      </c>
      <c r="G64" s="106" t="s">
        <v>2020</v>
      </c>
      <c r="H64" s="107"/>
      <c r="I64" s="16" t="s">
        <v>2104</v>
      </c>
      <c r="J64" s="17"/>
      <c r="K64" s="16" t="s">
        <v>79</v>
      </c>
      <c r="L64" s="16" t="s">
        <v>3120</v>
      </c>
      <c r="M64" s="108">
        <v>43091.0</v>
      </c>
      <c r="N64" s="109">
        <f t="shared" si="5"/>
        <v>8.222222222</v>
      </c>
      <c r="O64" s="16" t="s">
        <v>3136</v>
      </c>
      <c r="P64" s="16" t="s">
        <v>2557</v>
      </c>
      <c r="Q64" s="115">
        <v>45140.0</v>
      </c>
      <c r="R64" s="17"/>
      <c r="S64" s="17"/>
      <c r="T64" s="16" t="s">
        <v>2101</v>
      </c>
      <c r="U64" s="17"/>
      <c r="V64" s="17"/>
      <c r="W64" s="17"/>
      <c r="X64" s="17"/>
      <c r="Y64" s="17"/>
      <c r="Z64" s="17"/>
      <c r="AA64" s="17"/>
      <c r="AB64" s="17"/>
      <c r="AC64" s="16" t="s">
        <v>3137</v>
      </c>
      <c r="AD64" s="16" t="e">
        <v>#N/A</v>
      </c>
      <c r="AE64" s="16" t="s">
        <v>3138</v>
      </c>
      <c r="AF64" s="17"/>
      <c r="AG64" s="16">
        <v>5.0002292E7</v>
      </c>
      <c r="AH64" s="116" t="s">
        <v>3139</v>
      </c>
      <c r="AI64" s="11"/>
    </row>
    <row r="65">
      <c r="A65" s="105" t="str">
        <f t="shared" si="6"/>
        <v>#REF!</v>
      </c>
      <c r="B65" s="106" t="s">
        <v>2105</v>
      </c>
      <c r="C65" s="106" t="s">
        <v>2106</v>
      </c>
      <c r="D65" s="106" t="s">
        <v>2107</v>
      </c>
      <c r="E65" s="106" t="s">
        <v>3106</v>
      </c>
      <c r="F65" s="106" t="s">
        <v>1960</v>
      </c>
      <c r="G65" s="106" t="s">
        <v>2024</v>
      </c>
      <c r="H65" s="107"/>
      <c r="I65" s="16" t="s">
        <v>1962</v>
      </c>
      <c r="J65" s="17"/>
      <c r="K65" s="16" t="s">
        <v>79</v>
      </c>
      <c r="L65" s="16" t="s">
        <v>3123</v>
      </c>
      <c r="M65" s="108">
        <v>42725.0</v>
      </c>
      <c r="N65" s="109">
        <f t="shared" si="5"/>
        <v>9.225</v>
      </c>
      <c r="O65" s="16" t="s">
        <v>3136</v>
      </c>
      <c r="P65" s="16" t="s">
        <v>3121</v>
      </c>
      <c r="Q65" s="115">
        <v>45203.0</v>
      </c>
      <c r="R65" s="17"/>
      <c r="S65" s="17"/>
      <c r="T65" s="16" t="s">
        <v>2105</v>
      </c>
      <c r="U65" s="17"/>
      <c r="V65" s="17"/>
      <c r="W65" s="17"/>
      <c r="X65" s="17"/>
      <c r="Y65" s="17"/>
      <c r="Z65" s="17"/>
      <c r="AA65" s="17"/>
      <c r="AB65" s="17"/>
      <c r="AC65" s="16" t="s">
        <v>3140</v>
      </c>
      <c r="AD65" s="16" t="e">
        <v>#N/A</v>
      </c>
      <c r="AE65" s="16" t="s">
        <v>3141</v>
      </c>
      <c r="AF65" s="17"/>
      <c r="AG65" s="16">
        <v>5.0001726E7</v>
      </c>
      <c r="AH65" s="16" t="s">
        <v>157</v>
      </c>
      <c r="AI65" s="11"/>
    </row>
    <row r="66">
      <c r="A66" s="105" t="str">
        <f t="shared" si="6"/>
        <v>#REF!</v>
      </c>
      <c r="B66" s="106" t="s">
        <v>2108</v>
      </c>
      <c r="C66" s="106">
        <v>3.13000144E9</v>
      </c>
      <c r="D66" s="106" t="s">
        <v>2109</v>
      </c>
      <c r="E66" s="106" t="s">
        <v>3106</v>
      </c>
      <c r="F66" s="106" t="s">
        <v>2110</v>
      </c>
      <c r="G66" s="106" t="s">
        <v>2111</v>
      </c>
      <c r="H66" s="107"/>
      <c r="I66" s="16" t="s">
        <v>2112</v>
      </c>
      <c r="J66" s="17"/>
      <c r="K66" s="16" t="s">
        <v>2085</v>
      </c>
      <c r="L66" s="16" t="s">
        <v>3142</v>
      </c>
      <c r="M66" s="108" t="e">
        <v>#N/A</v>
      </c>
      <c r="N66" s="109" t="str">
        <f t="shared" si="5"/>
        <v>#N/A</v>
      </c>
      <c r="O66" s="17"/>
      <c r="P66" s="16" t="s">
        <v>3121</v>
      </c>
      <c r="Q66" s="17"/>
      <c r="R66" s="17"/>
      <c r="S66" s="17"/>
      <c r="T66" s="16" t="s">
        <v>2108</v>
      </c>
      <c r="U66" s="17"/>
      <c r="V66" s="17"/>
      <c r="W66" s="17"/>
      <c r="X66" s="17"/>
      <c r="Y66" s="17"/>
      <c r="Z66" s="17"/>
      <c r="AA66" s="17"/>
      <c r="AB66" s="17"/>
      <c r="AC66" s="16" t="s">
        <v>3122</v>
      </c>
      <c r="AD66" s="16" t="e">
        <v>#N/A</v>
      </c>
      <c r="AE66" s="16" t="e">
        <v>#N/A</v>
      </c>
      <c r="AF66" s="17"/>
      <c r="AG66" s="17"/>
      <c r="AH66" s="17"/>
      <c r="AI66" s="11"/>
    </row>
    <row r="67">
      <c r="A67" s="105" t="str">
        <f t="shared" si="6"/>
        <v>#REF!</v>
      </c>
      <c r="B67" s="106" t="s">
        <v>2113</v>
      </c>
      <c r="C67" s="106" t="s">
        <v>2114</v>
      </c>
      <c r="D67" s="106" t="s">
        <v>2115</v>
      </c>
      <c r="E67" s="106" t="s">
        <v>3106</v>
      </c>
      <c r="F67" s="106" t="s">
        <v>1960</v>
      </c>
      <c r="G67" s="106" t="s">
        <v>2116</v>
      </c>
      <c r="H67" s="107"/>
      <c r="I67" s="16" t="s">
        <v>1962</v>
      </c>
      <c r="J67" s="17"/>
      <c r="K67" s="16" t="s">
        <v>79</v>
      </c>
      <c r="L67" s="16" t="s">
        <v>2051</v>
      </c>
      <c r="M67" s="108">
        <v>43447.0</v>
      </c>
      <c r="N67" s="109">
        <f t="shared" si="5"/>
        <v>7.247222222</v>
      </c>
      <c r="O67" s="16" t="s">
        <v>3136</v>
      </c>
      <c r="P67" s="16" t="s">
        <v>2557</v>
      </c>
      <c r="Q67" s="17"/>
      <c r="R67" s="17"/>
      <c r="S67" s="17"/>
      <c r="T67" s="16" t="s">
        <v>2113</v>
      </c>
      <c r="U67" s="17"/>
      <c r="V67" s="17"/>
      <c r="W67" s="17"/>
      <c r="X67" s="17"/>
      <c r="Y67" s="17"/>
      <c r="Z67" s="17"/>
      <c r="AA67" s="17"/>
      <c r="AB67" s="17"/>
      <c r="AC67" s="16" t="s">
        <v>3143</v>
      </c>
      <c r="AD67" s="16" t="e">
        <v>#N/A</v>
      </c>
      <c r="AE67" s="16" t="s">
        <v>3106</v>
      </c>
      <c r="AF67" s="17"/>
      <c r="AG67" s="16">
        <v>5.0002996E7</v>
      </c>
      <c r="AH67" s="16" t="s">
        <v>3144</v>
      </c>
      <c r="AI67" s="11"/>
    </row>
    <row r="68">
      <c r="A68" s="105" t="str">
        <f t="shared" si="6"/>
        <v>#REF!</v>
      </c>
      <c r="B68" s="106" t="s">
        <v>2117</v>
      </c>
      <c r="C68" s="106" t="s">
        <v>2118</v>
      </c>
      <c r="D68" s="106" t="s">
        <v>2119</v>
      </c>
      <c r="E68" s="106" t="s">
        <v>3106</v>
      </c>
      <c r="F68" s="106" t="s">
        <v>1960</v>
      </c>
      <c r="G68" s="106" t="s">
        <v>2020</v>
      </c>
      <c r="H68" s="107"/>
      <c r="I68" s="16" t="s">
        <v>1962</v>
      </c>
      <c r="J68" s="17"/>
      <c r="K68" s="16" t="s">
        <v>79</v>
      </c>
      <c r="L68" s="16" t="s">
        <v>3145</v>
      </c>
      <c r="M68" s="108">
        <v>43091.0</v>
      </c>
      <c r="N68" s="109">
        <f t="shared" si="5"/>
        <v>8.222222222</v>
      </c>
      <c r="O68" s="16" t="s">
        <v>3136</v>
      </c>
      <c r="P68" s="16" t="s">
        <v>2557</v>
      </c>
      <c r="Q68" s="115">
        <v>45140.0</v>
      </c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6" t="s">
        <v>3146</v>
      </c>
      <c r="AD68" s="16" t="e">
        <v>#N/A</v>
      </c>
      <c r="AE68" s="17"/>
      <c r="AF68" s="17"/>
      <c r="AG68" s="17"/>
      <c r="AH68" s="16" t="s">
        <v>157</v>
      </c>
      <c r="AI68" s="11"/>
    </row>
    <row r="69">
      <c r="A69" s="105" t="str">
        <f t="shared" si="6"/>
        <v>#REF!</v>
      </c>
      <c r="B69" s="107"/>
      <c r="C69" s="106" t="s">
        <v>2120</v>
      </c>
      <c r="D69" s="106" t="s">
        <v>2121</v>
      </c>
      <c r="E69" s="106" t="s">
        <v>3106</v>
      </c>
      <c r="F69" s="106" t="s">
        <v>1960</v>
      </c>
      <c r="G69" s="106" t="s">
        <v>2020</v>
      </c>
      <c r="H69" s="107"/>
      <c r="I69" s="16" t="s">
        <v>1962</v>
      </c>
      <c r="J69" s="17"/>
      <c r="K69" s="16" t="s">
        <v>79</v>
      </c>
      <c r="L69" s="16" t="s">
        <v>3120</v>
      </c>
      <c r="M69" s="108">
        <v>43048.0</v>
      </c>
      <c r="N69" s="109">
        <f t="shared" si="5"/>
        <v>8.341666667</v>
      </c>
      <c r="O69" s="16" t="s">
        <v>3136</v>
      </c>
      <c r="P69" s="16" t="s">
        <v>2557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6" t="s">
        <v>3147</v>
      </c>
      <c r="AD69" s="17"/>
      <c r="AE69" s="17"/>
      <c r="AF69" s="17"/>
      <c r="AG69" s="16">
        <v>5.0002237E7</v>
      </c>
      <c r="AH69" s="16" t="s">
        <v>1962</v>
      </c>
      <c r="AI69" s="11"/>
    </row>
    <row r="70">
      <c r="A70" s="105" t="str">
        <f t="shared" si="6"/>
        <v>#REF!</v>
      </c>
      <c r="B70" s="106" t="s">
        <v>2122</v>
      </c>
      <c r="C70" s="106" t="s">
        <v>2123</v>
      </c>
      <c r="D70" s="106" t="s">
        <v>2094</v>
      </c>
      <c r="E70" s="106" t="s">
        <v>3106</v>
      </c>
      <c r="F70" s="106" t="s">
        <v>1960</v>
      </c>
      <c r="G70" s="106" t="s">
        <v>2020</v>
      </c>
      <c r="H70" s="107"/>
      <c r="I70" s="16" t="s">
        <v>2124</v>
      </c>
      <c r="J70" s="17"/>
      <c r="K70" s="16" t="s">
        <v>79</v>
      </c>
      <c r="L70" s="16" t="s">
        <v>3120</v>
      </c>
      <c r="M70" s="108">
        <v>43262.0</v>
      </c>
      <c r="N70" s="109">
        <f t="shared" si="5"/>
        <v>7.752777778</v>
      </c>
      <c r="O70" s="111"/>
      <c r="P70" s="16" t="s">
        <v>3136</v>
      </c>
      <c r="Q70" s="17"/>
      <c r="R70" s="17"/>
      <c r="S70" s="16" t="s">
        <v>3148</v>
      </c>
      <c r="T70" s="16" t="s">
        <v>2122</v>
      </c>
      <c r="U70" s="17"/>
      <c r="V70" s="17"/>
      <c r="W70" s="17"/>
      <c r="X70" s="17"/>
      <c r="Y70" s="17"/>
      <c r="Z70" s="17"/>
      <c r="AA70" s="17"/>
      <c r="AB70" s="17"/>
      <c r="AC70" s="16" t="e">
        <v>#N/A</v>
      </c>
      <c r="AD70" s="16" t="s">
        <v>3149</v>
      </c>
      <c r="AE70" s="16" t="s">
        <v>3150</v>
      </c>
      <c r="AF70" s="17"/>
      <c r="AG70" s="16" t="e">
        <v>#N/A</v>
      </c>
      <c r="AH70" s="17"/>
      <c r="AI70" s="11"/>
    </row>
    <row r="71">
      <c r="A71" s="105" t="str">
        <f t="shared" si="6"/>
        <v>#REF!</v>
      </c>
      <c r="B71" s="106" t="s">
        <v>2125</v>
      </c>
      <c r="C71" s="106" t="s">
        <v>2126</v>
      </c>
      <c r="D71" s="106" t="s">
        <v>2127</v>
      </c>
      <c r="E71" s="106" t="s">
        <v>3106</v>
      </c>
      <c r="F71" s="106" t="s">
        <v>1960</v>
      </c>
      <c r="G71" s="106" t="s">
        <v>2020</v>
      </c>
      <c r="H71" s="107"/>
      <c r="I71" s="16" t="s">
        <v>2065</v>
      </c>
      <c r="J71" s="17"/>
      <c r="K71" s="16" t="s">
        <v>79</v>
      </c>
      <c r="L71" s="16" t="s">
        <v>3120</v>
      </c>
      <c r="M71" s="108">
        <v>43058.0</v>
      </c>
      <c r="N71" s="109">
        <f t="shared" si="5"/>
        <v>8.313888889</v>
      </c>
      <c r="O71" s="111"/>
      <c r="P71" s="16" t="s">
        <v>3136</v>
      </c>
      <c r="Q71" s="17"/>
      <c r="R71" s="17"/>
      <c r="S71" s="16" t="s">
        <v>3148</v>
      </c>
      <c r="T71" s="16" t="s">
        <v>2125</v>
      </c>
      <c r="U71" s="17"/>
      <c r="V71" s="17"/>
      <c r="W71" s="17"/>
      <c r="X71" s="17"/>
      <c r="Y71" s="17"/>
      <c r="Z71" s="17"/>
      <c r="AA71" s="17"/>
      <c r="AB71" s="17"/>
      <c r="AC71" s="16" t="e">
        <v>#N/A</v>
      </c>
      <c r="AD71" s="16" t="e">
        <v>#N/A</v>
      </c>
      <c r="AE71" s="16" t="s">
        <v>3151</v>
      </c>
      <c r="AF71" s="17"/>
      <c r="AG71" s="17"/>
      <c r="AH71" s="17"/>
      <c r="AI71" s="11"/>
    </row>
    <row r="72">
      <c r="A72" s="105" t="str">
        <f t="shared" si="6"/>
        <v>#REF!</v>
      </c>
      <c r="B72" s="106" t="s">
        <v>2128</v>
      </c>
      <c r="C72" s="106" t="s">
        <v>2129</v>
      </c>
      <c r="D72" s="106" t="s">
        <v>2130</v>
      </c>
      <c r="E72" s="106" t="s">
        <v>3106</v>
      </c>
      <c r="F72" s="106" t="s">
        <v>1960</v>
      </c>
      <c r="G72" s="106" t="s">
        <v>2131</v>
      </c>
      <c r="H72" s="107"/>
      <c r="I72" s="16" t="s">
        <v>12</v>
      </c>
      <c r="J72" s="17"/>
      <c r="K72" s="16" t="s">
        <v>13</v>
      </c>
      <c r="L72" s="16" t="s">
        <v>2131</v>
      </c>
      <c r="M72" s="108">
        <v>44376.0</v>
      </c>
      <c r="N72" s="109">
        <f t="shared" si="5"/>
        <v>4.702777778</v>
      </c>
      <c r="O72" s="111"/>
      <c r="P72" s="16" t="s">
        <v>3136</v>
      </c>
      <c r="Q72" s="17"/>
      <c r="R72" s="17"/>
      <c r="S72" s="17"/>
      <c r="T72" s="16" t="s">
        <v>2128</v>
      </c>
      <c r="U72" s="17"/>
      <c r="V72" s="17"/>
      <c r="W72" s="17"/>
      <c r="X72" s="17"/>
      <c r="Y72" s="17"/>
      <c r="Z72" s="17"/>
      <c r="AA72" s="17"/>
      <c r="AB72" s="16" t="s">
        <v>3152</v>
      </c>
      <c r="AC72" s="16" t="e">
        <v>#N/A</v>
      </c>
      <c r="AD72" s="16" t="s">
        <v>3152</v>
      </c>
      <c r="AE72" s="16" t="s">
        <v>3150</v>
      </c>
      <c r="AF72" s="17"/>
      <c r="AG72" s="16">
        <v>5.0004153E7</v>
      </c>
      <c r="AH72" s="17"/>
      <c r="AI72" s="11"/>
    </row>
    <row r="73">
      <c r="A73" s="105" t="str">
        <f t="shared" si="6"/>
        <v>#REF!</v>
      </c>
      <c r="B73" s="106" t="s">
        <v>2132</v>
      </c>
      <c r="C73" s="106" t="s">
        <v>2133</v>
      </c>
      <c r="D73" s="106" t="s">
        <v>2134</v>
      </c>
      <c r="E73" s="106" t="s">
        <v>3106</v>
      </c>
      <c r="F73" s="106" t="s">
        <v>1960</v>
      </c>
      <c r="G73" s="106" t="s">
        <v>2131</v>
      </c>
      <c r="H73" s="107"/>
      <c r="I73" s="16" t="s">
        <v>12</v>
      </c>
      <c r="J73" s="17"/>
      <c r="K73" s="16" t="s">
        <v>13</v>
      </c>
      <c r="L73" s="16" t="s">
        <v>2131</v>
      </c>
      <c r="M73" s="108">
        <v>44376.0</v>
      </c>
      <c r="N73" s="109">
        <f t="shared" si="5"/>
        <v>4.702777778</v>
      </c>
      <c r="O73" s="111"/>
      <c r="P73" s="16" t="s">
        <v>3136</v>
      </c>
      <c r="Q73" s="17"/>
      <c r="R73" s="17"/>
      <c r="S73" s="17"/>
      <c r="T73" s="16" t="s">
        <v>2132</v>
      </c>
      <c r="U73" s="17"/>
      <c r="V73" s="17"/>
      <c r="W73" s="17"/>
      <c r="X73" s="17"/>
      <c r="Y73" s="17"/>
      <c r="Z73" s="17"/>
      <c r="AA73" s="17"/>
      <c r="AB73" s="17"/>
      <c r="AC73" s="16" t="e">
        <v>#N/A</v>
      </c>
      <c r="AD73" s="16" t="s">
        <v>3153</v>
      </c>
      <c r="AE73" s="16" t="s">
        <v>3150</v>
      </c>
      <c r="AF73" s="17"/>
      <c r="AG73" s="16">
        <v>5.0004153E7</v>
      </c>
      <c r="AH73" s="17"/>
      <c r="AI73" s="11"/>
    </row>
    <row r="74">
      <c r="A74" s="105" t="str">
        <f t="shared" si="6"/>
        <v>#REF!</v>
      </c>
      <c r="B74" s="106" t="s">
        <v>2135</v>
      </c>
      <c r="C74" s="106" t="s">
        <v>2136</v>
      </c>
      <c r="D74" s="106" t="s">
        <v>2137</v>
      </c>
      <c r="E74" s="106" t="s">
        <v>3106</v>
      </c>
      <c r="F74" s="106" t="s">
        <v>1960</v>
      </c>
      <c r="G74" s="106" t="s">
        <v>2131</v>
      </c>
      <c r="H74" s="107"/>
      <c r="I74" s="16" t="s">
        <v>12</v>
      </c>
      <c r="J74" s="17"/>
      <c r="K74" s="16" t="s">
        <v>13</v>
      </c>
      <c r="L74" s="16" t="s">
        <v>2131</v>
      </c>
      <c r="M74" s="108">
        <v>44376.0</v>
      </c>
      <c r="N74" s="109">
        <f t="shared" si="5"/>
        <v>4.702777778</v>
      </c>
      <c r="O74" s="111"/>
      <c r="P74" s="16" t="s">
        <v>3136</v>
      </c>
      <c r="Q74" s="17"/>
      <c r="R74" s="17"/>
      <c r="S74" s="17"/>
      <c r="T74" s="16" t="s">
        <v>2135</v>
      </c>
      <c r="U74" s="17"/>
      <c r="V74" s="17"/>
      <c r="W74" s="17"/>
      <c r="X74" s="17"/>
      <c r="Y74" s="17"/>
      <c r="Z74" s="17"/>
      <c r="AA74" s="17"/>
      <c r="AB74" s="17"/>
      <c r="AC74" s="16" t="e">
        <v>#N/A</v>
      </c>
      <c r="AD74" s="16" t="s">
        <v>3154</v>
      </c>
      <c r="AE74" s="16" t="s">
        <v>3150</v>
      </c>
      <c r="AF74" s="17"/>
      <c r="AG74" s="16">
        <v>5.0004153E7</v>
      </c>
      <c r="AH74" s="17"/>
      <c r="AI74" s="11"/>
    </row>
    <row r="75">
      <c r="A75" s="105" t="str">
        <f t="shared" si="6"/>
        <v>#REF!</v>
      </c>
      <c r="B75" s="106" t="s">
        <v>2138</v>
      </c>
      <c r="C75" s="106" t="s">
        <v>2139</v>
      </c>
      <c r="D75" s="106" t="s">
        <v>2140</v>
      </c>
      <c r="E75" s="106" t="s">
        <v>3106</v>
      </c>
      <c r="F75" s="106" t="s">
        <v>1960</v>
      </c>
      <c r="G75" s="106" t="s">
        <v>2116</v>
      </c>
      <c r="H75" s="107"/>
      <c r="I75" s="16" t="s">
        <v>12</v>
      </c>
      <c r="J75" s="17"/>
      <c r="K75" s="16" t="s">
        <v>79</v>
      </c>
      <c r="L75" s="16" t="s">
        <v>2051</v>
      </c>
      <c r="M75" s="108">
        <v>43465.0</v>
      </c>
      <c r="N75" s="109">
        <f t="shared" si="5"/>
        <v>7.2</v>
      </c>
      <c r="O75" s="17"/>
      <c r="P75" s="16" t="s">
        <v>3121</v>
      </c>
      <c r="Q75" s="17"/>
      <c r="R75" s="17"/>
      <c r="S75" s="17"/>
      <c r="T75" s="16" t="s">
        <v>2138</v>
      </c>
      <c r="U75" s="17"/>
      <c r="V75" s="17"/>
      <c r="W75" s="17"/>
      <c r="X75" s="17"/>
      <c r="Y75" s="17"/>
      <c r="Z75" s="17"/>
      <c r="AA75" s="17"/>
      <c r="AB75" s="17"/>
      <c r="AC75" s="16" t="s">
        <v>3155</v>
      </c>
      <c r="AD75" s="16" t="e">
        <v>#N/A</v>
      </c>
      <c r="AE75" s="16" t="s">
        <v>3106</v>
      </c>
      <c r="AF75" s="17"/>
      <c r="AG75" s="16" t="e">
        <v>#N/A</v>
      </c>
      <c r="AH75" s="16" t="s">
        <v>3156</v>
      </c>
      <c r="AI75" s="11"/>
    </row>
    <row r="76">
      <c r="A76" s="105" t="str">
        <f t="shared" si="6"/>
        <v>#REF!</v>
      </c>
      <c r="B76" s="106" t="s">
        <v>2141</v>
      </c>
      <c r="C76" s="106" t="s">
        <v>2142</v>
      </c>
      <c r="D76" s="106" t="s">
        <v>2143</v>
      </c>
      <c r="E76" s="106" t="s">
        <v>3106</v>
      </c>
      <c r="F76" s="106" t="s">
        <v>1960</v>
      </c>
      <c r="G76" s="106" t="s">
        <v>2131</v>
      </c>
      <c r="H76" s="107"/>
      <c r="I76" s="16" t="s">
        <v>12</v>
      </c>
      <c r="J76" s="17"/>
      <c r="K76" s="16" t="s">
        <v>13</v>
      </c>
      <c r="L76" s="16" t="s">
        <v>2131</v>
      </c>
      <c r="M76" s="108">
        <v>44376.0</v>
      </c>
      <c r="N76" s="109">
        <f t="shared" si="5"/>
        <v>4.702777778</v>
      </c>
      <c r="O76" s="17"/>
      <c r="P76" s="16" t="s">
        <v>3136</v>
      </c>
      <c r="Q76" s="17"/>
      <c r="R76" s="17"/>
      <c r="S76" s="17"/>
      <c r="T76" s="16" t="s">
        <v>2141</v>
      </c>
      <c r="U76" s="17"/>
      <c r="V76" s="17"/>
      <c r="W76" s="17"/>
      <c r="X76" s="17"/>
      <c r="Y76" s="17"/>
      <c r="Z76" s="17"/>
      <c r="AA76" s="17"/>
      <c r="AB76" s="17"/>
      <c r="AC76" s="16" t="e">
        <v>#N/A</v>
      </c>
      <c r="AD76" s="16" t="s">
        <v>3157</v>
      </c>
      <c r="AE76" s="16" t="s">
        <v>3150</v>
      </c>
      <c r="AF76" s="17"/>
      <c r="AG76" s="16">
        <v>5.0004153E7</v>
      </c>
      <c r="AH76" s="17"/>
      <c r="AI76" s="11"/>
    </row>
    <row r="77">
      <c r="A77" s="105" t="str">
        <f t="shared" si="6"/>
        <v>#REF!</v>
      </c>
      <c r="B77" s="106" t="s">
        <v>2144</v>
      </c>
      <c r="C77" s="106" t="s">
        <v>2145</v>
      </c>
      <c r="D77" s="106" t="s">
        <v>2146</v>
      </c>
      <c r="E77" s="106" t="s">
        <v>3106</v>
      </c>
      <c r="F77" s="106" t="s">
        <v>1960</v>
      </c>
      <c r="G77" s="106" t="s">
        <v>2131</v>
      </c>
      <c r="H77" s="107"/>
      <c r="I77" s="16" t="s">
        <v>12</v>
      </c>
      <c r="J77" s="17"/>
      <c r="K77" s="16" t="s">
        <v>13</v>
      </c>
      <c r="L77" s="16" t="s">
        <v>2131</v>
      </c>
      <c r="M77" s="108">
        <v>44376.0</v>
      </c>
      <c r="N77" s="109">
        <f t="shared" si="5"/>
        <v>4.702777778</v>
      </c>
      <c r="O77" s="111"/>
      <c r="P77" s="16" t="s">
        <v>3136</v>
      </c>
      <c r="Q77" s="17"/>
      <c r="R77" s="17"/>
      <c r="S77" s="17"/>
      <c r="T77" s="16" t="s">
        <v>2144</v>
      </c>
      <c r="U77" s="17"/>
      <c r="V77" s="17"/>
      <c r="W77" s="17"/>
      <c r="X77" s="17"/>
      <c r="Y77" s="17"/>
      <c r="Z77" s="17"/>
      <c r="AA77" s="17"/>
      <c r="AB77" s="17"/>
      <c r="AC77" s="16" t="e">
        <v>#N/A</v>
      </c>
      <c r="AD77" s="16" t="s">
        <v>3158</v>
      </c>
      <c r="AE77" s="16" t="s">
        <v>3150</v>
      </c>
      <c r="AF77" s="17"/>
      <c r="AG77" s="16">
        <v>5.0004153E7</v>
      </c>
      <c r="AH77" s="17"/>
      <c r="AI77" s="11"/>
    </row>
    <row r="78">
      <c r="A78" s="105" t="str">
        <f t="shared" si="6"/>
        <v>#REF!</v>
      </c>
      <c r="B78" s="106" t="s">
        <v>2147</v>
      </c>
      <c r="C78" s="106" t="s">
        <v>2148</v>
      </c>
      <c r="D78" s="106" t="s">
        <v>2149</v>
      </c>
      <c r="E78" s="106" t="s">
        <v>3106</v>
      </c>
      <c r="F78" s="106" t="s">
        <v>1960</v>
      </c>
      <c r="G78" s="106" t="s">
        <v>2131</v>
      </c>
      <c r="H78" s="107"/>
      <c r="I78" s="16" t="s">
        <v>12</v>
      </c>
      <c r="J78" s="17"/>
      <c r="K78" s="16" t="s">
        <v>13</v>
      </c>
      <c r="L78" s="16" t="s">
        <v>2131</v>
      </c>
      <c r="M78" s="108">
        <v>44376.0</v>
      </c>
      <c r="N78" s="109">
        <f t="shared" si="5"/>
        <v>4.702777778</v>
      </c>
      <c r="O78" s="111"/>
      <c r="P78" s="16" t="s">
        <v>3136</v>
      </c>
      <c r="Q78" s="17"/>
      <c r="R78" s="17"/>
      <c r="S78" s="17"/>
      <c r="T78" s="16" t="s">
        <v>2147</v>
      </c>
      <c r="U78" s="17"/>
      <c r="V78" s="17"/>
      <c r="W78" s="17"/>
      <c r="X78" s="17"/>
      <c r="Y78" s="17"/>
      <c r="Z78" s="17"/>
      <c r="AA78" s="17"/>
      <c r="AB78" s="17"/>
      <c r="AC78" s="16" t="e">
        <v>#N/A</v>
      </c>
      <c r="AD78" s="16" t="s">
        <v>3159</v>
      </c>
      <c r="AE78" s="16" t="s">
        <v>3150</v>
      </c>
      <c r="AF78" s="17"/>
      <c r="AG78" s="16">
        <v>5.0004153E7</v>
      </c>
      <c r="AH78" s="17"/>
      <c r="AI78" s="11"/>
    </row>
    <row r="79">
      <c r="A79" s="105" t="str">
        <f t="shared" si="6"/>
        <v>#REF!</v>
      </c>
      <c r="B79" s="106" t="s">
        <v>2150</v>
      </c>
      <c r="C79" s="106" t="s">
        <v>2151</v>
      </c>
      <c r="D79" s="106" t="s">
        <v>2152</v>
      </c>
      <c r="E79" s="106" t="s">
        <v>3106</v>
      </c>
      <c r="F79" s="106" t="s">
        <v>1960</v>
      </c>
      <c r="G79" s="106" t="s">
        <v>2131</v>
      </c>
      <c r="H79" s="107"/>
      <c r="I79" s="16" t="s">
        <v>12</v>
      </c>
      <c r="J79" s="17"/>
      <c r="K79" s="16" t="s">
        <v>13</v>
      </c>
      <c r="L79" s="16" t="s">
        <v>2131</v>
      </c>
      <c r="M79" s="108">
        <v>44544.0</v>
      </c>
      <c r="N79" s="109">
        <f t="shared" si="5"/>
        <v>4.244444444</v>
      </c>
      <c r="O79" s="111"/>
      <c r="P79" s="16" t="s">
        <v>3136</v>
      </c>
      <c r="Q79" s="17"/>
      <c r="R79" s="17"/>
      <c r="S79" s="17"/>
      <c r="T79" s="16" t="s">
        <v>2150</v>
      </c>
      <c r="U79" s="17"/>
      <c r="V79" s="17"/>
      <c r="W79" s="17"/>
      <c r="X79" s="17"/>
      <c r="Y79" s="17"/>
      <c r="Z79" s="17"/>
      <c r="AA79" s="17"/>
      <c r="AB79" s="17"/>
      <c r="AC79" s="16" t="e">
        <v>#N/A</v>
      </c>
      <c r="AD79" s="16" t="s">
        <v>3160</v>
      </c>
      <c r="AE79" s="16" t="s">
        <v>3161</v>
      </c>
      <c r="AF79" s="17"/>
      <c r="AG79" s="16">
        <v>5.000436E7</v>
      </c>
      <c r="AH79" s="17"/>
      <c r="AI79" s="11"/>
    </row>
    <row r="80">
      <c r="A80" s="105" t="str">
        <f t="shared" si="6"/>
        <v>#REF!</v>
      </c>
      <c r="B80" s="106" t="s">
        <v>2153</v>
      </c>
      <c r="C80" s="106" t="s">
        <v>2154</v>
      </c>
      <c r="D80" s="106" t="s">
        <v>2155</v>
      </c>
      <c r="E80" s="106" t="s">
        <v>3106</v>
      </c>
      <c r="F80" s="106" t="s">
        <v>1960</v>
      </c>
      <c r="G80" s="106" t="s">
        <v>2131</v>
      </c>
      <c r="H80" s="107"/>
      <c r="I80" s="16" t="s">
        <v>12</v>
      </c>
      <c r="J80" s="17"/>
      <c r="K80" s="16" t="s">
        <v>13</v>
      </c>
      <c r="L80" s="16" t="s">
        <v>2131</v>
      </c>
      <c r="M80" s="108">
        <v>44544.0</v>
      </c>
      <c r="N80" s="109">
        <f t="shared" si="5"/>
        <v>4.244444444</v>
      </c>
      <c r="O80" s="17"/>
      <c r="P80" s="16" t="s">
        <v>3136</v>
      </c>
      <c r="Q80" s="16" t="s">
        <v>3162</v>
      </c>
      <c r="R80" s="17"/>
      <c r="S80" s="17"/>
      <c r="T80" s="16" t="s">
        <v>2153</v>
      </c>
      <c r="U80" s="17"/>
      <c r="V80" s="17"/>
      <c r="W80" s="17"/>
      <c r="X80" s="17"/>
      <c r="Y80" s="17"/>
      <c r="Z80" s="17"/>
      <c r="AA80" s="17"/>
      <c r="AB80" s="17"/>
      <c r="AC80" s="16" t="s">
        <v>3163</v>
      </c>
      <c r="AD80" s="16" t="s">
        <v>3164</v>
      </c>
      <c r="AE80" s="16" t="s">
        <v>3165</v>
      </c>
      <c r="AF80" s="17"/>
      <c r="AG80" s="16">
        <v>5.000436E7</v>
      </c>
      <c r="AH80" s="17"/>
      <c r="AI80" s="11"/>
    </row>
    <row r="81">
      <c r="A81" s="105" t="str">
        <f t="shared" si="6"/>
        <v>#REF!</v>
      </c>
      <c r="B81" s="106" t="s">
        <v>2156</v>
      </c>
      <c r="C81" s="106" t="s">
        <v>2157</v>
      </c>
      <c r="D81" s="106" t="s">
        <v>2158</v>
      </c>
      <c r="E81" s="106" t="s">
        <v>3106</v>
      </c>
      <c r="F81" s="106" t="s">
        <v>1960</v>
      </c>
      <c r="G81" s="106" t="s">
        <v>2159</v>
      </c>
      <c r="H81" s="107"/>
      <c r="I81" s="16" t="s">
        <v>12</v>
      </c>
      <c r="J81" s="17"/>
      <c r="K81" s="16" t="s">
        <v>36</v>
      </c>
      <c r="L81" s="16" t="s">
        <v>3166</v>
      </c>
      <c r="M81" s="108">
        <v>44543.0</v>
      </c>
      <c r="N81" s="109">
        <f t="shared" si="5"/>
        <v>4.247222222</v>
      </c>
      <c r="O81" s="111"/>
      <c r="P81" s="16" t="s">
        <v>3136</v>
      </c>
      <c r="Q81" s="17"/>
      <c r="R81" s="17"/>
      <c r="S81" s="17"/>
      <c r="T81" s="16" t="s">
        <v>2156</v>
      </c>
      <c r="U81" s="17"/>
      <c r="V81" s="17"/>
      <c r="W81" s="17"/>
      <c r="X81" s="17"/>
      <c r="Y81" s="17"/>
      <c r="Z81" s="17"/>
      <c r="AA81" s="17"/>
      <c r="AB81" s="17"/>
      <c r="AC81" s="16" t="e">
        <v>#N/A</v>
      </c>
      <c r="AD81" s="16" t="s">
        <v>3167</v>
      </c>
      <c r="AE81" s="16" t="s">
        <v>3168</v>
      </c>
      <c r="AF81" s="17"/>
      <c r="AG81" s="117">
        <v>5.0004363E7</v>
      </c>
      <c r="AH81" s="17"/>
      <c r="AI81" s="11"/>
    </row>
    <row r="82">
      <c r="A82" s="105" t="str">
        <f t="shared" si="6"/>
        <v>#REF!</v>
      </c>
      <c r="B82" s="106" t="s">
        <v>2160</v>
      </c>
      <c r="C82" s="106" t="s">
        <v>2161</v>
      </c>
      <c r="D82" s="106" t="s">
        <v>2162</v>
      </c>
      <c r="E82" s="106" t="s">
        <v>3106</v>
      </c>
      <c r="F82" s="106" t="s">
        <v>1960</v>
      </c>
      <c r="G82" s="106" t="s">
        <v>2131</v>
      </c>
      <c r="H82" s="107"/>
      <c r="I82" s="16" t="s">
        <v>12</v>
      </c>
      <c r="J82" s="17"/>
      <c r="K82" s="16" t="s">
        <v>13</v>
      </c>
      <c r="L82" s="16" t="s">
        <v>2131</v>
      </c>
      <c r="M82" s="108">
        <v>44613.0</v>
      </c>
      <c r="N82" s="109">
        <f t="shared" si="5"/>
        <v>4.058333333</v>
      </c>
      <c r="O82" s="111"/>
      <c r="P82" s="16" t="s">
        <v>3136</v>
      </c>
      <c r="Q82" s="17"/>
      <c r="R82" s="17"/>
      <c r="S82" s="17"/>
      <c r="T82" s="16" t="s">
        <v>2160</v>
      </c>
      <c r="U82" s="17"/>
      <c r="V82" s="17"/>
      <c r="W82" s="17"/>
      <c r="X82" s="17"/>
      <c r="Y82" s="17"/>
      <c r="Z82" s="17"/>
      <c r="AA82" s="17"/>
      <c r="AB82" s="17"/>
      <c r="AC82" s="16" t="e">
        <v>#N/A</v>
      </c>
      <c r="AD82" s="16" t="s">
        <v>3169</v>
      </c>
      <c r="AE82" s="16" t="s">
        <v>3161</v>
      </c>
      <c r="AF82" s="17"/>
      <c r="AG82" s="117">
        <v>5.0004446E7</v>
      </c>
      <c r="AH82" s="17"/>
      <c r="AI82" s="11"/>
    </row>
    <row r="83">
      <c r="A83" s="105" t="str">
        <f t="shared" si="6"/>
        <v>#REF!</v>
      </c>
      <c r="B83" s="106" t="s">
        <v>2163</v>
      </c>
      <c r="C83" s="106" t="s">
        <v>2164</v>
      </c>
      <c r="D83" s="106" t="s">
        <v>2165</v>
      </c>
      <c r="E83" s="106" t="s">
        <v>3106</v>
      </c>
      <c r="F83" s="106" t="s">
        <v>1960</v>
      </c>
      <c r="G83" s="106" t="s">
        <v>2131</v>
      </c>
      <c r="H83" s="107"/>
      <c r="I83" s="16" t="s">
        <v>12</v>
      </c>
      <c r="J83" s="17"/>
      <c r="K83" s="16" t="s">
        <v>13</v>
      </c>
      <c r="L83" s="16" t="s">
        <v>2131</v>
      </c>
      <c r="M83" s="108">
        <v>44649.0</v>
      </c>
      <c r="N83" s="109">
        <f t="shared" si="5"/>
        <v>3.952777778</v>
      </c>
      <c r="O83" s="16" t="s">
        <v>3136</v>
      </c>
      <c r="P83" s="16" t="s">
        <v>3121</v>
      </c>
      <c r="Q83" s="115">
        <v>45826.0</v>
      </c>
      <c r="R83" s="17"/>
      <c r="S83" s="17"/>
      <c r="T83" s="16" t="s">
        <v>2163</v>
      </c>
      <c r="U83" s="17"/>
      <c r="V83" s="17"/>
      <c r="W83" s="17"/>
      <c r="X83" s="17"/>
      <c r="Y83" s="17"/>
      <c r="Z83" s="17"/>
      <c r="AA83" s="17"/>
      <c r="AB83" s="17"/>
      <c r="AC83" s="16" t="s">
        <v>3170</v>
      </c>
      <c r="AD83" s="16" t="e">
        <v>#N/A</v>
      </c>
      <c r="AE83" s="16" t="s">
        <v>3171</v>
      </c>
      <c r="AF83" s="17"/>
      <c r="AG83" s="16">
        <v>5.0004516E7</v>
      </c>
      <c r="AH83" s="16" t="s">
        <v>3172</v>
      </c>
      <c r="AI83" s="11"/>
    </row>
    <row r="84">
      <c r="A84" s="105" t="str">
        <f t="shared" si="6"/>
        <v>#REF!</v>
      </c>
      <c r="B84" s="106" t="s">
        <v>2166</v>
      </c>
      <c r="C84" s="106" t="s">
        <v>2166</v>
      </c>
      <c r="D84" s="106" t="s">
        <v>2167</v>
      </c>
      <c r="E84" s="106" t="s">
        <v>3106</v>
      </c>
      <c r="F84" s="106" t="s">
        <v>1960</v>
      </c>
      <c r="G84" s="106" t="s">
        <v>2168</v>
      </c>
      <c r="H84" s="107"/>
      <c r="I84" s="16" t="s">
        <v>2169</v>
      </c>
      <c r="J84" s="17"/>
      <c r="K84" s="16" t="s">
        <v>13</v>
      </c>
      <c r="L84" s="16" t="s">
        <v>3173</v>
      </c>
      <c r="M84" s="108">
        <v>43914.0</v>
      </c>
      <c r="N84" s="109">
        <f t="shared" si="5"/>
        <v>5.966666667</v>
      </c>
      <c r="O84" s="111"/>
      <c r="P84" s="16" t="s">
        <v>2557</v>
      </c>
      <c r="Q84" s="17"/>
      <c r="R84" s="17"/>
      <c r="S84" s="16" t="s">
        <v>3148</v>
      </c>
      <c r="T84" s="16" t="s">
        <v>2166</v>
      </c>
      <c r="U84" s="17"/>
      <c r="V84" s="17"/>
      <c r="W84" s="17"/>
      <c r="X84" s="17"/>
      <c r="Y84" s="17"/>
      <c r="Z84" s="17"/>
      <c r="AA84" s="17"/>
      <c r="AB84" s="17"/>
      <c r="AC84" s="16" t="s">
        <v>3174</v>
      </c>
      <c r="AD84" s="17"/>
      <c r="AE84" s="16" t="s">
        <v>3175</v>
      </c>
      <c r="AF84" s="17"/>
      <c r="AG84" s="16" t="e">
        <v>#N/A</v>
      </c>
      <c r="AH84" s="16" t="s">
        <v>3176</v>
      </c>
      <c r="AI84" s="11"/>
    </row>
    <row r="85">
      <c r="A85" s="105" t="str">
        <f t="shared" si="6"/>
        <v>#REF!</v>
      </c>
      <c r="B85" s="106" t="s">
        <v>2170</v>
      </c>
      <c r="C85" s="106" t="s">
        <v>2171</v>
      </c>
      <c r="D85" s="106" t="s">
        <v>2172</v>
      </c>
      <c r="E85" s="106" t="s">
        <v>3106</v>
      </c>
      <c r="F85" s="106" t="s">
        <v>1960</v>
      </c>
      <c r="G85" s="106" t="s">
        <v>2020</v>
      </c>
      <c r="H85" s="107"/>
      <c r="I85" s="16" t="s">
        <v>2173</v>
      </c>
      <c r="J85" s="17"/>
      <c r="K85" s="16" t="s">
        <v>79</v>
      </c>
      <c r="L85" s="16" t="s">
        <v>3120</v>
      </c>
      <c r="M85" s="108">
        <v>43052.0</v>
      </c>
      <c r="N85" s="109">
        <f t="shared" si="5"/>
        <v>8.330555556</v>
      </c>
      <c r="O85" s="111"/>
      <c r="P85" s="16" t="s">
        <v>3136</v>
      </c>
      <c r="Q85" s="17"/>
      <c r="R85" s="17"/>
      <c r="S85" s="16" t="s">
        <v>3148</v>
      </c>
      <c r="T85" s="16" t="s">
        <v>2170</v>
      </c>
      <c r="U85" s="17"/>
      <c r="V85" s="17"/>
      <c r="W85" s="17"/>
      <c r="X85" s="17"/>
      <c r="Y85" s="17"/>
      <c r="Z85" s="17"/>
      <c r="AA85" s="17"/>
      <c r="AB85" s="17"/>
      <c r="AC85" s="16" t="s">
        <v>3177</v>
      </c>
      <c r="AD85" s="16" t="s">
        <v>3178</v>
      </c>
      <c r="AE85" s="16" t="s">
        <v>3141</v>
      </c>
      <c r="AF85" s="17"/>
      <c r="AG85" s="16">
        <v>5.0002241E7</v>
      </c>
      <c r="AH85" s="16" t="s">
        <v>2491</v>
      </c>
      <c r="AI85" s="11"/>
    </row>
    <row r="86">
      <c r="A86" s="105" t="str">
        <f t="shared" si="6"/>
        <v>#REF!</v>
      </c>
      <c r="B86" s="106" t="s">
        <v>2174</v>
      </c>
      <c r="C86" s="106" t="s">
        <v>2175</v>
      </c>
      <c r="D86" s="106" t="s">
        <v>2176</v>
      </c>
      <c r="E86" s="106" t="s">
        <v>3106</v>
      </c>
      <c r="F86" s="106" t="s">
        <v>1960</v>
      </c>
      <c r="G86" s="106" t="s">
        <v>2020</v>
      </c>
      <c r="H86" s="107"/>
      <c r="I86" s="16" t="s">
        <v>2173</v>
      </c>
      <c r="J86" s="17"/>
      <c r="K86" s="16" t="s">
        <v>79</v>
      </c>
      <c r="L86" s="16" t="s">
        <v>3120</v>
      </c>
      <c r="M86" s="108">
        <v>43139.0</v>
      </c>
      <c r="N86" s="109">
        <f t="shared" si="5"/>
        <v>8.094444444</v>
      </c>
      <c r="O86" s="111"/>
      <c r="P86" s="16" t="s">
        <v>3136</v>
      </c>
      <c r="Q86" s="17"/>
      <c r="R86" s="17"/>
      <c r="S86" s="16" t="s">
        <v>3148</v>
      </c>
      <c r="T86" s="16" t="s">
        <v>2174</v>
      </c>
      <c r="U86" s="17"/>
      <c r="V86" s="17"/>
      <c r="W86" s="17"/>
      <c r="X86" s="17"/>
      <c r="Y86" s="17"/>
      <c r="Z86" s="17"/>
      <c r="AA86" s="17"/>
      <c r="AB86" s="17"/>
      <c r="AC86" s="16" t="s">
        <v>3179</v>
      </c>
      <c r="AD86" s="16" t="e">
        <v>#N/A</v>
      </c>
      <c r="AE86" s="16" t="s">
        <v>3180</v>
      </c>
      <c r="AF86" s="17"/>
      <c r="AG86" s="16">
        <v>5.0002377E7</v>
      </c>
      <c r="AH86" s="16" t="s">
        <v>3181</v>
      </c>
      <c r="AI86" s="11"/>
    </row>
    <row r="87">
      <c r="A87" s="105" t="str">
        <f t="shared" si="6"/>
        <v>#REF!</v>
      </c>
      <c r="B87" s="106" t="s">
        <v>2177</v>
      </c>
      <c r="C87" s="106" t="s">
        <v>2178</v>
      </c>
      <c r="D87" s="106" t="s">
        <v>2179</v>
      </c>
      <c r="E87" s="106" t="s">
        <v>3106</v>
      </c>
      <c r="F87" s="106" t="s">
        <v>1960</v>
      </c>
      <c r="G87" s="106" t="s">
        <v>2020</v>
      </c>
      <c r="H87" s="107"/>
      <c r="I87" s="16" t="s">
        <v>2180</v>
      </c>
      <c r="J87" s="17"/>
      <c r="K87" s="16" t="s">
        <v>79</v>
      </c>
      <c r="L87" s="16" t="s">
        <v>3120</v>
      </c>
      <c r="M87" s="108">
        <v>43138.0</v>
      </c>
      <c r="N87" s="109">
        <f t="shared" si="5"/>
        <v>8.097222222</v>
      </c>
      <c r="O87" s="111"/>
      <c r="P87" s="16" t="s">
        <v>3136</v>
      </c>
      <c r="Q87" s="17"/>
      <c r="R87" s="17"/>
      <c r="S87" s="16" t="s">
        <v>3148</v>
      </c>
      <c r="T87" s="16" t="s">
        <v>2177</v>
      </c>
      <c r="U87" s="17"/>
      <c r="V87" s="17"/>
      <c r="W87" s="17"/>
      <c r="X87" s="17"/>
      <c r="Y87" s="17"/>
      <c r="Z87" s="17"/>
      <c r="AA87" s="17"/>
      <c r="AB87" s="17"/>
      <c r="AC87" s="16" t="e">
        <v>#N/A</v>
      </c>
      <c r="AD87" s="16" t="s">
        <v>3182</v>
      </c>
      <c r="AE87" s="16" t="s">
        <v>3183</v>
      </c>
      <c r="AF87" s="17"/>
      <c r="AG87" s="16">
        <v>5.0002378E7</v>
      </c>
      <c r="AH87" s="16" t="s">
        <v>3184</v>
      </c>
      <c r="AI87" s="11"/>
    </row>
    <row r="88">
      <c r="A88" s="105" t="str">
        <f t="shared" si="6"/>
        <v>#REF!</v>
      </c>
      <c r="B88" s="106" t="s">
        <v>2181</v>
      </c>
      <c r="C88" s="106" t="s">
        <v>2182</v>
      </c>
      <c r="D88" s="106" t="s">
        <v>2183</v>
      </c>
      <c r="E88" s="106" t="s">
        <v>3106</v>
      </c>
      <c r="F88" s="106" t="s">
        <v>1960</v>
      </c>
      <c r="G88" s="106" t="s">
        <v>2020</v>
      </c>
      <c r="H88" s="107"/>
      <c r="I88" s="16" t="s">
        <v>2169</v>
      </c>
      <c r="J88" s="17"/>
      <c r="K88" s="16" t="s">
        <v>79</v>
      </c>
      <c r="L88" s="16" t="s">
        <v>3120</v>
      </c>
      <c r="M88" s="108">
        <v>43446.0</v>
      </c>
      <c r="N88" s="109">
        <f t="shared" si="5"/>
        <v>7.25</v>
      </c>
      <c r="O88" s="16" t="s">
        <v>3136</v>
      </c>
      <c r="P88" s="16" t="s">
        <v>3121</v>
      </c>
      <c r="Q88" s="17"/>
      <c r="R88" s="17"/>
      <c r="S88" s="16" t="s">
        <v>3148</v>
      </c>
      <c r="T88" s="16" t="s">
        <v>2181</v>
      </c>
      <c r="U88" s="17"/>
      <c r="V88" s="17"/>
      <c r="W88" s="17"/>
      <c r="X88" s="17"/>
      <c r="Y88" s="17"/>
      <c r="Z88" s="17"/>
      <c r="AA88" s="17"/>
      <c r="AB88" s="17"/>
      <c r="AC88" s="16" t="s">
        <v>3185</v>
      </c>
      <c r="AD88" s="16" t="e">
        <v>#N/A</v>
      </c>
      <c r="AE88" s="16" t="s">
        <v>3186</v>
      </c>
      <c r="AF88" s="17"/>
      <c r="AG88" s="16">
        <v>5.0002869E7</v>
      </c>
      <c r="AH88" s="16" t="s">
        <v>3187</v>
      </c>
      <c r="AI88" s="11"/>
    </row>
    <row r="89">
      <c r="A89" s="105" t="str">
        <f t="shared" si="6"/>
        <v>#REF!</v>
      </c>
      <c r="B89" s="106" t="s">
        <v>2184</v>
      </c>
      <c r="C89" s="106" t="s">
        <v>2185</v>
      </c>
      <c r="D89" s="106" t="s">
        <v>2186</v>
      </c>
      <c r="E89" s="106" t="s">
        <v>3106</v>
      </c>
      <c r="F89" s="106" t="s">
        <v>1960</v>
      </c>
      <c r="G89" s="106" t="s">
        <v>2187</v>
      </c>
      <c r="H89" s="107"/>
      <c r="I89" s="16" t="s">
        <v>12</v>
      </c>
      <c r="J89" s="17"/>
      <c r="K89" s="16" t="s">
        <v>36</v>
      </c>
      <c r="L89" s="16" t="s">
        <v>2187</v>
      </c>
      <c r="M89" s="108">
        <v>44543.0</v>
      </c>
      <c r="N89" s="109">
        <f t="shared" si="5"/>
        <v>4.247222222</v>
      </c>
      <c r="O89" s="111"/>
      <c r="P89" s="16" t="s">
        <v>3136</v>
      </c>
      <c r="Q89" s="17"/>
      <c r="R89" s="17"/>
      <c r="S89" s="17"/>
      <c r="T89" s="16" t="s">
        <v>2184</v>
      </c>
      <c r="U89" s="17"/>
      <c r="V89" s="17"/>
      <c r="W89" s="17"/>
      <c r="X89" s="17"/>
      <c r="Y89" s="17"/>
      <c r="Z89" s="17"/>
      <c r="AA89" s="17"/>
      <c r="AB89" s="17"/>
      <c r="AC89" s="16" t="e">
        <v>#N/A</v>
      </c>
      <c r="AD89" s="16" t="s">
        <v>3188</v>
      </c>
      <c r="AE89" s="16" t="s">
        <v>3150</v>
      </c>
      <c r="AF89" s="17"/>
      <c r="AG89" s="16">
        <v>5.0004268E7</v>
      </c>
      <c r="AH89" s="16" t="s">
        <v>3172</v>
      </c>
      <c r="AI89" s="11"/>
    </row>
    <row r="90">
      <c r="A90" s="105" t="str">
        <f t="shared" si="6"/>
        <v>#REF!</v>
      </c>
      <c r="B90" s="106" t="s">
        <v>2188</v>
      </c>
      <c r="C90" s="106" t="s">
        <v>2189</v>
      </c>
      <c r="D90" s="106" t="s">
        <v>2190</v>
      </c>
      <c r="E90" s="106" t="s">
        <v>3106</v>
      </c>
      <c r="F90" s="106" t="s">
        <v>1960</v>
      </c>
      <c r="G90" s="106" t="s">
        <v>2187</v>
      </c>
      <c r="H90" s="107"/>
      <c r="I90" s="16" t="s">
        <v>12</v>
      </c>
      <c r="J90" s="17"/>
      <c r="K90" s="16" t="s">
        <v>36</v>
      </c>
      <c r="L90" s="16" t="s">
        <v>2187</v>
      </c>
      <c r="M90" s="108">
        <v>44543.0</v>
      </c>
      <c r="N90" s="109">
        <f t="shared" si="5"/>
        <v>4.247222222</v>
      </c>
      <c r="O90" s="16" t="s">
        <v>3136</v>
      </c>
      <c r="P90" s="16" t="s">
        <v>3136</v>
      </c>
      <c r="Q90" s="115">
        <v>45154.0</v>
      </c>
      <c r="R90" s="17"/>
      <c r="S90" s="17"/>
      <c r="T90" s="16" t="s">
        <v>2188</v>
      </c>
      <c r="U90" s="17"/>
      <c r="V90" s="17"/>
      <c r="W90" s="17"/>
      <c r="X90" s="17"/>
      <c r="Y90" s="17"/>
      <c r="Z90" s="17"/>
      <c r="AA90" s="17"/>
      <c r="AB90" s="17"/>
      <c r="AC90" s="16" t="s">
        <v>3189</v>
      </c>
      <c r="AD90" s="16" t="s">
        <v>3190</v>
      </c>
      <c r="AE90" s="16" t="s">
        <v>3150</v>
      </c>
      <c r="AF90" s="17"/>
      <c r="AG90" s="16">
        <v>5.0004268E7</v>
      </c>
      <c r="AH90" s="17"/>
      <c r="AI90" s="11"/>
    </row>
    <row r="91">
      <c r="A91" s="105" t="str">
        <f t="shared" si="6"/>
        <v>#REF!</v>
      </c>
      <c r="B91" s="106" t="s">
        <v>2191</v>
      </c>
      <c r="C91" s="106" t="s">
        <v>2192</v>
      </c>
      <c r="D91" s="106" t="s">
        <v>2193</v>
      </c>
      <c r="E91" s="106" t="s">
        <v>3106</v>
      </c>
      <c r="F91" s="106" t="s">
        <v>1960</v>
      </c>
      <c r="G91" s="106" t="s">
        <v>2187</v>
      </c>
      <c r="H91" s="107"/>
      <c r="I91" s="16" t="s">
        <v>12</v>
      </c>
      <c r="J91" s="17"/>
      <c r="K91" s="16" t="s">
        <v>36</v>
      </c>
      <c r="L91" s="16" t="s">
        <v>2187</v>
      </c>
      <c r="M91" s="108">
        <v>44543.0</v>
      </c>
      <c r="N91" s="109">
        <f t="shared" si="5"/>
        <v>4.247222222</v>
      </c>
      <c r="O91" s="17"/>
      <c r="P91" s="16" t="s">
        <v>3136</v>
      </c>
      <c r="Q91" s="17"/>
      <c r="R91" s="17"/>
      <c r="S91" s="17"/>
      <c r="T91" s="16" t="s">
        <v>2191</v>
      </c>
      <c r="U91" s="17"/>
      <c r="V91" s="17"/>
      <c r="W91" s="17"/>
      <c r="X91" s="17"/>
      <c r="Y91" s="17"/>
      <c r="Z91" s="17"/>
      <c r="AA91" s="17"/>
      <c r="AB91" s="17"/>
      <c r="AC91" s="16" t="e">
        <v>#N/A</v>
      </c>
      <c r="AD91" s="16" t="s">
        <v>3191</v>
      </c>
      <c r="AE91" s="16" t="s">
        <v>3150</v>
      </c>
      <c r="AF91" s="17"/>
      <c r="AG91" s="16">
        <v>5.0004268E7</v>
      </c>
      <c r="AH91" s="17"/>
      <c r="AI91" s="11"/>
    </row>
    <row r="92">
      <c r="A92" s="105" t="str">
        <f t="shared" si="6"/>
        <v>#REF!</v>
      </c>
      <c r="B92" s="106" t="s">
        <v>2194</v>
      </c>
      <c r="C92" s="106" t="s">
        <v>2195</v>
      </c>
      <c r="D92" s="106" t="s">
        <v>2196</v>
      </c>
      <c r="E92" s="106" t="s">
        <v>3106</v>
      </c>
      <c r="F92" s="106" t="s">
        <v>1960</v>
      </c>
      <c r="G92" s="106" t="s">
        <v>2197</v>
      </c>
      <c r="H92" s="107"/>
      <c r="I92" s="16" t="s">
        <v>12</v>
      </c>
      <c r="J92" s="17"/>
      <c r="K92" s="16" t="s">
        <v>13</v>
      </c>
      <c r="L92" s="16" t="s">
        <v>2197</v>
      </c>
      <c r="M92" s="108">
        <v>44615.0</v>
      </c>
      <c r="N92" s="109">
        <f t="shared" si="5"/>
        <v>4.052777778</v>
      </c>
      <c r="O92" s="111"/>
      <c r="P92" s="16" t="s">
        <v>3136</v>
      </c>
      <c r="Q92" s="17"/>
      <c r="R92" s="17"/>
      <c r="S92" s="17"/>
      <c r="T92" s="16" t="s">
        <v>2194</v>
      </c>
      <c r="U92" s="17"/>
      <c r="V92" s="17"/>
      <c r="W92" s="17"/>
      <c r="X92" s="17"/>
      <c r="Y92" s="17"/>
      <c r="Z92" s="17"/>
      <c r="AA92" s="17"/>
      <c r="AB92" s="17"/>
      <c r="AC92" s="16" t="e">
        <v>#N/A</v>
      </c>
      <c r="AD92" s="16" t="s">
        <v>3192</v>
      </c>
      <c r="AE92" s="16" t="s">
        <v>3193</v>
      </c>
      <c r="AF92" s="17"/>
      <c r="AG92" s="16">
        <v>5.0004487E7</v>
      </c>
      <c r="AH92" s="17"/>
      <c r="AI92" s="11"/>
    </row>
    <row r="93">
      <c r="A93" s="105" t="str">
        <f t="shared" si="6"/>
        <v>#REF!</v>
      </c>
      <c r="B93" s="106" t="s">
        <v>2198</v>
      </c>
      <c r="C93" s="106" t="s">
        <v>2199</v>
      </c>
      <c r="D93" s="106" t="s">
        <v>2200</v>
      </c>
      <c r="E93" s="106" t="s">
        <v>3106</v>
      </c>
      <c r="F93" s="106" t="s">
        <v>1960</v>
      </c>
      <c r="G93" s="106" t="s">
        <v>2197</v>
      </c>
      <c r="H93" s="107"/>
      <c r="I93" s="16" t="s">
        <v>12</v>
      </c>
      <c r="J93" s="17"/>
      <c r="K93" s="16" t="s">
        <v>13</v>
      </c>
      <c r="L93" s="16" t="s">
        <v>2197</v>
      </c>
      <c r="M93" s="108">
        <v>44615.0</v>
      </c>
      <c r="N93" s="109">
        <f t="shared" si="5"/>
        <v>4.052777778</v>
      </c>
      <c r="O93" s="111"/>
      <c r="P93" s="16" t="s">
        <v>3136</v>
      </c>
      <c r="Q93" s="17"/>
      <c r="R93" s="17"/>
      <c r="S93" s="17"/>
      <c r="T93" s="16" t="s">
        <v>2198</v>
      </c>
      <c r="U93" s="17"/>
      <c r="V93" s="17"/>
      <c r="W93" s="17"/>
      <c r="X93" s="17"/>
      <c r="Y93" s="17"/>
      <c r="Z93" s="17"/>
      <c r="AA93" s="17"/>
      <c r="AB93" s="17"/>
      <c r="AC93" s="16" t="e">
        <v>#N/A</v>
      </c>
      <c r="AD93" s="16" t="s">
        <v>3194</v>
      </c>
      <c r="AE93" s="16" t="s">
        <v>2935</v>
      </c>
      <c r="AF93" s="17"/>
      <c r="AG93" s="16">
        <v>5.0004487E7</v>
      </c>
      <c r="AH93" s="16" t="s">
        <v>3195</v>
      </c>
      <c r="AI93" s="11"/>
    </row>
    <row r="94">
      <c r="A94" s="105" t="str">
        <f t="shared" si="6"/>
        <v>#REF!</v>
      </c>
      <c r="B94" s="106" t="s">
        <v>2201</v>
      </c>
      <c r="C94" s="106" t="s">
        <v>2202</v>
      </c>
      <c r="D94" s="106" t="s">
        <v>2203</v>
      </c>
      <c r="E94" s="106" t="s">
        <v>3106</v>
      </c>
      <c r="F94" s="106" t="s">
        <v>1960</v>
      </c>
      <c r="G94" s="106" t="s">
        <v>2197</v>
      </c>
      <c r="H94" s="107"/>
      <c r="I94" s="16" t="s">
        <v>12</v>
      </c>
      <c r="J94" s="17"/>
      <c r="K94" s="16" t="s">
        <v>13</v>
      </c>
      <c r="L94" s="16" t="s">
        <v>2197</v>
      </c>
      <c r="M94" s="108">
        <v>44615.0</v>
      </c>
      <c r="N94" s="109">
        <f t="shared" si="5"/>
        <v>4.052777778</v>
      </c>
      <c r="O94" s="111"/>
      <c r="P94" s="16" t="s">
        <v>3136</v>
      </c>
      <c r="Q94" s="17"/>
      <c r="R94" s="17"/>
      <c r="S94" s="17"/>
      <c r="T94" s="16" t="s">
        <v>2201</v>
      </c>
      <c r="U94" s="17"/>
      <c r="V94" s="17"/>
      <c r="W94" s="17"/>
      <c r="X94" s="17"/>
      <c r="Y94" s="17"/>
      <c r="Z94" s="17"/>
      <c r="AA94" s="17"/>
      <c r="AB94" s="17"/>
      <c r="AC94" s="16" t="e">
        <v>#N/A</v>
      </c>
      <c r="AD94" s="16" t="s">
        <v>3196</v>
      </c>
      <c r="AE94" s="16" t="s">
        <v>2935</v>
      </c>
      <c r="AF94" s="17"/>
      <c r="AG94" s="16">
        <v>5.0004487E7</v>
      </c>
      <c r="AH94" s="16" t="s">
        <v>3195</v>
      </c>
      <c r="AI94" s="11"/>
    </row>
    <row r="95">
      <c r="A95" s="105" t="str">
        <f t="shared" si="6"/>
        <v>#REF!</v>
      </c>
      <c r="B95" s="106" t="s">
        <v>2204</v>
      </c>
      <c r="C95" s="106" t="s">
        <v>2205</v>
      </c>
      <c r="D95" s="106" t="s">
        <v>2206</v>
      </c>
      <c r="E95" s="106" t="s">
        <v>3106</v>
      </c>
      <c r="F95" s="106" t="s">
        <v>1960</v>
      </c>
      <c r="G95" s="106" t="s">
        <v>2197</v>
      </c>
      <c r="H95" s="107"/>
      <c r="I95" s="16" t="s">
        <v>12</v>
      </c>
      <c r="J95" s="17"/>
      <c r="K95" s="16" t="s">
        <v>13</v>
      </c>
      <c r="L95" s="16" t="s">
        <v>2197</v>
      </c>
      <c r="M95" s="108">
        <v>44615.0</v>
      </c>
      <c r="N95" s="109">
        <f t="shared" si="5"/>
        <v>4.052777778</v>
      </c>
      <c r="O95" s="111"/>
      <c r="P95" s="16" t="s">
        <v>3136</v>
      </c>
      <c r="Q95" s="17"/>
      <c r="R95" s="17"/>
      <c r="S95" s="17"/>
      <c r="T95" s="16" t="s">
        <v>2204</v>
      </c>
      <c r="U95" s="17"/>
      <c r="V95" s="17"/>
      <c r="W95" s="17"/>
      <c r="X95" s="17"/>
      <c r="Y95" s="17"/>
      <c r="Z95" s="17"/>
      <c r="AA95" s="17"/>
      <c r="AB95" s="17"/>
      <c r="AC95" s="16" t="e">
        <v>#N/A</v>
      </c>
      <c r="AD95" s="16" t="s">
        <v>3197</v>
      </c>
      <c r="AE95" s="16" t="s">
        <v>2935</v>
      </c>
      <c r="AF95" s="17"/>
      <c r="AG95" s="16">
        <v>5.0004487E7</v>
      </c>
      <c r="AH95" s="16" t="s">
        <v>3195</v>
      </c>
      <c r="AI95" s="11"/>
    </row>
    <row r="96">
      <c r="A96" s="105" t="str">
        <f t="shared" si="6"/>
        <v>#REF!</v>
      </c>
      <c r="B96" s="106" t="s">
        <v>2207</v>
      </c>
      <c r="C96" s="106" t="s">
        <v>2208</v>
      </c>
      <c r="D96" s="106" t="s">
        <v>2209</v>
      </c>
      <c r="E96" s="106" t="s">
        <v>3106</v>
      </c>
      <c r="F96" s="106" t="s">
        <v>1960</v>
      </c>
      <c r="G96" s="106" t="s">
        <v>2197</v>
      </c>
      <c r="H96" s="107"/>
      <c r="I96" s="16" t="s">
        <v>12</v>
      </c>
      <c r="J96" s="17"/>
      <c r="K96" s="16" t="s">
        <v>13</v>
      </c>
      <c r="L96" s="16" t="s">
        <v>2197</v>
      </c>
      <c r="M96" s="108">
        <v>44615.0</v>
      </c>
      <c r="N96" s="109">
        <f t="shared" si="5"/>
        <v>4.052777778</v>
      </c>
      <c r="O96" s="111"/>
      <c r="P96" s="16" t="s">
        <v>3136</v>
      </c>
      <c r="Q96" s="17"/>
      <c r="R96" s="17"/>
      <c r="S96" s="17"/>
      <c r="T96" s="16" t="s">
        <v>2207</v>
      </c>
      <c r="U96" s="17"/>
      <c r="V96" s="17"/>
      <c r="W96" s="17"/>
      <c r="X96" s="17"/>
      <c r="Y96" s="17"/>
      <c r="Z96" s="17"/>
      <c r="AA96" s="17"/>
      <c r="AB96" s="17"/>
      <c r="AC96" s="16" t="e">
        <v>#N/A</v>
      </c>
      <c r="AD96" s="16" t="s">
        <v>3198</v>
      </c>
      <c r="AE96" s="16" t="s">
        <v>2935</v>
      </c>
      <c r="AF96" s="17"/>
      <c r="AG96" s="16">
        <v>5.0004487E7</v>
      </c>
      <c r="AH96" s="16" t="s">
        <v>3195</v>
      </c>
      <c r="AI96" s="11"/>
    </row>
    <row r="97">
      <c r="A97" s="105" t="str">
        <f t="shared" si="6"/>
        <v>#REF!</v>
      </c>
      <c r="B97" s="106" t="s">
        <v>2210</v>
      </c>
      <c r="C97" s="106" t="s">
        <v>2211</v>
      </c>
      <c r="D97" s="106" t="s">
        <v>2212</v>
      </c>
      <c r="E97" s="106" t="s">
        <v>3106</v>
      </c>
      <c r="F97" s="106" t="s">
        <v>1960</v>
      </c>
      <c r="G97" s="106" t="s">
        <v>2197</v>
      </c>
      <c r="H97" s="107"/>
      <c r="I97" s="16" t="s">
        <v>12</v>
      </c>
      <c r="J97" s="17"/>
      <c r="K97" s="16" t="s">
        <v>13</v>
      </c>
      <c r="L97" s="16" t="s">
        <v>2197</v>
      </c>
      <c r="M97" s="108">
        <v>44615.0</v>
      </c>
      <c r="N97" s="109">
        <f t="shared" si="5"/>
        <v>4.052777778</v>
      </c>
      <c r="O97" s="111"/>
      <c r="P97" s="16" t="s">
        <v>3136</v>
      </c>
      <c r="Q97" s="17"/>
      <c r="R97" s="17"/>
      <c r="S97" s="17"/>
      <c r="T97" s="16" t="s">
        <v>2210</v>
      </c>
      <c r="U97" s="17"/>
      <c r="V97" s="17"/>
      <c r="W97" s="17"/>
      <c r="X97" s="17"/>
      <c r="Y97" s="17"/>
      <c r="Z97" s="17"/>
      <c r="AA97" s="17"/>
      <c r="AB97" s="17"/>
      <c r="AC97" s="16" t="e">
        <v>#N/A</v>
      </c>
      <c r="AD97" s="16" t="s">
        <v>3199</v>
      </c>
      <c r="AE97" s="16" t="s">
        <v>2935</v>
      </c>
      <c r="AF97" s="17"/>
      <c r="AG97" s="16">
        <v>5.0004487E7</v>
      </c>
      <c r="AH97" s="16" t="s">
        <v>3195</v>
      </c>
      <c r="AI97" s="11"/>
    </row>
    <row r="98">
      <c r="A98" s="105" t="str">
        <f t="shared" si="6"/>
        <v>#REF!</v>
      </c>
      <c r="B98" s="106" t="s">
        <v>2213</v>
      </c>
      <c r="C98" s="106" t="s">
        <v>2214</v>
      </c>
      <c r="D98" s="106" t="s">
        <v>2215</v>
      </c>
      <c r="E98" s="106" t="s">
        <v>3106</v>
      </c>
      <c r="F98" s="106" t="s">
        <v>1960</v>
      </c>
      <c r="G98" s="106" t="s">
        <v>2216</v>
      </c>
      <c r="H98" s="107"/>
      <c r="I98" s="16" t="s">
        <v>2173</v>
      </c>
      <c r="J98" s="17"/>
      <c r="K98" s="16" t="s">
        <v>13</v>
      </c>
      <c r="L98" s="16" t="s">
        <v>3200</v>
      </c>
      <c r="M98" s="108">
        <v>44805.0</v>
      </c>
      <c r="N98" s="109">
        <f t="shared" si="5"/>
        <v>3.530555556</v>
      </c>
      <c r="O98" s="111"/>
      <c r="P98" s="16" t="s">
        <v>3136</v>
      </c>
      <c r="Q98" s="17"/>
      <c r="R98" s="17"/>
      <c r="S98" s="16" t="s">
        <v>3148</v>
      </c>
      <c r="T98" s="16" t="s">
        <v>2213</v>
      </c>
      <c r="U98" s="17"/>
      <c r="V98" s="17"/>
      <c r="W98" s="17"/>
      <c r="X98" s="17"/>
      <c r="Y98" s="17"/>
      <c r="Z98" s="17"/>
      <c r="AA98" s="17"/>
      <c r="AB98" s="17"/>
      <c r="AC98" s="16" t="e">
        <v>#N/A</v>
      </c>
      <c r="AD98" s="17"/>
      <c r="AE98" s="16" t="s">
        <v>2935</v>
      </c>
      <c r="AF98" s="17"/>
      <c r="AG98" s="16" t="e">
        <v>#N/A</v>
      </c>
      <c r="AH98" s="16" t="s">
        <v>3201</v>
      </c>
      <c r="AI98" s="11"/>
    </row>
    <row r="99">
      <c r="A99" s="105" t="str">
        <f t="shared" si="6"/>
        <v>#REF!</v>
      </c>
      <c r="B99" s="106" t="s">
        <v>2217</v>
      </c>
      <c r="C99" s="106" t="s">
        <v>2218</v>
      </c>
      <c r="D99" s="106" t="s">
        <v>2219</v>
      </c>
      <c r="E99" s="106" t="s">
        <v>3106</v>
      </c>
      <c r="F99" s="106" t="s">
        <v>1960</v>
      </c>
      <c r="G99" s="106" t="s">
        <v>2220</v>
      </c>
      <c r="H99" s="107"/>
      <c r="I99" s="16" t="s">
        <v>12</v>
      </c>
      <c r="J99" s="17"/>
      <c r="K99" s="16" t="s">
        <v>36</v>
      </c>
      <c r="L99" s="16" t="s">
        <v>3202</v>
      </c>
      <c r="M99" s="108">
        <v>44188.0</v>
      </c>
      <c r="N99" s="109">
        <f t="shared" si="5"/>
        <v>5.219444444</v>
      </c>
      <c r="O99" s="16" t="s">
        <v>3136</v>
      </c>
      <c r="P99" s="16" t="s">
        <v>3121</v>
      </c>
      <c r="Q99" s="118">
        <v>45681.0</v>
      </c>
      <c r="R99" s="17"/>
      <c r="S99" s="17"/>
      <c r="T99" s="16" t="s">
        <v>2217</v>
      </c>
      <c r="U99" s="17"/>
      <c r="V99" s="17"/>
      <c r="W99" s="17"/>
      <c r="X99" s="17"/>
      <c r="Y99" s="17"/>
      <c r="Z99" s="17"/>
      <c r="AA99" s="17"/>
      <c r="AB99" s="17"/>
      <c r="AC99" s="16" t="s">
        <v>3203</v>
      </c>
      <c r="AD99" s="16" t="e">
        <v>#N/A</v>
      </c>
      <c r="AE99" s="16" t="s">
        <v>3204</v>
      </c>
      <c r="AF99" s="17"/>
      <c r="AG99" s="16">
        <v>5.0036153E7</v>
      </c>
      <c r="AH99" s="17"/>
      <c r="AI99" s="11"/>
    </row>
    <row r="100">
      <c r="A100" s="105" t="str">
        <f t="shared" si="6"/>
        <v>#REF!</v>
      </c>
      <c r="B100" s="106" t="s">
        <v>2221</v>
      </c>
      <c r="C100" s="106" t="s">
        <v>2222</v>
      </c>
      <c r="D100" s="106" t="s">
        <v>2223</v>
      </c>
      <c r="E100" s="106" t="s">
        <v>3106</v>
      </c>
      <c r="F100" s="106" t="s">
        <v>1960</v>
      </c>
      <c r="G100" s="106" t="s">
        <v>2224</v>
      </c>
      <c r="H100" s="107"/>
      <c r="I100" s="16" t="s">
        <v>12</v>
      </c>
      <c r="J100" s="17"/>
      <c r="K100" s="16" t="s">
        <v>13</v>
      </c>
      <c r="L100" s="16" t="s">
        <v>2224</v>
      </c>
      <c r="M100" s="108">
        <v>44203.0</v>
      </c>
      <c r="N100" s="109">
        <f t="shared" si="5"/>
        <v>5.180555556</v>
      </c>
      <c r="O100" s="111"/>
      <c r="P100" s="16" t="s">
        <v>3136</v>
      </c>
      <c r="Q100" s="17"/>
      <c r="R100" s="17"/>
      <c r="S100" s="17"/>
      <c r="T100" s="16" t="s">
        <v>2221</v>
      </c>
      <c r="U100" s="17"/>
      <c r="V100" s="17"/>
      <c r="W100" s="17"/>
      <c r="X100" s="17"/>
      <c r="Y100" s="17"/>
      <c r="Z100" s="17"/>
      <c r="AA100" s="17"/>
      <c r="AB100" s="17"/>
      <c r="AC100" s="16" t="e">
        <v>#N/A</v>
      </c>
      <c r="AD100" s="16" t="s">
        <v>3205</v>
      </c>
      <c r="AE100" s="16" t="s">
        <v>3180</v>
      </c>
      <c r="AF100" s="17"/>
      <c r="AG100" s="16">
        <v>5.0003777E7</v>
      </c>
      <c r="AH100" s="17"/>
      <c r="AI100" s="11"/>
    </row>
    <row r="101">
      <c r="A101" s="105" t="str">
        <f t="shared" si="6"/>
        <v>#REF!</v>
      </c>
      <c r="B101" s="106" t="s">
        <v>2225</v>
      </c>
      <c r="C101" s="106">
        <v>6.0019854E7</v>
      </c>
      <c r="D101" s="106" t="s">
        <v>2226</v>
      </c>
      <c r="E101" s="106" t="s">
        <v>3106</v>
      </c>
      <c r="F101" s="106" t="s">
        <v>1960</v>
      </c>
      <c r="G101" s="106" t="s">
        <v>2227</v>
      </c>
      <c r="H101" s="107"/>
      <c r="I101" s="16" t="s">
        <v>12</v>
      </c>
      <c r="J101" s="17"/>
      <c r="K101" s="16" t="s">
        <v>36</v>
      </c>
      <c r="L101" s="16" t="s">
        <v>2818</v>
      </c>
      <c r="M101" s="108">
        <v>44848.0</v>
      </c>
      <c r="N101" s="109">
        <f t="shared" si="5"/>
        <v>3.411111111</v>
      </c>
      <c r="O101" s="111"/>
      <c r="P101" s="16" t="s">
        <v>3136</v>
      </c>
      <c r="Q101" s="17"/>
      <c r="R101" s="17"/>
      <c r="S101" s="17"/>
      <c r="T101" s="16" t="s">
        <v>2225</v>
      </c>
      <c r="U101" s="17"/>
      <c r="V101" s="17"/>
      <c r="W101" s="17"/>
      <c r="X101" s="17"/>
      <c r="Y101" s="17"/>
      <c r="Z101" s="17"/>
      <c r="AA101" s="17"/>
      <c r="AB101" s="17"/>
      <c r="AC101" s="16" t="e">
        <v>#N/A</v>
      </c>
      <c r="AD101" s="16" t="s">
        <v>3206</v>
      </c>
      <c r="AE101" s="16" t="s">
        <v>3207</v>
      </c>
      <c r="AF101" s="17"/>
      <c r="AG101" s="16">
        <v>4.500000469E9</v>
      </c>
      <c r="AH101" s="17"/>
      <c r="AI101" s="11"/>
    </row>
    <row r="102">
      <c r="A102" s="105" t="str">
        <f t="shared" si="6"/>
        <v>#REF!</v>
      </c>
      <c r="B102" s="106" t="s">
        <v>2228</v>
      </c>
      <c r="C102" s="106" t="s">
        <v>2229</v>
      </c>
      <c r="D102" s="106" t="s">
        <v>2230</v>
      </c>
      <c r="E102" s="106" t="s">
        <v>3106</v>
      </c>
      <c r="F102" s="106" t="s">
        <v>1960</v>
      </c>
      <c r="G102" s="106" t="s">
        <v>2131</v>
      </c>
      <c r="H102" s="107"/>
      <c r="I102" s="16" t="s">
        <v>12</v>
      </c>
      <c r="J102" s="17"/>
      <c r="K102" s="16" t="s">
        <v>13</v>
      </c>
      <c r="L102" s="16" t="s">
        <v>3208</v>
      </c>
      <c r="M102" s="108">
        <v>44257.0</v>
      </c>
      <c r="N102" s="109">
        <f t="shared" si="5"/>
        <v>5.027777778</v>
      </c>
      <c r="O102" s="111"/>
      <c r="P102" s="16" t="s">
        <v>3136</v>
      </c>
      <c r="Q102" s="17"/>
      <c r="R102" s="17"/>
      <c r="S102" s="17"/>
      <c r="T102" s="16" t="s">
        <v>2228</v>
      </c>
      <c r="U102" s="17"/>
      <c r="V102" s="17"/>
      <c r="W102" s="17"/>
      <c r="X102" s="17"/>
      <c r="Y102" s="17"/>
      <c r="Z102" s="17"/>
      <c r="AA102" s="17"/>
      <c r="AB102" s="17"/>
      <c r="AC102" s="119" t="s">
        <v>3209</v>
      </c>
      <c r="AD102" s="16" t="s">
        <v>3210</v>
      </c>
      <c r="AE102" s="16" t="s">
        <v>3211</v>
      </c>
      <c r="AF102" s="17"/>
      <c r="AG102" s="16">
        <v>5.000391E7</v>
      </c>
      <c r="AH102" s="16" t="s">
        <v>3212</v>
      </c>
      <c r="AI102" s="11"/>
    </row>
    <row r="103">
      <c r="A103" s="105" t="str">
        <f t="shared" si="6"/>
        <v>#REF!</v>
      </c>
      <c r="B103" s="106" t="s">
        <v>2231</v>
      </c>
      <c r="C103" s="106">
        <v>6.001986E7</v>
      </c>
      <c r="D103" s="106" t="s">
        <v>2232</v>
      </c>
      <c r="E103" s="106" t="s">
        <v>3106</v>
      </c>
      <c r="F103" s="106" t="s">
        <v>1960</v>
      </c>
      <c r="G103" s="106" t="s">
        <v>2233</v>
      </c>
      <c r="H103" s="107"/>
      <c r="I103" s="16" t="s">
        <v>12</v>
      </c>
      <c r="J103" s="17"/>
      <c r="K103" s="16" t="s">
        <v>36</v>
      </c>
      <c r="L103" s="16" t="s">
        <v>3213</v>
      </c>
      <c r="M103" s="108">
        <v>44848.0</v>
      </c>
      <c r="N103" s="109">
        <f t="shared" si="5"/>
        <v>3.411111111</v>
      </c>
      <c r="O103" s="111"/>
      <c r="P103" s="16" t="s">
        <v>3136</v>
      </c>
      <c r="Q103" s="17"/>
      <c r="R103" s="17"/>
      <c r="S103" s="17"/>
      <c r="T103" s="16" t="s">
        <v>2231</v>
      </c>
      <c r="U103" s="17"/>
      <c r="V103" s="17"/>
      <c r="W103" s="17"/>
      <c r="X103" s="17"/>
      <c r="Y103" s="17"/>
      <c r="Z103" s="17"/>
      <c r="AA103" s="17"/>
      <c r="AB103" s="17"/>
      <c r="AC103" s="16" t="e">
        <v>#N/A</v>
      </c>
      <c r="AD103" s="16" t="s">
        <v>3214</v>
      </c>
      <c r="AE103" s="16" t="s">
        <v>3138</v>
      </c>
      <c r="AF103" s="17"/>
      <c r="AG103" s="16">
        <v>4.500000469E9</v>
      </c>
      <c r="AH103" s="17"/>
      <c r="AI103" s="11"/>
    </row>
    <row r="104">
      <c r="A104" s="105" t="str">
        <f t="shared" si="6"/>
        <v>#REF!</v>
      </c>
      <c r="B104" s="106" t="s">
        <v>2234</v>
      </c>
      <c r="C104" s="106" t="s">
        <v>2235</v>
      </c>
      <c r="D104" s="106" t="s">
        <v>2236</v>
      </c>
      <c r="E104" s="106" t="s">
        <v>3106</v>
      </c>
      <c r="F104" s="106" t="s">
        <v>1960</v>
      </c>
      <c r="G104" s="106" t="s">
        <v>2131</v>
      </c>
      <c r="H104" s="107"/>
      <c r="I104" s="16" t="s">
        <v>12</v>
      </c>
      <c r="J104" s="17"/>
      <c r="K104" s="16" t="s">
        <v>13</v>
      </c>
      <c r="L104" s="16" t="s">
        <v>2131</v>
      </c>
      <c r="M104" s="108">
        <v>44376.0</v>
      </c>
      <c r="N104" s="109">
        <f t="shared" si="5"/>
        <v>4.702777778</v>
      </c>
      <c r="O104" s="111"/>
      <c r="P104" s="16" t="s">
        <v>3136</v>
      </c>
      <c r="Q104" s="17"/>
      <c r="R104" s="17"/>
      <c r="S104" s="17"/>
      <c r="T104" s="16" t="s">
        <v>2234</v>
      </c>
      <c r="U104" s="17"/>
      <c r="V104" s="17"/>
      <c r="W104" s="17"/>
      <c r="X104" s="17"/>
      <c r="Y104" s="17"/>
      <c r="Z104" s="17"/>
      <c r="AA104" s="17"/>
      <c r="AB104" s="17"/>
      <c r="AC104" s="16" t="e">
        <v>#N/A</v>
      </c>
      <c r="AD104" s="16" t="s">
        <v>3215</v>
      </c>
      <c r="AE104" s="16" t="s">
        <v>3150</v>
      </c>
      <c r="AF104" s="17"/>
      <c r="AG104" s="16">
        <v>5.0004153E7</v>
      </c>
      <c r="AH104" s="17"/>
      <c r="AI104" s="11"/>
    </row>
    <row r="105">
      <c r="A105" s="105" t="str">
        <f t="shared" si="6"/>
        <v>#REF!</v>
      </c>
      <c r="B105" s="106" t="s">
        <v>2237</v>
      </c>
      <c r="C105" s="106" t="s">
        <v>2238</v>
      </c>
      <c r="D105" s="106" t="s">
        <v>2239</v>
      </c>
      <c r="E105" s="106" t="s">
        <v>3106</v>
      </c>
      <c r="F105" s="106" t="s">
        <v>1960</v>
      </c>
      <c r="G105" s="106" t="s">
        <v>2220</v>
      </c>
      <c r="H105" s="107"/>
      <c r="I105" s="16" t="s">
        <v>12</v>
      </c>
      <c r="J105" s="17"/>
      <c r="K105" s="16" t="s">
        <v>36</v>
      </c>
      <c r="L105" s="16" t="s">
        <v>2220</v>
      </c>
      <c r="M105" s="108">
        <v>44188.0</v>
      </c>
      <c r="N105" s="109">
        <f t="shared" si="5"/>
        <v>5.219444444</v>
      </c>
      <c r="O105" s="17"/>
      <c r="P105" s="16" t="s">
        <v>3136</v>
      </c>
      <c r="Q105" s="112"/>
      <c r="R105" s="17"/>
      <c r="S105" s="17"/>
      <c r="T105" s="16" t="s">
        <v>2237</v>
      </c>
      <c r="U105" s="17"/>
      <c r="V105" s="17"/>
      <c r="W105" s="17"/>
      <c r="X105" s="17"/>
      <c r="Y105" s="17"/>
      <c r="Z105" s="17"/>
      <c r="AA105" s="17"/>
      <c r="AB105" s="17"/>
      <c r="AC105" s="16" t="e">
        <v>#N/A</v>
      </c>
      <c r="AD105" s="16" t="s">
        <v>3216</v>
      </c>
      <c r="AE105" s="16" t="s">
        <v>3217</v>
      </c>
      <c r="AF105" s="17"/>
      <c r="AG105" s="16">
        <v>5.0036153E7</v>
      </c>
      <c r="AH105" s="17"/>
      <c r="AI105" s="11"/>
    </row>
    <row r="106">
      <c r="A106" s="105" t="str">
        <f t="shared" si="6"/>
        <v>#REF!</v>
      </c>
      <c r="B106" s="106" t="s">
        <v>2240</v>
      </c>
      <c r="C106" s="106">
        <v>6.002008E7</v>
      </c>
      <c r="D106" s="106" t="s">
        <v>2241</v>
      </c>
      <c r="E106" s="106" t="s">
        <v>3106</v>
      </c>
      <c r="F106" s="106" t="s">
        <v>1960</v>
      </c>
      <c r="G106" s="106" t="s">
        <v>2242</v>
      </c>
      <c r="H106" s="107"/>
      <c r="I106" s="16" t="s">
        <v>12</v>
      </c>
      <c r="J106" s="17"/>
      <c r="K106" s="16" t="s">
        <v>13</v>
      </c>
      <c r="L106" s="16" t="s">
        <v>3218</v>
      </c>
      <c r="M106" s="108">
        <v>44817.0</v>
      </c>
      <c r="N106" s="109">
        <f t="shared" si="5"/>
        <v>3.497222222</v>
      </c>
      <c r="O106" s="111"/>
      <c r="P106" s="16" t="s">
        <v>3136</v>
      </c>
      <c r="Q106" s="17"/>
      <c r="R106" s="17"/>
      <c r="S106" s="17"/>
      <c r="T106" s="16" t="s">
        <v>2240</v>
      </c>
      <c r="U106" s="17"/>
      <c r="V106" s="17"/>
      <c r="W106" s="17"/>
      <c r="X106" s="17"/>
      <c r="Y106" s="17"/>
      <c r="Z106" s="17"/>
      <c r="AA106" s="17"/>
      <c r="AB106" s="16" t="s">
        <v>3219</v>
      </c>
      <c r="AC106" s="16" t="e">
        <v>#N/A</v>
      </c>
      <c r="AD106" s="16" t="s">
        <v>3220</v>
      </c>
      <c r="AE106" s="16" t="s">
        <v>3183</v>
      </c>
      <c r="AF106" s="17"/>
      <c r="AG106" s="117">
        <v>4.500000396E9</v>
      </c>
      <c r="AH106" s="16" t="s">
        <v>3221</v>
      </c>
      <c r="AI106" s="11"/>
    </row>
    <row r="107">
      <c r="A107" s="105" t="str">
        <f t="shared" si="6"/>
        <v>#REF!</v>
      </c>
      <c r="B107" s="106" t="s">
        <v>2243</v>
      </c>
      <c r="C107" s="106">
        <v>6.0020081E7</v>
      </c>
      <c r="D107" s="106" t="s">
        <v>2244</v>
      </c>
      <c r="E107" s="106" t="s">
        <v>3106</v>
      </c>
      <c r="F107" s="106" t="s">
        <v>1960</v>
      </c>
      <c r="G107" s="106" t="s">
        <v>2242</v>
      </c>
      <c r="H107" s="107"/>
      <c r="I107" s="16" t="s">
        <v>12</v>
      </c>
      <c r="J107" s="17"/>
      <c r="K107" s="16" t="s">
        <v>13</v>
      </c>
      <c r="L107" s="16" t="s">
        <v>3218</v>
      </c>
      <c r="M107" s="108">
        <v>44817.0</v>
      </c>
      <c r="N107" s="109">
        <f t="shared" si="5"/>
        <v>3.497222222</v>
      </c>
      <c r="O107" s="111"/>
      <c r="P107" s="16" t="s">
        <v>3136</v>
      </c>
      <c r="Q107" s="17"/>
      <c r="R107" s="17"/>
      <c r="S107" s="17"/>
      <c r="T107" s="16" t="s">
        <v>2243</v>
      </c>
      <c r="U107" s="17"/>
      <c r="V107" s="17"/>
      <c r="W107" s="17"/>
      <c r="X107" s="17"/>
      <c r="Y107" s="17"/>
      <c r="Z107" s="17"/>
      <c r="AA107" s="17"/>
      <c r="AB107" s="17"/>
      <c r="AC107" s="16" t="e">
        <v>#N/A</v>
      </c>
      <c r="AD107" s="16" t="s">
        <v>3222</v>
      </c>
      <c r="AE107" s="16" t="s">
        <v>3183</v>
      </c>
      <c r="AF107" s="17"/>
      <c r="AG107" s="117">
        <v>4.500000396E9</v>
      </c>
      <c r="AH107" s="16" t="s">
        <v>3221</v>
      </c>
      <c r="AI107" s="11"/>
    </row>
    <row r="108">
      <c r="A108" s="105" t="str">
        <f t="shared" si="6"/>
        <v>#REF!</v>
      </c>
      <c r="B108" s="106" t="s">
        <v>2245</v>
      </c>
      <c r="C108" s="106">
        <v>6.0020082E7</v>
      </c>
      <c r="D108" s="106" t="s">
        <v>2246</v>
      </c>
      <c r="E108" s="106" t="s">
        <v>3106</v>
      </c>
      <c r="F108" s="106" t="s">
        <v>1960</v>
      </c>
      <c r="G108" s="106" t="s">
        <v>2242</v>
      </c>
      <c r="H108" s="107"/>
      <c r="I108" s="16" t="s">
        <v>12</v>
      </c>
      <c r="J108" s="17"/>
      <c r="K108" s="16" t="s">
        <v>13</v>
      </c>
      <c r="L108" s="16" t="s">
        <v>3218</v>
      </c>
      <c r="M108" s="108">
        <v>44817.0</v>
      </c>
      <c r="N108" s="109">
        <f t="shared" si="5"/>
        <v>3.497222222</v>
      </c>
      <c r="O108" s="111"/>
      <c r="P108" s="16" t="s">
        <v>3136</v>
      </c>
      <c r="Q108" s="17"/>
      <c r="R108" s="17"/>
      <c r="S108" s="17"/>
      <c r="T108" s="16" t="s">
        <v>2245</v>
      </c>
      <c r="U108" s="17"/>
      <c r="V108" s="17"/>
      <c r="W108" s="17"/>
      <c r="X108" s="17"/>
      <c r="Y108" s="17"/>
      <c r="Z108" s="17"/>
      <c r="AA108" s="17"/>
      <c r="AB108" s="17"/>
      <c r="AC108" s="16" t="e">
        <v>#N/A</v>
      </c>
      <c r="AD108" s="16" t="s">
        <v>3223</v>
      </c>
      <c r="AE108" s="16" t="s">
        <v>3183</v>
      </c>
      <c r="AF108" s="17"/>
      <c r="AG108" s="117">
        <v>4.500000396E9</v>
      </c>
      <c r="AH108" s="16" t="s">
        <v>3172</v>
      </c>
      <c r="AI108" s="11"/>
    </row>
    <row r="109">
      <c r="A109" s="105" t="str">
        <f t="shared" si="6"/>
        <v>#REF!</v>
      </c>
      <c r="B109" s="106" t="s">
        <v>2247</v>
      </c>
      <c r="C109" s="106">
        <v>6.0020083E7</v>
      </c>
      <c r="D109" s="106" t="s">
        <v>2248</v>
      </c>
      <c r="E109" s="106" t="s">
        <v>3106</v>
      </c>
      <c r="F109" s="106" t="s">
        <v>1960</v>
      </c>
      <c r="G109" s="106" t="s">
        <v>2242</v>
      </c>
      <c r="H109" s="107"/>
      <c r="I109" s="16" t="s">
        <v>12</v>
      </c>
      <c r="J109" s="17"/>
      <c r="K109" s="16" t="s">
        <v>13</v>
      </c>
      <c r="L109" s="16" t="s">
        <v>3218</v>
      </c>
      <c r="M109" s="108">
        <v>44817.0</v>
      </c>
      <c r="N109" s="109">
        <f t="shared" si="5"/>
        <v>3.497222222</v>
      </c>
      <c r="O109" s="16" t="s">
        <v>2557</v>
      </c>
      <c r="P109" s="16" t="s">
        <v>3136</v>
      </c>
      <c r="Q109" s="120">
        <v>45566.0</v>
      </c>
      <c r="R109" s="17"/>
      <c r="S109" s="17"/>
      <c r="T109" s="16" t="s">
        <v>2247</v>
      </c>
      <c r="U109" s="17"/>
      <c r="V109" s="17"/>
      <c r="W109" s="17"/>
      <c r="X109" s="17"/>
      <c r="Y109" s="17"/>
      <c r="Z109" s="17"/>
      <c r="AA109" s="17"/>
      <c r="AB109" s="17"/>
      <c r="AC109" s="16" t="e">
        <v>#N/A</v>
      </c>
      <c r="AD109" s="16" t="s">
        <v>3224</v>
      </c>
      <c r="AE109" s="16" t="s">
        <v>3183</v>
      </c>
      <c r="AF109" s="17"/>
      <c r="AG109" s="117">
        <v>4.500000396E9</v>
      </c>
      <c r="AH109" s="17"/>
      <c r="AI109" s="11"/>
    </row>
    <row r="110">
      <c r="A110" s="105" t="str">
        <f t="shared" si="6"/>
        <v>#REF!</v>
      </c>
      <c r="B110" s="106" t="s">
        <v>2249</v>
      </c>
      <c r="C110" s="106" t="s">
        <v>2250</v>
      </c>
      <c r="D110" s="106" t="s">
        <v>2251</v>
      </c>
      <c r="E110" s="106" t="s">
        <v>3106</v>
      </c>
      <c r="F110" s="106" t="s">
        <v>1960</v>
      </c>
      <c r="G110" s="106" t="s">
        <v>2252</v>
      </c>
      <c r="H110" s="107"/>
      <c r="I110" s="16" t="s">
        <v>12</v>
      </c>
      <c r="J110" s="17"/>
      <c r="K110" s="16" t="s">
        <v>36</v>
      </c>
      <c r="L110" s="16" t="s">
        <v>2650</v>
      </c>
      <c r="M110" s="108">
        <v>43811.0</v>
      </c>
      <c r="N110" s="109">
        <f t="shared" si="5"/>
        <v>6.25</v>
      </c>
      <c r="O110" s="17"/>
      <c r="P110" s="16" t="s">
        <v>3136</v>
      </c>
      <c r="Q110" s="17"/>
      <c r="R110" s="17"/>
      <c r="S110" s="17"/>
      <c r="T110" s="16" t="s">
        <v>2249</v>
      </c>
      <c r="U110" s="17"/>
      <c r="V110" s="17"/>
      <c r="W110" s="17"/>
      <c r="X110" s="17"/>
      <c r="Y110" s="17"/>
      <c r="Z110" s="17"/>
      <c r="AA110" s="17"/>
      <c r="AB110" s="17"/>
      <c r="AC110" s="16" t="e">
        <v>#N/A</v>
      </c>
      <c r="AD110" s="16" t="s">
        <v>2934</v>
      </c>
      <c r="AE110" s="16" t="s">
        <v>3106</v>
      </c>
      <c r="AF110" s="17"/>
      <c r="AG110" s="16">
        <v>5.0003343E7</v>
      </c>
      <c r="AH110" s="17"/>
      <c r="AI110" s="11"/>
    </row>
    <row r="111">
      <c r="A111" s="105" t="str">
        <f t="shared" si="6"/>
        <v>#REF!</v>
      </c>
      <c r="B111" s="106" t="s">
        <v>2253</v>
      </c>
      <c r="C111" s="106">
        <v>6.0019856E7</v>
      </c>
      <c r="D111" s="106" t="s">
        <v>2254</v>
      </c>
      <c r="E111" s="106" t="s">
        <v>3106</v>
      </c>
      <c r="F111" s="106" t="s">
        <v>1960</v>
      </c>
      <c r="G111" s="106" t="s">
        <v>2233</v>
      </c>
      <c r="H111" s="107"/>
      <c r="I111" s="16" t="s">
        <v>12</v>
      </c>
      <c r="J111" s="17"/>
      <c r="K111" s="16" t="s">
        <v>36</v>
      </c>
      <c r="L111" s="16" t="s">
        <v>3213</v>
      </c>
      <c r="M111" s="108">
        <v>44848.0</v>
      </c>
      <c r="N111" s="109">
        <f t="shared" si="5"/>
        <v>3.411111111</v>
      </c>
      <c r="O111" s="111"/>
      <c r="P111" s="16" t="s">
        <v>3136</v>
      </c>
      <c r="Q111" s="17"/>
      <c r="R111" s="17"/>
      <c r="S111" s="17"/>
      <c r="T111" s="16" t="s">
        <v>2253</v>
      </c>
      <c r="U111" s="17"/>
      <c r="V111" s="17"/>
      <c r="W111" s="17"/>
      <c r="X111" s="17"/>
      <c r="Y111" s="17"/>
      <c r="Z111" s="17"/>
      <c r="AA111" s="17"/>
      <c r="AB111" s="17"/>
      <c r="AC111" s="16" t="e">
        <v>#N/A</v>
      </c>
      <c r="AD111" s="16" t="s">
        <v>3225</v>
      </c>
      <c r="AE111" s="16" t="s">
        <v>3226</v>
      </c>
      <c r="AF111" s="17"/>
      <c r="AG111" s="16">
        <v>4.500000469E9</v>
      </c>
      <c r="AH111" s="17"/>
      <c r="AI111" s="11"/>
    </row>
    <row r="112">
      <c r="A112" s="105" t="str">
        <f t="shared" si="6"/>
        <v>#REF!</v>
      </c>
      <c r="B112" s="106" t="s">
        <v>2255</v>
      </c>
      <c r="C112" s="106" t="s">
        <v>2256</v>
      </c>
      <c r="D112" s="106" t="s">
        <v>2257</v>
      </c>
      <c r="E112" s="106" t="s">
        <v>3106</v>
      </c>
      <c r="F112" s="106" t="s">
        <v>1960</v>
      </c>
      <c r="G112" s="106" t="s">
        <v>2220</v>
      </c>
      <c r="H112" s="107"/>
      <c r="I112" s="16" t="s">
        <v>12</v>
      </c>
      <c r="J112" s="17"/>
      <c r="K112" s="16" t="s">
        <v>36</v>
      </c>
      <c r="L112" s="16" t="s">
        <v>2220</v>
      </c>
      <c r="M112" s="108">
        <v>44188.0</v>
      </c>
      <c r="N112" s="109">
        <f t="shared" si="5"/>
        <v>5.219444444</v>
      </c>
      <c r="O112" s="111"/>
      <c r="P112" s="16" t="s">
        <v>3136</v>
      </c>
      <c r="Q112" s="17"/>
      <c r="R112" s="17"/>
      <c r="S112" s="17"/>
      <c r="T112" s="16" t="s">
        <v>2255</v>
      </c>
      <c r="U112" s="17"/>
      <c r="V112" s="17"/>
      <c r="W112" s="17"/>
      <c r="X112" s="17"/>
      <c r="Y112" s="17"/>
      <c r="Z112" s="17"/>
      <c r="AA112" s="17"/>
      <c r="AB112" s="17"/>
      <c r="AC112" s="16" t="e">
        <v>#N/A</v>
      </c>
      <c r="AD112" s="16" t="s">
        <v>3227</v>
      </c>
      <c r="AE112" s="16" t="s">
        <v>3217</v>
      </c>
      <c r="AF112" s="17"/>
      <c r="AG112" s="16">
        <v>5.0036153E7</v>
      </c>
      <c r="AH112" s="17"/>
      <c r="AI112" s="11"/>
    </row>
    <row r="113">
      <c r="A113" s="105" t="str">
        <f t="shared" si="6"/>
        <v>#REF!</v>
      </c>
      <c r="B113" s="106" t="s">
        <v>2258</v>
      </c>
      <c r="C113" s="106" t="s">
        <v>2259</v>
      </c>
      <c r="D113" s="106" t="s">
        <v>2260</v>
      </c>
      <c r="E113" s="106" t="s">
        <v>3106</v>
      </c>
      <c r="F113" s="106" t="s">
        <v>1960</v>
      </c>
      <c r="G113" s="106" t="s">
        <v>2261</v>
      </c>
      <c r="H113" s="107"/>
      <c r="I113" s="16" t="s">
        <v>12</v>
      </c>
      <c r="J113" s="17"/>
      <c r="K113" s="16" t="s">
        <v>79</v>
      </c>
      <c r="L113" s="16" t="s">
        <v>3228</v>
      </c>
      <c r="M113" s="108">
        <v>42366.0</v>
      </c>
      <c r="N113" s="109">
        <f t="shared" si="5"/>
        <v>10.20555556</v>
      </c>
      <c r="O113" s="16" t="s">
        <v>2557</v>
      </c>
      <c r="P113" s="16" t="s">
        <v>3136</v>
      </c>
      <c r="Q113" s="115">
        <v>45125.0</v>
      </c>
      <c r="R113" s="17"/>
      <c r="S113" s="17"/>
      <c r="T113" s="16" t="s">
        <v>2259</v>
      </c>
      <c r="U113" s="17"/>
      <c r="V113" s="17"/>
      <c r="W113" s="17"/>
      <c r="X113" s="17"/>
      <c r="Y113" s="17"/>
      <c r="Z113" s="17"/>
      <c r="AA113" s="17"/>
      <c r="AB113" s="17"/>
      <c r="AC113" s="16" t="s">
        <v>3229</v>
      </c>
      <c r="AD113" s="16" t="s">
        <v>3230</v>
      </c>
      <c r="AE113" s="16" t="s">
        <v>3180</v>
      </c>
      <c r="AF113" s="17"/>
      <c r="AG113" s="16">
        <v>5.0001233E7</v>
      </c>
      <c r="AH113" s="17"/>
      <c r="AI113" s="11"/>
    </row>
    <row r="114">
      <c r="A114" s="105" t="str">
        <f t="shared" si="6"/>
        <v>#REF!</v>
      </c>
      <c r="B114" s="106" t="s">
        <v>2262</v>
      </c>
      <c r="C114" s="106" t="s">
        <v>2263</v>
      </c>
      <c r="D114" s="106" t="s">
        <v>2264</v>
      </c>
      <c r="E114" s="106" t="s">
        <v>3106</v>
      </c>
      <c r="F114" s="106" t="s">
        <v>1960</v>
      </c>
      <c r="G114" s="106" t="s">
        <v>2159</v>
      </c>
      <c r="H114" s="107"/>
      <c r="I114" s="16" t="s">
        <v>12</v>
      </c>
      <c r="J114" s="17"/>
      <c r="K114" s="16" t="s">
        <v>36</v>
      </c>
      <c r="L114" s="16" t="s">
        <v>3166</v>
      </c>
      <c r="M114" s="108">
        <v>44500.0</v>
      </c>
      <c r="N114" s="109">
        <f t="shared" si="5"/>
        <v>4.366666667</v>
      </c>
      <c r="O114" s="17"/>
      <c r="P114" s="16" t="s">
        <v>3136</v>
      </c>
      <c r="Q114" s="111"/>
      <c r="R114" s="17"/>
      <c r="S114" s="17"/>
      <c r="T114" s="16" t="s">
        <v>2262</v>
      </c>
      <c r="U114" s="17"/>
      <c r="V114" s="17"/>
      <c r="W114" s="17"/>
      <c r="X114" s="17"/>
      <c r="Y114" s="17"/>
      <c r="Z114" s="17"/>
      <c r="AA114" s="17"/>
      <c r="AB114" s="17"/>
      <c r="AC114" s="16" t="s">
        <v>3231</v>
      </c>
      <c r="AD114" s="16" t="s">
        <v>3182</v>
      </c>
      <c r="AE114" s="16" t="s">
        <v>3183</v>
      </c>
      <c r="AF114" s="17"/>
      <c r="AG114" s="16" t="e">
        <v>#N/A</v>
      </c>
      <c r="AH114" s="17"/>
      <c r="AI114" s="11"/>
    </row>
    <row r="115">
      <c r="A115" s="105" t="str">
        <f t="shared" si="6"/>
        <v>#REF!</v>
      </c>
      <c r="B115" s="106" t="s">
        <v>2265</v>
      </c>
      <c r="C115" s="106" t="s">
        <v>2266</v>
      </c>
      <c r="D115" s="106" t="s">
        <v>2267</v>
      </c>
      <c r="E115" s="106" t="s">
        <v>3106</v>
      </c>
      <c r="F115" s="106" t="s">
        <v>1960</v>
      </c>
      <c r="G115" s="106" t="s">
        <v>2131</v>
      </c>
      <c r="H115" s="107"/>
      <c r="I115" s="16" t="s">
        <v>12</v>
      </c>
      <c r="J115" s="17"/>
      <c r="K115" s="16" t="s">
        <v>13</v>
      </c>
      <c r="L115" s="16" t="s">
        <v>2131</v>
      </c>
      <c r="M115" s="108">
        <v>44376.0</v>
      </c>
      <c r="N115" s="109">
        <f t="shared" si="5"/>
        <v>4.702777778</v>
      </c>
      <c r="O115" s="111"/>
      <c r="P115" s="16" t="s">
        <v>3136</v>
      </c>
      <c r="Q115" s="17"/>
      <c r="R115" s="17"/>
      <c r="S115" s="17"/>
      <c r="T115" s="16" t="s">
        <v>2265</v>
      </c>
      <c r="U115" s="17"/>
      <c r="V115" s="17"/>
      <c r="W115" s="17"/>
      <c r="X115" s="17"/>
      <c r="Y115" s="17"/>
      <c r="Z115" s="17"/>
      <c r="AA115" s="17"/>
      <c r="AB115" s="17"/>
      <c r="AC115" s="16" t="e">
        <v>#N/A</v>
      </c>
      <c r="AD115" s="16" t="s">
        <v>3232</v>
      </c>
      <c r="AE115" s="16" t="s">
        <v>3150</v>
      </c>
      <c r="AF115" s="17"/>
      <c r="AG115" s="16">
        <v>5.0004153E7</v>
      </c>
      <c r="AH115" s="16" t="s">
        <v>3172</v>
      </c>
      <c r="AI115" s="11"/>
    </row>
    <row r="116">
      <c r="A116" s="105" t="str">
        <f t="shared" si="6"/>
        <v>#REF!</v>
      </c>
      <c r="B116" s="106" t="s">
        <v>2268</v>
      </c>
      <c r="C116" s="106">
        <v>6.0019815E7</v>
      </c>
      <c r="D116" s="106" t="s">
        <v>2269</v>
      </c>
      <c r="E116" s="106" t="s">
        <v>3106</v>
      </c>
      <c r="F116" s="106" t="s">
        <v>1960</v>
      </c>
      <c r="G116" s="106" t="s">
        <v>2233</v>
      </c>
      <c r="H116" s="107"/>
      <c r="I116" s="16" t="s">
        <v>12</v>
      </c>
      <c r="J116" s="17"/>
      <c r="K116" s="16" t="s">
        <v>36</v>
      </c>
      <c r="L116" s="16" t="s">
        <v>3213</v>
      </c>
      <c r="M116" s="108">
        <v>44848.0</v>
      </c>
      <c r="N116" s="109">
        <f t="shared" si="5"/>
        <v>3.411111111</v>
      </c>
      <c r="O116" s="111"/>
      <c r="P116" s="16" t="s">
        <v>3136</v>
      </c>
      <c r="Q116" s="17"/>
      <c r="R116" s="17"/>
      <c r="S116" s="17"/>
      <c r="T116" s="16" t="s">
        <v>2268</v>
      </c>
      <c r="U116" s="17"/>
      <c r="V116" s="17"/>
      <c r="W116" s="17"/>
      <c r="X116" s="17"/>
      <c r="Y116" s="17"/>
      <c r="Z116" s="17"/>
      <c r="AA116" s="17"/>
      <c r="AB116" s="17"/>
      <c r="AC116" s="16" t="e">
        <v>#N/A</v>
      </c>
      <c r="AD116" s="16" t="s">
        <v>3233</v>
      </c>
      <c r="AE116" s="16" t="s">
        <v>3211</v>
      </c>
      <c r="AF116" s="17"/>
      <c r="AG116" s="16">
        <v>4.500000469E9</v>
      </c>
      <c r="AH116" s="17"/>
      <c r="AI116" s="11"/>
    </row>
    <row r="117">
      <c r="A117" s="105" t="str">
        <f t="shared" si="6"/>
        <v>#REF!</v>
      </c>
      <c r="B117" s="106" t="s">
        <v>2270</v>
      </c>
      <c r="C117" s="106">
        <v>6.0019829E7</v>
      </c>
      <c r="D117" s="106" t="s">
        <v>2271</v>
      </c>
      <c r="E117" s="106" t="s">
        <v>3106</v>
      </c>
      <c r="F117" s="106" t="s">
        <v>1960</v>
      </c>
      <c r="G117" s="106" t="s">
        <v>2233</v>
      </c>
      <c r="H117" s="107"/>
      <c r="I117" s="16" t="s">
        <v>12</v>
      </c>
      <c r="J117" s="17"/>
      <c r="K117" s="16" t="s">
        <v>36</v>
      </c>
      <c r="L117" s="16" t="s">
        <v>3213</v>
      </c>
      <c r="M117" s="108">
        <v>44848.0</v>
      </c>
      <c r="N117" s="109">
        <f t="shared" si="5"/>
        <v>3.411111111</v>
      </c>
      <c r="O117" s="111"/>
      <c r="P117" s="16" t="s">
        <v>3136</v>
      </c>
      <c r="Q117" s="17"/>
      <c r="R117" s="17"/>
      <c r="S117" s="17"/>
      <c r="T117" s="16" t="s">
        <v>2270</v>
      </c>
      <c r="U117" s="17"/>
      <c r="V117" s="17"/>
      <c r="W117" s="17"/>
      <c r="X117" s="17"/>
      <c r="Y117" s="17"/>
      <c r="Z117" s="17"/>
      <c r="AA117" s="17"/>
      <c r="AB117" s="17"/>
      <c r="AC117" s="16" t="e">
        <v>#N/A</v>
      </c>
      <c r="AD117" s="16" t="s">
        <v>3234</v>
      </c>
      <c r="AE117" s="16" t="s">
        <v>3211</v>
      </c>
      <c r="AF117" s="17"/>
      <c r="AG117" s="16">
        <v>4.500000469E9</v>
      </c>
      <c r="AH117" s="17"/>
      <c r="AI117" s="11"/>
    </row>
    <row r="118">
      <c r="A118" s="105" t="str">
        <f t="shared" si="6"/>
        <v>#REF!</v>
      </c>
      <c r="B118" s="106" t="s">
        <v>2272</v>
      </c>
      <c r="C118" s="106" t="s">
        <v>2273</v>
      </c>
      <c r="D118" s="106" t="s">
        <v>2274</v>
      </c>
      <c r="E118" s="106" t="s">
        <v>3106</v>
      </c>
      <c r="F118" s="106" t="s">
        <v>1960</v>
      </c>
      <c r="G118" s="106" t="s">
        <v>2131</v>
      </c>
      <c r="H118" s="107"/>
      <c r="I118" s="16" t="s">
        <v>12</v>
      </c>
      <c r="J118" s="17"/>
      <c r="K118" s="16" t="s">
        <v>13</v>
      </c>
      <c r="L118" s="16" t="s">
        <v>2131</v>
      </c>
      <c r="M118" s="108">
        <v>44376.0</v>
      </c>
      <c r="N118" s="109">
        <f t="shared" si="5"/>
        <v>4.702777778</v>
      </c>
      <c r="O118" s="17"/>
      <c r="P118" s="16" t="s">
        <v>3136</v>
      </c>
      <c r="Q118" s="17"/>
      <c r="R118" s="17"/>
      <c r="S118" s="17"/>
      <c r="T118" s="16" t="s">
        <v>2272</v>
      </c>
      <c r="U118" s="17"/>
      <c r="V118" s="17"/>
      <c r="W118" s="17"/>
      <c r="X118" s="17"/>
      <c r="Y118" s="17"/>
      <c r="Z118" s="17"/>
      <c r="AA118" s="17"/>
      <c r="AB118" s="17"/>
      <c r="AC118" s="16" t="e">
        <v>#N/A</v>
      </c>
      <c r="AD118" s="16" t="s">
        <v>3235</v>
      </c>
      <c r="AE118" s="16" t="s">
        <v>3236</v>
      </c>
      <c r="AF118" s="17"/>
      <c r="AG118" s="16">
        <v>5.0004153E7</v>
      </c>
      <c r="AH118" s="17"/>
      <c r="AI118" s="11"/>
    </row>
    <row r="119">
      <c r="A119" s="105" t="str">
        <f t="shared" si="6"/>
        <v>#REF!</v>
      </c>
      <c r="B119" s="106" t="s">
        <v>2275</v>
      </c>
      <c r="C119" s="106">
        <v>6.0019825E7</v>
      </c>
      <c r="D119" s="106" t="s">
        <v>2276</v>
      </c>
      <c r="E119" s="106" t="s">
        <v>3106</v>
      </c>
      <c r="F119" s="106" t="s">
        <v>1960</v>
      </c>
      <c r="G119" s="106" t="s">
        <v>2233</v>
      </c>
      <c r="H119" s="107"/>
      <c r="I119" s="16" t="s">
        <v>12</v>
      </c>
      <c r="J119" s="17"/>
      <c r="K119" s="16" t="s">
        <v>36</v>
      </c>
      <c r="L119" s="16" t="s">
        <v>3213</v>
      </c>
      <c r="M119" s="108">
        <v>44848.0</v>
      </c>
      <c r="N119" s="109">
        <f t="shared" si="5"/>
        <v>3.411111111</v>
      </c>
      <c r="O119" s="111"/>
      <c r="P119" s="16" t="s">
        <v>3136</v>
      </c>
      <c r="Q119" s="17"/>
      <c r="R119" s="17"/>
      <c r="S119" s="17"/>
      <c r="T119" s="16" t="s">
        <v>2275</v>
      </c>
      <c r="U119" s="17"/>
      <c r="V119" s="17"/>
      <c r="W119" s="17"/>
      <c r="X119" s="17"/>
      <c r="Y119" s="17"/>
      <c r="Z119" s="17"/>
      <c r="AA119" s="17"/>
      <c r="AB119" s="17"/>
      <c r="AC119" s="16" t="e">
        <v>#N/A</v>
      </c>
      <c r="AD119" s="16" t="s">
        <v>3237</v>
      </c>
      <c r="AE119" s="16" t="s">
        <v>3141</v>
      </c>
      <c r="AF119" s="17"/>
      <c r="AG119" s="16">
        <v>4.500000469E9</v>
      </c>
      <c r="AH119" s="17"/>
      <c r="AI119" s="11"/>
    </row>
    <row r="120">
      <c r="A120" s="105" t="str">
        <f t="shared" si="6"/>
        <v>#REF!</v>
      </c>
      <c r="B120" s="106" t="s">
        <v>2277</v>
      </c>
      <c r="C120" s="106">
        <v>6.001987E7</v>
      </c>
      <c r="D120" s="106" t="s">
        <v>2278</v>
      </c>
      <c r="E120" s="106" t="s">
        <v>3106</v>
      </c>
      <c r="F120" s="106" t="s">
        <v>1960</v>
      </c>
      <c r="G120" s="106" t="s">
        <v>2233</v>
      </c>
      <c r="H120" s="107"/>
      <c r="I120" s="16" t="s">
        <v>12</v>
      </c>
      <c r="J120" s="17"/>
      <c r="K120" s="16" t="s">
        <v>36</v>
      </c>
      <c r="L120" s="16" t="s">
        <v>3213</v>
      </c>
      <c r="M120" s="108">
        <v>44848.0</v>
      </c>
      <c r="N120" s="109">
        <f t="shared" si="5"/>
        <v>3.411111111</v>
      </c>
      <c r="O120" s="111"/>
      <c r="P120" s="16" t="s">
        <v>3136</v>
      </c>
      <c r="Q120" s="17"/>
      <c r="R120" s="17"/>
      <c r="S120" s="17"/>
      <c r="T120" s="16" t="s">
        <v>2277</v>
      </c>
      <c r="U120" s="17"/>
      <c r="V120" s="17"/>
      <c r="W120" s="17"/>
      <c r="X120" s="17"/>
      <c r="Y120" s="17"/>
      <c r="Z120" s="17"/>
      <c r="AA120" s="17"/>
      <c r="AB120" s="17"/>
      <c r="AC120" s="16" t="e">
        <v>#N/A</v>
      </c>
      <c r="AD120" s="16" t="s">
        <v>3238</v>
      </c>
      <c r="AE120" s="16" t="s">
        <v>3138</v>
      </c>
      <c r="AF120" s="17"/>
      <c r="AG120" s="16">
        <v>4.500000469E9</v>
      </c>
      <c r="AH120" s="17"/>
      <c r="AI120" s="11"/>
    </row>
    <row r="121">
      <c r="A121" s="105" t="str">
        <f t="shared" si="6"/>
        <v>#REF!</v>
      </c>
      <c r="B121" s="106" t="s">
        <v>2279</v>
      </c>
      <c r="C121" s="106" t="s">
        <v>2279</v>
      </c>
      <c r="D121" s="106" t="s">
        <v>2280</v>
      </c>
      <c r="E121" s="106" t="s">
        <v>3106</v>
      </c>
      <c r="F121" s="106" t="s">
        <v>1960</v>
      </c>
      <c r="G121" s="106" t="s">
        <v>2281</v>
      </c>
      <c r="H121" s="107"/>
      <c r="I121" s="16" t="s">
        <v>12</v>
      </c>
      <c r="J121" s="17"/>
      <c r="K121" s="16" t="s">
        <v>13</v>
      </c>
      <c r="L121" s="16" t="s">
        <v>3239</v>
      </c>
      <c r="M121" s="108">
        <v>43924.0</v>
      </c>
      <c r="N121" s="109">
        <f t="shared" si="5"/>
        <v>5.941666667</v>
      </c>
      <c r="O121" s="111"/>
      <c r="P121" s="16" t="s">
        <v>3136</v>
      </c>
      <c r="Q121" s="17"/>
      <c r="R121" s="17"/>
      <c r="S121" s="17"/>
      <c r="T121" s="16" t="s">
        <v>2279</v>
      </c>
      <c r="U121" s="17"/>
      <c r="V121" s="17"/>
      <c r="W121" s="17"/>
      <c r="X121" s="17"/>
      <c r="Y121" s="17"/>
      <c r="Z121" s="17"/>
      <c r="AA121" s="17"/>
      <c r="AB121" s="17"/>
      <c r="AC121" s="16" t="e">
        <v>#N/A</v>
      </c>
      <c r="AD121" s="16" t="s">
        <v>3240</v>
      </c>
      <c r="AE121" s="16" t="s">
        <v>3186</v>
      </c>
      <c r="AF121" s="17"/>
      <c r="AG121" s="16" t="e">
        <v>#N/A</v>
      </c>
      <c r="AH121" s="17"/>
      <c r="AI121" s="11"/>
    </row>
    <row r="122">
      <c r="A122" s="105" t="str">
        <f t="shared" si="6"/>
        <v>#REF!</v>
      </c>
      <c r="B122" s="106" t="s">
        <v>2282</v>
      </c>
      <c r="C122" s="106">
        <v>6.0019824E7</v>
      </c>
      <c r="D122" s="106" t="s">
        <v>2283</v>
      </c>
      <c r="E122" s="106" t="s">
        <v>3106</v>
      </c>
      <c r="F122" s="106" t="s">
        <v>1960</v>
      </c>
      <c r="G122" s="106" t="s">
        <v>2227</v>
      </c>
      <c r="H122" s="107"/>
      <c r="I122" s="16" t="s">
        <v>12</v>
      </c>
      <c r="J122" s="17"/>
      <c r="K122" s="16" t="s">
        <v>36</v>
      </c>
      <c r="L122" s="16" t="s">
        <v>2818</v>
      </c>
      <c r="M122" s="108">
        <v>44848.0</v>
      </c>
      <c r="N122" s="109">
        <f t="shared" si="5"/>
        <v>3.411111111</v>
      </c>
      <c r="O122" s="16" t="s">
        <v>2557</v>
      </c>
      <c r="P122" s="16" t="s">
        <v>3136</v>
      </c>
      <c r="Q122" s="118">
        <v>45994.0</v>
      </c>
      <c r="R122" s="17"/>
      <c r="S122" s="17"/>
      <c r="T122" s="16" t="s">
        <v>2282</v>
      </c>
      <c r="U122" s="17"/>
      <c r="V122" s="17"/>
      <c r="W122" s="17"/>
      <c r="X122" s="17"/>
      <c r="Y122" s="17"/>
      <c r="Z122" s="17"/>
      <c r="AA122" s="17"/>
      <c r="AB122" s="17"/>
      <c r="AC122" s="16" t="s">
        <v>3241</v>
      </c>
      <c r="AD122" s="16" t="s">
        <v>3242</v>
      </c>
      <c r="AE122" s="16" t="s">
        <v>3243</v>
      </c>
      <c r="AF122" s="17"/>
      <c r="AG122" s="16">
        <v>4.500000469E9</v>
      </c>
      <c r="AH122" s="17"/>
      <c r="AI122" s="11"/>
    </row>
    <row r="123">
      <c r="A123" s="105" t="str">
        <f t="shared" si="6"/>
        <v>#REF!</v>
      </c>
      <c r="B123" s="106" t="s">
        <v>2284</v>
      </c>
      <c r="C123" s="106" t="s">
        <v>2285</v>
      </c>
      <c r="D123" s="106" t="s">
        <v>2286</v>
      </c>
      <c r="E123" s="106" t="s">
        <v>3106</v>
      </c>
      <c r="F123" s="106" t="s">
        <v>1960</v>
      </c>
      <c r="G123" s="106" t="s">
        <v>2131</v>
      </c>
      <c r="H123" s="107"/>
      <c r="I123" s="16" t="s">
        <v>12</v>
      </c>
      <c r="J123" s="17"/>
      <c r="K123" s="16" t="s">
        <v>13</v>
      </c>
      <c r="L123" s="16" t="s">
        <v>2131</v>
      </c>
      <c r="M123" s="108">
        <v>44376.0</v>
      </c>
      <c r="N123" s="109">
        <f t="shared" si="5"/>
        <v>4.702777778</v>
      </c>
      <c r="O123" s="111"/>
      <c r="P123" s="16" t="s">
        <v>3136</v>
      </c>
      <c r="Q123" s="17"/>
      <c r="R123" s="17"/>
      <c r="S123" s="17"/>
      <c r="T123" s="16" t="s">
        <v>2284</v>
      </c>
      <c r="U123" s="17"/>
      <c r="V123" s="17"/>
      <c r="W123" s="17"/>
      <c r="X123" s="17"/>
      <c r="Y123" s="17"/>
      <c r="Z123" s="17"/>
      <c r="AA123" s="17"/>
      <c r="AB123" s="17"/>
      <c r="AC123" s="16" t="e">
        <v>#N/A</v>
      </c>
      <c r="AD123" s="16" t="s">
        <v>3244</v>
      </c>
      <c r="AE123" s="16" t="s">
        <v>3150</v>
      </c>
      <c r="AF123" s="17"/>
      <c r="AG123" s="16">
        <v>5.0004153E7</v>
      </c>
      <c r="AH123" s="17"/>
      <c r="AI123" s="11"/>
    </row>
    <row r="124">
      <c r="A124" s="105" t="str">
        <f t="shared" si="6"/>
        <v>#REF!</v>
      </c>
      <c r="B124" s="106" t="s">
        <v>2287</v>
      </c>
      <c r="C124" s="106" t="s">
        <v>2288</v>
      </c>
      <c r="D124" s="106" t="s">
        <v>2289</v>
      </c>
      <c r="E124" s="106" t="s">
        <v>3106</v>
      </c>
      <c r="F124" s="106" t="s">
        <v>1960</v>
      </c>
      <c r="G124" s="106" t="s">
        <v>2220</v>
      </c>
      <c r="H124" s="107"/>
      <c r="I124" s="16" t="s">
        <v>12</v>
      </c>
      <c r="J124" s="17"/>
      <c r="K124" s="16" t="s">
        <v>36</v>
      </c>
      <c r="L124" s="16" t="s">
        <v>2220</v>
      </c>
      <c r="M124" s="108">
        <v>44188.0</v>
      </c>
      <c r="N124" s="109">
        <f t="shared" si="5"/>
        <v>5.219444444</v>
      </c>
      <c r="O124" s="111"/>
      <c r="P124" s="16" t="s">
        <v>3136</v>
      </c>
      <c r="Q124" s="17"/>
      <c r="R124" s="17"/>
      <c r="S124" s="17"/>
      <c r="T124" s="16" t="s">
        <v>2287</v>
      </c>
      <c r="U124" s="17"/>
      <c r="V124" s="17"/>
      <c r="W124" s="17"/>
      <c r="X124" s="17"/>
      <c r="Y124" s="17"/>
      <c r="Z124" s="17"/>
      <c r="AA124" s="17"/>
      <c r="AB124" s="17"/>
      <c r="AC124" s="16" t="e">
        <v>#N/A</v>
      </c>
      <c r="AD124" s="16" t="s">
        <v>3245</v>
      </c>
      <c r="AE124" s="16" t="s">
        <v>3217</v>
      </c>
      <c r="AF124" s="17"/>
      <c r="AG124" s="16">
        <v>5.0036153E7</v>
      </c>
      <c r="AH124" s="17"/>
      <c r="AI124" s="11"/>
    </row>
    <row r="125">
      <c r="A125" s="105" t="str">
        <f t="shared" si="6"/>
        <v>#REF!</v>
      </c>
      <c r="B125" s="106" t="s">
        <v>2290</v>
      </c>
      <c r="C125" s="106">
        <v>6.0019827E7</v>
      </c>
      <c r="D125" s="106" t="s">
        <v>2291</v>
      </c>
      <c r="E125" s="106" t="s">
        <v>3106</v>
      </c>
      <c r="F125" s="106" t="s">
        <v>1960</v>
      </c>
      <c r="G125" s="106" t="s">
        <v>2233</v>
      </c>
      <c r="H125" s="107"/>
      <c r="I125" s="16" t="s">
        <v>12</v>
      </c>
      <c r="J125" s="17"/>
      <c r="K125" s="16" t="s">
        <v>36</v>
      </c>
      <c r="L125" s="16" t="s">
        <v>3213</v>
      </c>
      <c r="M125" s="108">
        <v>44848.0</v>
      </c>
      <c r="N125" s="109">
        <f t="shared" si="5"/>
        <v>3.411111111</v>
      </c>
      <c r="O125" s="111"/>
      <c r="P125" s="16" t="s">
        <v>3136</v>
      </c>
      <c r="Q125" s="17"/>
      <c r="R125" s="17"/>
      <c r="S125" s="17"/>
      <c r="T125" s="16" t="s">
        <v>2290</v>
      </c>
      <c r="U125" s="17"/>
      <c r="V125" s="17"/>
      <c r="W125" s="17"/>
      <c r="X125" s="17"/>
      <c r="Y125" s="17"/>
      <c r="Z125" s="17"/>
      <c r="AA125" s="17"/>
      <c r="AB125" s="17"/>
      <c r="AC125" s="16" t="e">
        <v>#N/A</v>
      </c>
      <c r="AD125" s="16" t="s">
        <v>3246</v>
      </c>
      <c r="AE125" s="16" t="s">
        <v>3247</v>
      </c>
      <c r="AF125" s="17"/>
      <c r="AG125" s="16">
        <v>4.500000469E9</v>
      </c>
      <c r="AH125" s="17"/>
      <c r="AI125" s="11"/>
    </row>
    <row r="126">
      <c r="A126" s="105" t="str">
        <f t="shared" si="6"/>
        <v>#REF!</v>
      </c>
      <c r="B126" s="106" t="s">
        <v>2292</v>
      </c>
      <c r="C126" s="106">
        <v>6.0019843E7</v>
      </c>
      <c r="D126" s="106" t="s">
        <v>2293</v>
      </c>
      <c r="E126" s="106" t="s">
        <v>3106</v>
      </c>
      <c r="F126" s="106" t="s">
        <v>1960</v>
      </c>
      <c r="G126" s="106" t="s">
        <v>2233</v>
      </c>
      <c r="H126" s="107"/>
      <c r="I126" s="16" t="s">
        <v>12</v>
      </c>
      <c r="J126" s="17"/>
      <c r="K126" s="16" t="s">
        <v>36</v>
      </c>
      <c r="L126" s="16" t="s">
        <v>3213</v>
      </c>
      <c r="M126" s="108">
        <v>44848.0</v>
      </c>
      <c r="N126" s="109">
        <f t="shared" si="5"/>
        <v>3.411111111</v>
      </c>
      <c r="O126" s="111"/>
      <c r="P126" s="16" t="s">
        <v>3136</v>
      </c>
      <c r="Q126" s="17"/>
      <c r="R126" s="17"/>
      <c r="S126" s="17"/>
      <c r="T126" s="16" t="s">
        <v>2292</v>
      </c>
      <c r="U126" s="17"/>
      <c r="V126" s="17"/>
      <c r="W126" s="17"/>
      <c r="X126" s="17"/>
      <c r="Y126" s="17"/>
      <c r="Z126" s="17"/>
      <c r="AA126" s="17"/>
      <c r="AB126" s="17"/>
      <c r="AC126" s="16" t="s">
        <v>3248</v>
      </c>
      <c r="AD126" s="16" t="s">
        <v>3249</v>
      </c>
      <c r="AE126" s="16" t="s">
        <v>3250</v>
      </c>
      <c r="AF126" s="17"/>
      <c r="AG126" s="16">
        <v>4.500000469E9</v>
      </c>
      <c r="AH126" s="17"/>
      <c r="AI126" s="11"/>
    </row>
    <row r="127">
      <c r="A127" s="105" t="str">
        <f t="shared" si="6"/>
        <v>#REF!</v>
      </c>
      <c r="B127" s="106" t="s">
        <v>2294</v>
      </c>
      <c r="C127" s="106">
        <v>6.0019842E7</v>
      </c>
      <c r="D127" s="106" t="s">
        <v>2295</v>
      </c>
      <c r="E127" s="106" t="s">
        <v>3106</v>
      </c>
      <c r="F127" s="106" t="s">
        <v>1960</v>
      </c>
      <c r="G127" s="106" t="s">
        <v>2233</v>
      </c>
      <c r="H127" s="107"/>
      <c r="I127" s="16" t="s">
        <v>12</v>
      </c>
      <c r="J127" s="17"/>
      <c r="K127" s="16" t="s">
        <v>36</v>
      </c>
      <c r="L127" s="16" t="s">
        <v>3213</v>
      </c>
      <c r="M127" s="108">
        <v>44848.0</v>
      </c>
      <c r="N127" s="109">
        <f t="shared" si="5"/>
        <v>3.411111111</v>
      </c>
      <c r="O127" s="111"/>
      <c r="P127" s="16" t="s">
        <v>3136</v>
      </c>
      <c r="Q127" s="17"/>
      <c r="R127" s="17"/>
      <c r="S127" s="17"/>
      <c r="T127" s="16" t="s">
        <v>2294</v>
      </c>
      <c r="U127" s="17"/>
      <c r="V127" s="17"/>
      <c r="W127" s="17"/>
      <c r="X127" s="17"/>
      <c r="Y127" s="17"/>
      <c r="Z127" s="17"/>
      <c r="AA127" s="17"/>
      <c r="AB127" s="17"/>
      <c r="AC127" s="16" t="e">
        <v>#N/A</v>
      </c>
      <c r="AD127" s="16" t="s">
        <v>3251</v>
      </c>
      <c r="AE127" s="16" t="s">
        <v>3211</v>
      </c>
      <c r="AF127" s="17"/>
      <c r="AG127" s="16">
        <v>4.500000469E9</v>
      </c>
      <c r="AH127" s="17"/>
      <c r="AI127" s="11"/>
    </row>
    <row r="128">
      <c r="A128" s="105" t="str">
        <f t="shared" si="6"/>
        <v>#REF!</v>
      </c>
      <c r="B128" s="106" t="s">
        <v>2296</v>
      </c>
      <c r="C128" s="106">
        <v>6.0019869E7</v>
      </c>
      <c r="D128" s="106" t="s">
        <v>2297</v>
      </c>
      <c r="E128" s="106" t="s">
        <v>3106</v>
      </c>
      <c r="F128" s="106" t="s">
        <v>1960</v>
      </c>
      <c r="G128" s="106" t="s">
        <v>2233</v>
      </c>
      <c r="H128" s="107"/>
      <c r="I128" s="16" t="s">
        <v>12</v>
      </c>
      <c r="J128" s="17"/>
      <c r="K128" s="16" t="s">
        <v>36</v>
      </c>
      <c r="L128" s="16" t="s">
        <v>3213</v>
      </c>
      <c r="M128" s="108">
        <v>44848.0</v>
      </c>
      <c r="N128" s="109">
        <f t="shared" si="5"/>
        <v>3.411111111</v>
      </c>
      <c r="O128" s="111"/>
      <c r="P128" s="16" t="s">
        <v>3136</v>
      </c>
      <c r="Q128" s="17"/>
      <c r="R128" s="17"/>
      <c r="S128" s="17"/>
      <c r="T128" s="16" t="s">
        <v>2296</v>
      </c>
      <c r="U128" s="17"/>
      <c r="V128" s="17"/>
      <c r="W128" s="17"/>
      <c r="X128" s="17"/>
      <c r="Y128" s="17"/>
      <c r="Z128" s="17"/>
      <c r="AA128" s="17"/>
      <c r="AB128" s="17"/>
      <c r="AC128" s="16" t="e">
        <v>#N/A</v>
      </c>
      <c r="AD128" s="16" t="s">
        <v>3252</v>
      </c>
      <c r="AE128" s="16" t="s">
        <v>3138</v>
      </c>
      <c r="AF128" s="17"/>
      <c r="AG128" s="16">
        <v>4.500000469E9</v>
      </c>
      <c r="AH128" s="116" t="s">
        <v>3253</v>
      </c>
      <c r="AI128" s="11"/>
    </row>
    <row r="129">
      <c r="A129" s="105" t="str">
        <f t="shared" si="6"/>
        <v>#REF!</v>
      </c>
      <c r="B129" s="106" t="s">
        <v>2298</v>
      </c>
      <c r="C129" s="106">
        <v>6.0019875E7</v>
      </c>
      <c r="D129" s="106" t="s">
        <v>2299</v>
      </c>
      <c r="E129" s="106" t="s">
        <v>3106</v>
      </c>
      <c r="F129" s="106" t="s">
        <v>1960</v>
      </c>
      <c r="G129" s="106" t="s">
        <v>2233</v>
      </c>
      <c r="H129" s="107"/>
      <c r="I129" s="16" t="s">
        <v>12</v>
      </c>
      <c r="J129" s="17"/>
      <c r="K129" s="16" t="s">
        <v>36</v>
      </c>
      <c r="L129" s="16" t="s">
        <v>3213</v>
      </c>
      <c r="M129" s="108">
        <v>44848.0</v>
      </c>
      <c r="N129" s="109">
        <f t="shared" si="5"/>
        <v>3.411111111</v>
      </c>
      <c r="O129" s="17"/>
      <c r="P129" s="16" t="s">
        <v>3136</v>
      </c>
      <c r="Q129" s="17"/>
      <c r="R129" s="17"/>
      <c r="S129" s="17"/>
      <c r="T129" s="16" t="s">
        <v>2298</v>
      </c>
      <c r="U129" s="17"/>
      <c r="V129" s="17"/>
      <c r="W129" s="17"/>
      <c r="X129" s="17"/>
      <c r="Y129" s="17"/>
      <c r="Z129" s="17"/>
      <c r="AA129" s="17"/>
      <c r="AB129" s="17"/>
      <c r="AC129" s="16" t="e">
        <v>#N/A</v>
      </c>
      <c r="AD129" s="16" t="s">
        <v>3254</v>
      </c>
      <c r="AE129" s="16" t="s">
        <v>3151</v>
      </c>
      <c r="AF129" s="17"/>
      <c r="AG129" s="16">
        <v>4.500000469E9</v>
      </c>
      <c r="AH129" s="16" t="s">
        <v>3255</v>
      </c>
      <c r="AI129" s="11"/>
    </row>
    <row r="130">
      <c r="A130" s="105" t="str">
        <f t="shared" si="6"/>
        <v>#REF!</v>
      </c>
      <c r="B130" s="106" t="s">
        <v>2300</v>
      </c>
      <c r="C130" s="106" t="s">
        <v>2301</v>
      </c>
      <c r="D130" s="106" t="s">
        <v>2302</v>
      </c>
      <c r="E130" s="106" t="s">
        <v>3106</v>
      </c>
      <c r="F130" s="106" t="s">
        <v>1960</v>
      </c>
      <c r="G130" s="106" t="s">
        <v>2116</v>
      </c>
      <c r="H130" s="107"/>
      <c r="I130" s="16" t="s">
        <v>2303</v>
      </c>
      <c r="J130" s="17"/>
      <c r="K130" s="16" t="s">
        <v>79</v>
      </c>
      <c r="L130" s="16" t="s">
        <v>2051</v>
      </c>
      <c r="M130" s="108">
        <v>43670.0</v>
      </c>
      <c r="N130" s="109">
        <f t="shared" si="5"/>
        <v>6.633333333</v>
      </c>
      <c r="O130" s="17"/>
      <c r="P130" s="16" t="s">
        <v>3136</v>
      </c>
      <c r="Q130" s="111"/>
      <c r="R130" s="17"/>
      <c r="S130" s="17"/>
      <c r="T130" s="16" t="s">
        <v>2300</v>
      </c>
      <c r="U130" s="17"/>
      <c r="V130" s="17"/>
      <c r="W130" s="17"/>
      <c r="X130" s="17"/>
      <c r="Y130" s="17"/>
      <c r="Z130" s="17"/>
      <c r="AA130" s="17"/>
      <c r="AB130" s="17"/>
      <c r="AC130" s="16" t="s">
        <v>3256</v>
      </c>
      <c r="AD130" s="16" t="e">
        <v>#N/A</v>
      </c>
      <c r="AE130" s="16" t="s">
        <v>3193</v>
      </c>
      <c r="AF130" s="17"/>
      <c r="AG130" s="16">
        <v>5.0003145E7</v>
      </c>
      <c r="AH130" s="16" t="s">
        <v>2842</v>
      </c>
      <c r="AI130" s="11"/>
    </row>
    <row r="131">
      <c r="A131" s="105" t="str">
        <f t="shared" si="6"/>
        <v>#REF!</v>
      </c>
      <c r="B131" s="106" t="s">
        <v>2304</v>
      </c>
      <c r="C131" s="106" t="s">
        <v>2305</v>
      </c>
      <c r="D131" s="106" t="s">
        <v>2306</v>
      </c>
      <c r="E131" s="106" t="s">
        <v>3106</v>
      </c>
      <c r="F131" s="106" t="s">
        <v>1960</v>
      </c>
      <c r="G131" s="106" t="s">
        <v>2220</v>
      </c>
      <c r="H131" s="107"/>
      <c r="I131" s="16" t="s">
        <v>12</v>
      </c>
      <c r="J131" s="17"/>
      <c r="K131" s="16" t="s">
        <v>36</v>
      </c>
      <c r="L131" s="16" t="s">
        <v>3202</v>
      </c>
      <c r="M131" s="108">
        <v>44188.0</v>
      </c>
      <c r="N131" s="109">
        <f t="shared" si="5"/>
        <v>5.219444444</v>
      </c>
      <c r="O131" s="111"/>
      <c r="P131" s="16" t="s">
        <v>3136</v>
      </c>
      <c r="Q131" s="17"/>
      <c r="R131" s="17"/>
      <c r="S131" s="17"/>
      <c r="T131" s="16" t="s">
        <v>2304</v>
      </c>
      <c r="U131" s="17"/>
      <c r="V131" s="17"/>
      <c r="W131" s="17"/>
      <c r="X131" s="17"/>
      <c r="Y131" s="17"/>
      <c r="Z131" s="17"/>
      <c r="AA131" s="17"/>
      <c r="AB131" s="17"/>
      <c r="AC131" s="16" t="s">
        <v>3257</v>
      </c>
      <c r="AD131" s="16" t="s">
        <v>3258</v>
      </c>
      <c r="AE131" s="16" t="s">
        <v>3243</v>
      </c>
      <c r="AF131" s="17"/>
      <c r="AG131" s="16">
        <v>5.0036153E7</v>
      </c>
      <c r="AH131" s="17"/>
      <c r="AI131" s="11"/>
    </row>
    <row r="132">
      <c r="A132" s="105" t="str">
        <f t="shared" si="6"/>
        <v>#REF!</v>
      </c>
      <c r="B132" s="106" t="s">
        <v>2307</v>
      </c>
      <c r="C132" s="106">
        <v>6.0019828E7</v>
      </c>
      <c r="D132" s="106" t="s">
        <v>2308</v>
      </c>
      <c r="E132" s="106" t="s">
        <v>3106</v>
      </c>
      <c r="F132" s="106" t="s">
        <v>1960</v>
      </c>
      <c r="G132" s="106" t="s">
        <v>2233</v>
      </c>
      <c r="H132" s="107"/>
      <c r="I132" s="16" t="s">
        <v>12</v>
      </c>
      <c r="J132" s="17"/>
      <c r="K132" s="16" t="s">
        <v>36</v>
      </c>
      <c r="L132" s="16" t="s">
        <v>3213</v>
      </c>
      <c r="M132" s="108">
        <v>44848.0</v>
      </c>
      <c r="N132" s="109">
        <f t="shared" si="5"/>
        <v>3.411111111</v>
      </c>
      <c r="O132" s="111"/>
      <c r="P132" s="16" t="s">
        <v>3136</v>
      </c>
      <c r="Q132" s="17"/>
      <c r="R132" s="17"/>
      <c r="S132" s="17"/>
      <c r="T132" s="16" t="s">
        <v>2307</v>
      </c>
      <c r="U132" s="17"/>
      <c r="V132" s="17"/>
      <c r="W132" s="17"/>
      <c r="X132" s="17"/>
      <c r="Y132" s="17"/>
      <c r="Z132" s="17"/>
      <c r="AA132" s="17"/>
      <c r="AB132" s="17"/>
      <c r="AC132" s="16" t="e">
        <v>#N/A</v>
      </c>
      <c r="AD132" s="16" t="s">
        <v>3259</v>
      </c>
      <c r="AE132" s="16" t="s">
        <v>3211</v>
      </c>
      <c r="AF132" s="17"/>
      <c r="AG132" s="16">
        <v>4.500000469E9</v>
      </c>
      <c r="AH132" s="17"/>
      <c r="AI132" s="11"/>
    </row>
    <row r="133">
      <c r="A133" s="105" t="str">
        <f t="shared" si="6"/>
        <v>#REF!</v>
      </c>
      <c r="B133" s="106" t="s">
        <v>2309</v>
      </c>
      <c r="C133" s="106">
        <v>6.0019874E7</v>
      </c>
      <c r="D133" s="106" t="s">
        <v>2310</v>
      </c>
      <c r="E133" s="106" t="s">
        <v>3106</v>
      </c>
      <c r="F133" s="106" t="s">
        <v>1960</v>
      </c>
      <c r="G133" s="106" t="s">
        <v>2233</v>
      </c>
      <c r="H133" s="107"/>
      <c r="I133" s="16" t="s">
        <v>12</v>
      </c>
      <c r="J133" s="17"/>
      <c r="K133" s="16" t="s">
        <v>36</v>
      </c>
      <c r="L133" s="16" t="s">
        <v>3213</v>
      </c>
      <c r="M133" s="108">
        <v>44848.0</v>
      </c>
      <c r="N133" s="109">
        <f t="shared" si="5"/>
        <v>3.411111111</v>
      </c>
      <c r="O133" s="111"/>
      <c r="P133" s="16" t="s">
        <v>3136</v>
      </c>
      <c r="Q133" s="17"/>
      <c r="R133" s="17"/>
      <c r="S133" s="17"/>
      <c r="T133" s="16" t="s">
        <v>2309</v>
      </c>
      <c r="U133" s="17"/>
      <c r="V133" s="17"/>
      <c r="W133" s="17"/>
      <c r="X133" s="17"/>
      <c r="Y133" s="17"/>
      <c r="Z133" s="17"/>
      <c r="AA133" s="17"/>
      <c r="AB133" s="17"/>
      <c r="AC133" s="16" t="e">
        <v>#N/A</v>
      </c>
      <c r="AD133" s="16" t="s">
        <v>3260</v>
      </c>
      <c r="AE133" s="16" t="s">
        <v>3151</v>
      </c>
      <c r="AF133" s="17"/>
      <c r="AG133" s="16">
        <v>4.500000469E9</v>
      </c>
      <c r="AH133" s="116" t="s">
        <v>3261</v>
      </c>
      <c r="AI133" s="11"/>
    </row>
    <row r="134">
      <c r="A134" s="105" t="str">
        <f t="shared" si="6"/>
        <v>#REF!</v>
      </c>
      <c r="B134" s="106" t="s">
        <v>2311</v>
      </c>
      <c r="C134" s="106">
        <v>6.0019864E7</v>
      </c>
      <c r="D134" s="106" t="s">
        <v>2312</v>
      </c>
      <c r="E134" s="106" t="s">
        <v>3106</v>
      </c>
      <c r="F134" s="106" t="s">
        <v>1960</v>
      </c>
      <c r="G134" s="106" t="s">
        <v>2313</v>
      </c>
      <c r="H134" s="107"/>
      <c r="I134" s="16" t="s">
        <v>12</v>
      </c>
      <c r="J134" s="17"/>
      <c r="K134" s="16" t="s">
        <v>36</v>
      </c>
      <c r="L134" s="16" t="s">
        <v>3213</v>
      </c>
      <c r="M134" s="108">
        <v>44848.0</v>
      </c>
      <c r="N134" s="109">
        <f t="shared" si="5"/>
        <v>3.411111111</v>
      </c>
      <c r="O134" s="111"/>
      <c r="P134" s="16" t="s">
        <v>3136</v>
      </c>
      <c r="Q134" s="17"/>
      <c r="R134" s="17"/>
      <c r="S134" s="17"/>
      <c r="T134" s="16" t="s">
        <v>2311</v>
      </c>
      <c r="U134" s="17"/>
      <c r="V134" s="17"/>
      <c r="W134" s="17"/>
      <c r="X134" s="17"/>
      <c r="Y134" s="17"/>
      <c r="Z134" s="17"/>
      <c r="AA134" s="17"/>
      <c r="AB134" s="17"/>
      <c r="AC134" s="16" t="e">
        <v>#N/A</v>
      </c>
      <c r="AD134" s="16" t="s">
        <v>3262</v>
      </c>
      <c r="AE134" s="16" t="s">
        <v>3138</v>
      </c>
      <c r="AF134" s="17"/>
      <c r="AG134" s="16">
        <v>4.500000469E9</v>
      </c>
      <c r="AH134" s="17"/>
      <c r="AI134" s="11"/>
    </row>
    <row r="135">
      <c r="A135" s="105" t="str">
        <f t="shared" si="6"/>
        <v>#REF!</v>
      </c>
      <c r="B135" s="106" t="s">
        <v>2314</v>
      </c>
      <c r="C135" s="106">
        <v>6.0019065E7</v>
      </c>
      <c r="D135" s="106" t="s">
        <v>2315</v>
      </c>
      <c r="E135" s="106" t="s">
        <v>3106</v>
      </c>
      <c r="F135" s="106" t="s">
        <v>1960</v>
      </c>
      <c r="G135" s="106" t="s">
        <v>2131</v>
      </c>
      <c r="H135" s="107"/>
      <c r="I135" s="16" t="s">
        <v>12</v>
      </c>
      <c r="J135" s="17"/>
      <c r="K135" s="16" t="s">
        <v>13</v>
      </c>
      <c r="L135" s="16" t="s">
        <v>3208</v>
      </c>
      <c r="M135" s="108">
        <v>44922.0</v>
      </c>
      <c r="N135" s="109">
        <f t="shared" si="5"/>
        <v>3.208333333</v>
      </c>
      <c r="O135" s="111"/>
      <c r="P135" s="16" t="s">
        <v>3136</v>
      </c>
      <c r="Q135" s="17"/>
      <c r="R135" s="17"/>
      <c r="S135" s="17"/>
      <c r="T135" s="16" t="s">
        <v>2314</v>
      </c>
      <c r="U135" s="17"/>
      <c r="V135" s="17"/>
      <c r="W135" s="17"/>
      <c r="X135" s="17"/>
      <c r="Y135" s="17"/>
      <c r="Z135" s="17"/>
      <c r="AA135" s="17"/>
      <c r="AB135" s="17"/>
      <c r="AC135" s="16" t="e">
        <v>#N/A</v>
      </c>
      <c r="AD135" s="16" t="s">
        <v>3263</v>
      </c>
      <c r="AE135" s="16" t="s">
        <v>3204</v>
      </c>
      <c r="AF135" s="17"/>
      <c r="AG135" s="16">
        <v>4.500000159E9</v>
      </c>
      <c r="AH135" s="16" t="s">
        <v>3195</v>
      </c>
      <c r="AI135" s="11"/>
    </row>
    <row r="136">
      <c r="A136" s="105" t="str">
        <f t="shared" si="6"/>
        <v>#REF!</v>
      </c>
      <c r="B136" s="106" t="s">
        <v>2316</v>
      </c>
      <c r="C136" s="106">
        <v>6.0019868E7</v>
      </c>
      <c r="D136" s="106" t="s">
        <v>2317</v>
      </c>
      <c r="E136" s="106" t="s">
        <v>3106</v>
      </c>
      <c r="F136" s="106" t="s">
        <v>1960</v>
      </c>
      <c r="G136" s="106" t="s">
        <v>2233</v>
      </c>
      <c r="H136" s="107"/>
      <c r="I136" s="16" t="s">
        <v>12</v>
      </c>
      <c r="J136" s="17"/>
      <c r="K136" s="16" t="s">
        <v>36</v>
      </c>
      <c r="L136" s="16" t="s">
        <v>3213</v>
      </c>
      <c r="M136" s="108">
        <v>44848.0</v>
      </c>
      <c r="N136" s="109">
        <f t="shared" si="5"/>
        <v>3.411111111</v>
      </c>
      <c r="O136" s="111"/>
      <c r="P136" s="16" t="s">
        <v>3136</v>
      </c>
      <c r="Q136" s="17"/>
      <c r="R136" s="17"/>
      <c r="S136" s="17"/>
      <c r="T136" s="16" t="s">
        <v>2316</v>
      </c>
      <c r="U136" s="17"/>
      <c r="V136" s="17"/>
      <c r="W136" s="17"/>
      <c r="X136" s="17"/>
      <c r="Y136" s="17"/>
      <c r="Z136" s="17"/>
      <c r="AA136" s="17"/>
      <c r="AB136" s="17"/>
      <c r="AC136" s="16" t="e">
        <v>#N/A</v>
      </c>
      <c r="AD136" s="16" t="s">
        <v>3264</v>
      </c>
      <c r="AE136" s="16" t="s">
        <v>3138</v>
      </c>
      <c r="AF136" s="17"/>
      <c r="AG136" s="16">
        <v>4.500000469E9</v>
      </c>
      <c r="AH136" s="17"/>
      <c r="AI136" s="11"/>
    </row>
    <row r="137">
      <c r="A137" s="105" t="str">
        <f t="shared" si="6"/>
        <v>#REF!</v>
      </c>
      <c r="B137" s="106" t="s">
        <v>2318</v>
      </c>
      <c r="C137" s="106">
        <v>6.0019832E7</v>
      </c>
      <c r="D137" s="106" t="s">
        <v>2319</v>
      </c>
      <c r="E137" s="106" t="s">
        <v>3106</v>
      </c>
      <c r="F137" s="106" t="s">
        <v>1960</v>
      </c>
      <c r="G137" s="106" t="s">
        <v>2227</v>
      </c>
      <c r="H137" s="107"/>
      <c r="I137" s="16" t="s">
        <v>12</v>
      </c>
      <c r="J137" s="17"/>
      <c r="K137" s="16" t="s">
        <v>36</v>
      </c>
      <c r="L137" s="16" t="s">
        <v>2818</v>
      </c>
      <c r="M137" s="108">
        <v>44848.0</v>
      </c>
      <c r="N137" s="109">
        <f t="shared" si="5"/>
        <v>3.411111111</v>
      </c>
      <c r="O137" s="111"/>
      <c r="P137" s="16" t="s">
        <v>3136</v>
      </c>
      <c r="Q137" s="17"/>
      <c r="R137" s="17"/>
      <c r="S137" s="17"/>
      <c r="T137" s="16" t="s">
        <v>2318</v>
      </c>
      <c r="U137" s="17"/>
      <c r="V137" s="17"/>
      <c r="W137" s="17"/>
      <c r="X137" s="17"/>
      <c r="Y137" s="17"/>
      <c r="Z137" s="17"/>
      <c r="AA137" s="17"/>
      <c r="AB137" s="17"/>
      <c r="AC137" s="16" t="e">
        <v>#N/A</v>
      </c>
      <c r="AD137" s="16" t="s">
        <v>3265</v>
      </c>
      <c r="AE137" s="16" t="s">
        <v>3151</v>
      </c>
      <c r="AF137" s="17"/>
      <c r="AG137" s="16">
        <v>4.500000469E9</v>
      </c>
      <c r="AH137" s="17"/>
      <c r="AI137" s="11"/>
    </row>
    <row r="138">
      <c r="A138" s="105" t="str">
        <f t="shared" si="6"/>
        <v>#REF!</v>
      </c>
      <c r="B138" s="106" t="s">
        <v>2320</v>
      </c>
      <c r="C138" s="106" t="s">
        <v>2321</v>
      </c>
      <c r="D138" s="106" t="s">
        <v>2322</v>
      </c>
      <c r="E138" s="106" t="s">
        <v>3106</v>
      </c>
      <c r="F138" s="106" t="s">
        <v>1960</v>
      </c>
      <c r="G138" s="106" t="s">
        <v>2100</v>
      </c>
      <c r="H138" s="107"/>
      <c r="I138" s="16" t="s">
        <v>12</v>
      </c>
      <c r="J138" s="17"/>
      <c r="K138" s="16" t="s">
        <v>79</v>
      </c>
      <c r="L138" s="16" t="s">
        <v>2024</v>
      </c>
      <c r="M138" s="108">
        <v>42667.0</v>
      </c>
      <c r="N138" s="109">
        <f t="shared" si="5"/>
        <v>9.383333333</v>
      </c>
      <c r="O138" s="111"/>
      <c r="P138" s="16" t="s">
        <v>3136</v>
      </c>
      <c r="Q138" s="17"/>
      <c r="R138" s="17"/>
      <c r="S138" s="17"/>
      <c r="T138" s="16" t="s">
        <v>2320</v>
      </c>
      <c r="U138" s="17"/>
      <c r="V138" s="17"/>
      <c r="W138" s="17"/>
      <c r="X138" s="17"/>
      <c r="Y138" s="17"/>
      <c r="Z138" s="17"/>
      <c r="AA138" s="17"/>
      <c r="AB138" s="17"/>
      <c r="AC138" s="16" t="e">
        <v>#N/A</v>
      </c>
      <c r="AD138" s="16" t="s">
        <v>3266</v>
      </c>
      <c r="AE138" s="16" t="s">
        <v>3267</v>
      </c>
      <c r="AF138" s="17"/>
      <c r="AG138" s="16">
        <v>5.0001633E7</v>
      </c>
      <c r="AH138" s="17"/>
      <c r="AI138" s="11"/>
    </row>
    <row r="139">
      <c r="A139" s="105" t="str">
        <f t="shared" si="6"/>
        <v>#REF!</v>
      </c>
      <c r="B139" s="106" t="s">
        <v>2323</v>
      </c>
      <c r="C139" s="106">
        <v>6.0019859E7</v>
      </c>
      <c r="D139" s="106" t="s">
        <v>2324</v>
      </c>
      <c r="E139" s="106" t="s">
        <v>3106</v>
      </c>
      <c r="F139" s="106" t="s">
        <v>1960</v>
      </c>
      <c r="G139" s="106" t="s">
        <v>2233</v>
      </c>
      <c r="H139" s="107"/>
      <c r="I139" s="16" t="s">
        <v>12</v>
      </c>
      <c r="J139" s="17"/>
      <c r="K139" s="16" t="s">
        <v>36</v>
      </c>
      <c r="L139" s="16" t="s">
        <v>3213</v>
      </c>
      <c r="M139" s="108">
        <v>44848.0</v>
      </c>
      <c r="N139" s="109">
        <f t="shared" si="5"/>
        <v>3.411111111</v>
      </c>
      <c r="O139" s="16" t="s">
        <v>3136</v>
      </c>
      <c r="P139" s="16" t="s">
        <v>3136</v>
      </c>
      <c r="Q139" s="17"/>
      <c r="R139" s="17"/>
      <c r="S139" s="17"/>
      <c r="T139" s="16" t="s">
        <v>2298</v>
      </c>
      <c r="U139" s="17"/>
      <c r="V139" s="17"/>
      <c r="W139" s="17"/>
      <c r="X139" s="17"/>
      <c r="Y139" s="17"/>
      <c r="Z139" s="17"/>
      <c r="AA139" s="17"/>
      <c r="AB139" s="17"/>
      <c r="AC139" s="16" t="s">
        <v>3268</v>
      </c>
      <c r="AD139" s="16" t="s">
        <v>3269</v>
      </c>
      <c r="AE139" s="16" t="s">
        <v>3250</v>
      </c>
      <c r="AF139" s="17"/>
      <c r="AG139" s="16">
        <v>4.500000469E9</v>
      </c>
      <c r="AH139" s="17"/>
      <c r="AI139" s="11"/>
    </row>
    <row r="140">
      <c r="A140" s="105" t="str">
        <f t="shared" si="6"/>
        <v>#REF!</v>
      </c>
      <c r="B140" s="106" t="s">
        <v>2325</v>
      </c>
      <c r="C140" s="106" t="s">
        <v>2326</v>
      </c>
      <c r="D140" s="106" t="s">
        <v>2327</v>
      </c>
      <c r="E140" s="106" t="s">
        <v>3106</v>
      </c>
      <c r="F140" s="106" t="s">
        <v>1960</v>
      </c>
      <c r="G140" s="106" t="s">
        <v>2131</v>
      </c>
      <c r="H140" s="107"/>
      <c r="I140" s="16" t="s">
        <v>12</v>
      </c>
      <c r="J140" s="17"/>
      <c r="K140" s="16" t="s">
        <v>13</v>
      </c>
      <c r="L140" s="16" t="s">
        <v>2131</v>
      </c>
      <c r="M140" s="108">
        <v>44376.0</v>
      </c>
      <c r="N140" s="109">
        <f t="shared" si="5"/>
        <v>4.702777778</v>
      </c>
      <c r="O140" s="111"/>
      <c r="P140" s="16" t="s">
        <v>3136</v>
      </c>
      <c r="Q140" s="17"/>
      <c r="R140" s="17"/>
      <c r="S140" s="17"/>
      <c r="T140" s="16" t="s">
        <v>2325</v>
      </c>
      <c r="U140" s="17"/>
      <c r="V140" s="17"/>
      <c r="W140" s="17"/>
      <c r="X140" s="17"/>
      <c r="Y140" s="17"/>
      <c r="Z140" s="17"/>
      <c r="AA140" s="17"/>
      <c r="AB140" s="17"/>
      <c r="AC140" s="16" t="e">
        <v>#N/A</v>
      </c>
      <c r="AD140" s="16" t="s">
        <v>3270</v>
      </c>
      <c r="AE140" s="16" t="s">
        <v>3236</v>
      </c>
      <c r="AF140" s="17"/>
      <c r="AG140" s="16">
        <v>5.0004153E7</v>
      </c>
      <c r="AH140" s="17"/>
      <c r="AI140" s="11"/>
    </row>
    <row r="141">
      <c r="A141" s="105" t="str">
        <f t="shared" si="6"/>
        <v>#REF!</v>
      </c>
      <c r="B141" s="106" t="s">
        <v>2328</v>
      </c>
      <c r="C141" s="106" t="s">
        <v>2329</v>
      </c>
      <c r="D141" s="106" t="s">
        <v>2330</v>
      </c>
      <c r="E141" s="106" t="s">
        <v>3106</v>
      </c>
      <c r="F141" s="106" t="s">
        <v>1960</v>
      </c>
      <c r="G141" s="106" t="s">
        <v>2197</v>
      </c>
      <c r="H141" s="107"/>
      <c r="I141" s="16" t="s">
        <v>12</v>
      </c>
      <c r="J141" s="17"/>
      <c r="K141" s="16" t="s">
        <v>13</v>
      </c>
      <c r="L141" s="16" t="s">
        <v>2197</v>
      </c>
      <c r="M141" s="108">
        <v>44713.0</v>
      </c>
      <c r="N141" s="109">
        <f t="shared" si="5"/>
        <v>3.780555556</v>
      </c>
      <c r="O141" s="111"/>
      <c r="P141" s="16" t="s">
        <v>3136</v>
      </c>
      <c r="Q141" s="17"/>
      <c r="R141" s="17"/>
      <c r="S141" s="17"/>
      <c r="T141" s="16" t="s">
        <v>2328</v>
      </c>
      <c r="U141" s="17"/>
      <c r="V141" s="17"/>
      <c r="W141" s="17"/>
      <c r="X141" s="17"/>
      <c r="Y141" s="17"/>
      <c r="Z141" s="17"/>
      <c r="AA141" s="17"/>
      <c r="AB141" s="17"/>
      <c r="AC141" s="16" t="s">
        <v>3271</v>
      </c>
      <c r="AD141" s="16" t="s">
        <v>3272</v>
      </c>
      <c r="AE141" s="16" t="s">
        <v>3141</v>
      </c>
      <c r="AF141" s="17"/>
      <c r="AG141" s="16">
        <v>4.500000177E9</v>
      </c>
      <c r="AH141" s="17"/>
      <c r="AI141" s="11"/>
    </row>
    <row r="142">
      <c r="A142" s="105" t="str">
        <f t="shared" si="6"/>
        <v>#REF!</v>
      </c>
      <c r="B142" s="106" t="s">
        <v>2331</v>
      </c>
      <c r="C142" s="106">
        <v>6.001983E7</v>
      </c>
      <c r="D142" s="106" t="s">
        <v>2332</v>
      </c>
      <c r="E142" s="106" t="s">
        <v>3106</v>
      </c>
      <c r="F142" s="106" t="s">
        <v>1960</v>
      </c>
      <c r="G142" s="106" t="s">
        <v>2227</v>
      </c>
      <c r="H142" s="107"/>
      <c r="I142" s="16" t="s">
        <v>12</v>
      </c>
      <c r="J142" s="17"/>
      <c r="K142" s="16" t="s">
        <v>36</v>
      </c>
      <c r="L142" s="16" t="s">
        <v>2818</v>
      </c>
      <c r="M142" s="108">
        <v>44848.0</v>
      </c>
      <c r="N142" s="109">
        <f t="shared" si="5"/>
        <v>3.411111111</v>
      </c>
      <c r="O142" s="111"/>
      <c r="P142" s="16" t="s">
        <v>3136</v>
      </c>
      <c r="Q142" s="17"/>
      <c r="R142" s="17"/>
      <c r="S142" s="17"/>
      <c r="T142" s="16" t="s">
        <v>2331</v>
      </c>
      <c r="U142" s="17"/>
      <c r="V142" s="17"/>
      <c r="W142" s="17"/>
      <c r="X142" s="17"/>
      <c r="Y142" s="17"/>
      <c r="Z142" s="17"/>
      <c r="AA142" s="17"/>
      <c r="AB142" s="17"/>
      <c r="AC142" s="16" t="e">
        <v>#N/A</v>
      </c>
      <c r="AD142" s="16" t="s">
        <v>3273</v>
      </c>
      <c r="AE142" s="16" t="s">
        <v>3243</v>
      </c>
      <c r="AF142" s="17"/>
      <c r="AG142" s="16">
        <v>4.500000469E9</v>
      </c>
      <c r="AH142" s="17"/>
      <c r="AI142" s="11"/>
    </row>
    <row r="143">
      <c r="A143" s="105" t="str">
        <f t="shared" si="6"/>
        <v>#REF!</v>
      </c>
      <c r="B143" s="106" t="s">
        <v>2333</v>
      </c>
      <c r="C143" s="106" t="s">
        <v>2334</v>
      </c>
      <c r="D143" s="106" t="s">
        <v>2335</v>
      </c>
      <c r="E143" s="106" t="s">
        <v>3106</v>
      </c>
      <c r="F143" s="106" t="s">
        <v>1960</v>
      </c>
      <c r="G143" s="106" t="s">
        <v>2220</v>
      </c>
      <c r="H143" s="107"/>
      <c r="I143" s="16" t="s">
        <v>12</v>
      </c>
      <c r="J143" s="17"/>
      <c r="K143" s="16" t="s">
        <v>36</v>
      </c>
      <c r="L143" s="16" t="s">
        <v>2220</v>
      </c>
      <c r="M143" s="108">
        <v>44188.0</v>
      </c>
      <c r="N143" s="109">
        <f t="shared" si="5"/>
        <v>5.219444444</v>
      </c>
      <c r="O143" s="111"/>
      <c r="P143" s="16" t="s">
        <v>3136</v>
      </c>
      <c r="Q143" s="17"/>
      <c r="R143" s="17"/>
      <c r="S143" s="17"/>
      <c r="T143" s="16" t="s">
        <v>2333</v>
      </c>
      <c r="U143" s="17"/>
      <c r="V143" s="17"/>
      <c r="W143" s="17"/>
      <c r="X143" s="17"/>
      <c r="Y143" s="17"/>
      <c r="Z143" s="17"/>
      <c r="AA143" s="17"/>
      <c r="AB143" s="17"/>
      <c r="AC143" s="16" t="e">
        <v>#N/A</v>
      </c>
      <c r="AD143" s="16" t="s">
        <v>3274</v>
      </c>
      <c r="AE143" s="16" t="s">
        <v>3217</v>
      </c>
      <c r="AF143" s="17"/>
      <c r="AG143" s="16">
        <v>5.0036153E7</v>
      </c>
      <c r="AH143" s="17"/>
      <c r="AI143" s="11"/>
    </row>
    <row r="144">
      <c r="A144" s="105" t="str">
        <f t="shared" si="6"/>
        <v>#REF!</v>
      </c>
      <c r="B144" s="106" t="s">
        <v>2336</v>
      </c>
      <c r="C144" s="106" t="s">
        <v>2337</v>
      </c>
      <c r="D144" s="106" t="s">
        <v>2338</v>
      </c>
      <c r="E144" s="106" t="s">
        <v>3106</v>
      </c>
      <c r="F144" s="106" t="s">
        <v>1960</v>
      </c>
      <c r="G144" s="106" t="s">
        <v>2131</v>
      </c>
      <c r="H144" s="107"/>
      <c r="I144" s="16" t="s">
        <v>12</v>
      </c>
      <c r="J144" s="17"/>
      <c r="K144" s="16" t="s">
        <v>13</v>
      </c>
      <c r="L144" s="16" t="s">
        <v>2131</v>
      </c>
      <c r="M144" s="108">
        <v>44376.0</v>
      </c>
      <c r="N144" s="109">
        <f t="shared" si="5"/>
        <v>4.702777778</v>
      </c>
      <c r="O144" s="111"/>
      <c r="P144" s="16" t="s">
        <v>3136</v>
      </c>
      <c r="Q144" s="17"/>
      <c r="R144" s="17"/>
      <c r="S144" s="17"/>
      <c r="T144" s="16" t="s">
        <v>2336</v>
      </c>
      <c r="U144" s="17"/>
      <c r="V144" s="17"/>
      <c r="W144" s="17"/>
      <c r="X144" s="17"/>
      <c r="Y144" s="17"/>
      <c r="Z144" s="17"/>
      <c r="AA144" s="17"/>
      <c r="AB144" s="17"/>
      <c r="AC144" s="16" t="s">
        <v>3275</v>
      </c>
      <c r="AD144" s="16" t="s">
        <v>3276</v>
      </c>
      <c r="AE144" s="16" t="s">
        <v>3150</v>
      </c>
      <c r="AF144" s="17"/>
      <c r="AG144" s="16">
        <v>5.0004153E7</v>
      </c>
      <c r="AH144" s="17"/>
      <c r="AI144" s="11"/>
    </row>
    <row r="145">
      <c r="A145" s="105" t="str">
        <f t="shared" si="6"/>
        <v>#REF!</v>
      </c>
      <c r="B145" s="106" t="s">
        <v>2339</v>
      </c>
      <c r="C145" s="106" t="s">
        <v>2340</v>
      </c>
      <c r="D145" s="106" t="s">
        <v>2341</v>
      </c>
      <c r="E145" s="106" t="s">
        <v>3106</v>
      </c>
      <c r="F145" s="106" t="s">
        <v>1960</v>
      </c>
      <c r="G145" s="106" t="s">
        <v>2131</v>
      </c>
      <c r="H145" s="107"/>
      <c r="I145" s="16" t="s">
        <v>12</v>
      </c>
      <c r="J145" s="17"/>
      <c r="K145" s="16" t="s">
        <v>13</v>
      </c>
      <c r="L145" s="16" t="s">
        <v>2131</v>
      </c>
      <c r="M145" s="108">
        <v>44649.0</v>
      </c>
      <c r="N145" s="109">
        <f t="shared" si="5"/>
        <v>3.952777778</v>
      </c>
      <c r="O145" s="121"/>
      <c r="P145" s="16" t="s">
        <v>3136</v>
      </c>
      <c r="Q145" s="17"/>
      <c r="R145" s="17"/>
      <c r="S145" s="17"/>
      <c r="T145" s="16" t="s">
        <v>2339</v>
      </c>
      <c r="U145" s="17"/>
      <c r="V145" s="17"/>
      <c r="W145" s="17"/>
      <c r="X145" s="17"/>
      <c r="Y145" s="17"/>
      <c r="Z145" s="17"/>
      <c r="AA145" s="17"/>
      <c r="AB145" s="17"/>
      <c r="AC145" s="16" t="e">
        <v>#N/A</v>
      </c>
      <c r="AD145" s="16" t="s">
        <v>3277</v>
      </c>
      <c r="AE145" s="16" t="s">
        <v>3171</v>
      </c>
      <c r="AF145" s="17"/>
      <c r="AG145" s="16">
        <v>5.0004516E7</v>
      </c>
      <c r="AH145" s="17"/>
      <c r="AI145" s="11"/>
    </row>
    <row r="146">
      <c r="A146" s="105" t="str">
        <f t="shared" si="6"/>
        <v>#REF!</v>
      </c>
      <c r="B146" s="106" t="s">
        <v>2342</v>
      </c>
      <c r="C146" s="106" t="s">
        <v>2343</v>
      </c>
      <c r="D146" s="106" t="s">
        <v>2344</v>
      </c>
      <c r="E146" s="106" t="s">
        <v>3106</v>
      </c>
      <c r="F146" s="106" t="s">
        <v>1960</v>
      </c>
      <c r="G146" s="106" t="s">
        <v>2220</v>
      </c>
      <c r="H146" s="107"/>
      <c r="I146" s="16" t="s">
        <v>12</v>
      </c>
      <c r="J146" s="17"/>
      <c r="K146" s="16" t="s">
        <v>36</v>
      </c>
      <c r="L146" s="16" t="s">
        <v>2220</v>
      </c>
      <c r="M146" s="108">
        <v>44188.0</v>
      </c>
      <c r="N146" s="109">
        <f t="shared" si="5"/>
        <v>5.219444444</v>
      </c>
      <c r="O146" s="111"/>
      <c r="P146" s="16" t="s">
        <v>3136</v>
      </c>
      <c r="Q146" s="17"/>
      <c r="R146" s="17"/>
      <c r="S146" s="17"/>
      <c r="T146" s="16" t="s">
        <v>2342</v>
      </c>
      <c r="U146" s="17"/>
      <c r="V146" s="17"/>
      <c r="W146" s="17"/>
      <c r="X146" s="17"/>
      <c r="Y146" s="17"/>
      <c r="Z146" s="17"/>
      <c r="AA146" s="17"/>
      <c r="AB146" s="17"/>
      <c r="AC146" s="16" t="e">
        <v>#N/A</v>
      </c>
      <c r="AD146" s="16" t="s">
        <v>3278</v>
      </c>
      <c r="AE146" s="16" t="s">
        <v>3204</v>
      </c>
      <c r="AF146" s="17"/>
      <c r="AG146" s="16">
        <v>5.0036153E7</v>
      </c>
      <c r="AH146" s="17"/>
      <c r="AI146" s="11"/>
    </row>
    <row r="147">
      <c r="A147" s="105" t="str">
        <f t="shared" si="6"/>
        <v>#REF!</v>
      </c>
      <c r="B147" s="106" t="s">
        <v>2345</v>
      </c>
      <c r="C147" s="106">
        <v>6.0019823E7</v>
      </c>
      <c r="D147" s="106" t="s">
        <v>2346</v>
      </c>
      <c r="E147" s="106" t="s">
        <v>3106</v>
      </c>
      <c r="F147" s="106" t="s">
        <v>1960</v>
      </c>
      <c r="G147" s="106" t="s">
        <v>2227</v>
      </c>
      <c r="H147" s="107"/>
      <c r="I147" s="16" t="s">
        <v>12</v>
      </c>
      <c r="J147" s="17"/>
      <c r="K147" s="16" t="s">
        <v>36</v>
      </c>
      <c r="L147" s="16" t="s">
        <v>2818</v>
      </c>
      <c r="M147" s="108">
        <v>44848.0</v>
      </c>
      <c r="N147" s="109">
        <f t="shared" si="5"/>
        <v>3.411111111</v>
      </c>
      <c r="O147" s="111"/>
      <c r="P147" s="16" t="s">
        <v>3136</v>
      </c>
      <c r="Q147" s="17"/>
      <c r="R147" s="17"/>
      <c r="S147" s="17"/>
      <c r="T147" s="16" t="s">
        <v>2345</v>
      </c>
      <c r="U147" s="17"/>
      <c r="V147" s="17"/>
      <c r="W147" s="17"/>
      <c r="X147" s="17"/>
      <c r="Y147" s="17"/>
      <c r="Z147" s="17"/>
      <c r="AA147" s="17"/>
      <c r="AB147" s="17"/>
      <c r="AC147" s="16" t="e">
        <v>#N/A</v>
      </c>
      <c r="AD147" s="16" t="s">
        <v>3279</v>
      </c>
      <c r="AE147" s="16" t="s">
        <v>3193</v>
      </c>
      <c r="AF147" s="17"/>
      <c r="AG147" s="16">
        <v>4.500000469E9</v>
      </c>
      <c r="AH147" s="17"/>
      <c r="AI147" s="11"/>
    </row>
    <row r="148">
      <c r="A148" s="105" t="str">
        <f t="shared" si="6"/>
        <v>#REF!</v>
      </c>
      <c r="B148" s="106" t="s">
        <v>2347</v>
      </c>
      <c r="C148" s="106">
        <v>6.0019883E7</v>
      </c>
      <c r="D148" s="106" t="s">
        <v>2348</v>
      </c>
      <c r="E148" s="106" t="s">
        <v>3106</v>
      </c>
      <c r="F148" s="106" t="s">
        <v>1960</v>
      </c>
      <c r="G148" s="106" t="s">
        <v>2349</v>
      </c>
      <c r="H148" s="107"/>
      <c r="I148" s="16" t="s">
        <v>12</v>
      </c>
      <c r="J148" s="17"/>
      <c r="K148" s="16" t="s">
        <v>36</v>
      </c>
      <c r="L148" s="16" t="s">
        <v>3280</v>
      </c>
      <c r="M148" s="108">
        <v>44848.0</v>
      </c>
      <c r="N148" s="109">
        <f t="shared" si="5"/>
        <v>3.411111111</v>
      </c>
      <c r="O148" s="17"/>
      <c r="P148" s="16" t="s">
        <v>3136</v>
      </c>
      <c r="Q148" s="111"/>
      <c r="R148" s="17"/>
      <c r="S148" s="17"/>
      <c r="T148" s="16" t="s">
        <v>2347</v>
      </c>
      <c r="U148" s="17"/>
      <c r="V148" s="17"/>
      <c r="W148" s="17"/>
      <c r="X148" s="17"/>
      <c r="Y148" s="17"/>
      <c r="Z148" s="17"/>
      <c r="AA148" s="17"/>
      <c r="AB148" s="17"/>
      <c r="AC148" s="16" t="e">
        <v>#N/A</v>
      </c>
      <c r="AD148" s="16" t="s">
        <v>2871</v>
      </c>
      <c r="AE148" s="16" t="s">
        <v>3106</v>
      </c>
      <c r="AF148" s="17"/>
      <c r="AG148" s="16">
        <v>4.500000469E9</v>
      </c>
      <c r="AH148" s="17"/>
      <c r="AI148" s="11"/>
    </row>
    <row r="149">
      <c r="A149" s="105" t="str">
        <f t="shared" si="6"/>
        <v>#REF!</v>
      </c>
      <c r="B149" s="106" t="s">
        <v>2350</v>
      </c>
      <c r="C149" s="106">
        <v>6.0019884E7</v>
      </c>
      <c r="D149" s="106" t="s">
        <v>2351</v>
      </c>
      <c r="E149" s="106" t="s">
        <v>3106</v>
      </c>
      <c r="F149" s="106" t="s">
        <v>1960</v>
      </c>
      <c r="G149" s="106" t="s">
        <v>2349</v>
      </c>
      <c r="H149" s="107"/>
      <c r="I149" s="16" t="s">
        <v>12</v>
      </c>
      <c r="J149" s="17"/>
      <c r="K149" s="16" t="s">
        <v>36</v>
      </c>
      <c r="L149" s="16" t="s">
        <v>3280</v>
      </c>
      <c r="M149" s="108">
        <v>44848.0</v>
      </c>
      <c r="N149" s="109">
        <f t="shared" si="5"/>
        <v>3.411111111</v>
      </c>
      <c r="O149" s="111"/>
      <c r="P149" s="16" t="s">
        <v>3136</v>
      </c>
      <c r="Q149" s="17"/>
      <c r="R149" s="17"/>
      <c r="S149" s="17"/>
      <c r="T149" s="16" t="s">
        <v>2350</v>
      </c>
      <c r="U149" s="17"/>
      <c r="V149" s="17"/>
      <c r="W149" s="17"/>
      <c r="X149" s="17"/>
      <c r="Y149" s="17"/>
      <c r="Z149" s="17"/>
      <c r="AA149" s="17"/>
      <c r="AB149" s="17"/>
      <c r="AC149" s="16" t="e">
        <v>#N/A</v>
      </c>
      <c r="AD149" s="16" t="s">
        <v>2983</v>
      </c>
      <c r="AE149" s="16" t="s">
        <v>3106</v>
      </c>
      <c r="AF149" s="17"/>
      <c r="AG149" s="16">
        <v>4.500000469E9</v>
      </c>
      <c r="AH149" s="17"/>
      <c r="AI149" s="11"/>
    </row>
    <row r="150">
      <c r="A150" s="105" t="str">
        <f t="shared" si="6"/>
        <v>#REF!</v>
      </c>
      <c r="B150" s="106" t="s">
        <v>2352</v>
      </c>
      <c r="C150" s="106">
        <v>6.0019831E7</v>
      </c>
      <c r="D150" s="106" t="s">
        <v>2353</v>
      </c>
      <c r="E150" s="106" t="s">
        <v>3106</v>
      </c>
      <c r="F150" s="106" t="s">
        <v>1960</v>
      </c>
      <c r="G150" s="106" t="s">
        <v>2233</v>
      </c>
      <c r="H150" s="107"/>
      <c r="I150" s="16" t="s">
        <v>12</v>
      </c>
      <c r="J150" s="17"/>
      <c r="K150" s="16" t="s">
        <v>36</v>
      </c>
      <c r="L150" s="16" t="s">
        <v>3213</v>
      </c>
      <c r="M150" s="108">
        <v>44848.0</v>
      </c>
      <c r="N150" s="109">
        <f t="shared" si="5"/>
        <v>3.411111111</v>
      </c>
      <c r="O150" s="111"/>
      <c r="P150" s="16" t="s">
        <v>3136</v>
      </c>
      <c r="Q150" s="17"/>
      <c r="R150" s="17"/>
      <c r="S150" s="17"/>
      <c r="T150" s="16" t="s">
        <v>2352</v>
      </c>
      <c r="U150" s="17"/>
      <c r="V150" s="17"/>
      <c r="W150" s="17"/>
      <c r="X150" s="17"/>
      <c r="Y150" s="17"/>
      <c r="Z150" s="17"/>
      <c r="AA150" s="17"/>
      <c r="AB150" s="17"/>
      <c r="AC150" s="16" t="e">
        <v>#N/A</v>
      </c>
      <c r="AD150" s="16" t="s">
        <v>3281</v>
      </c>
      <c r="AE150" s="16" t="s">
        <v>3138</v>
      </c>
      <c r="AF150" s="17"/>
      <c r="AG150" s="16">
        <v>4.500000469E9</v>
      </c>
      <c r="AH150" s="17"/>
      <c r="AI150" s="11"/>
    </row>
    <row r="151">
      <c r="A151" s="105" t="str">
        <f t="shared" si="6"/>
        <v>#REF!</v>
      </c>
      <c r="B151" s="106" t="s">
        <v>2354</v>
      </c>
      <c r="C151" s="106" t="s">
        <v>2355</v>
      </c>
      <c r="D151" s="106" t="s">
        <v>2356</v>
      </c>
      <c r="E151" s="106" t="s">
        <v>3106</v>
      </c>
      <c r="F151" s="106" t="s">
        <v>1960</v>
      </c>
      <c r="G151" s="106" t="s">
        <v>2020</v>
      </c>
      <c r="H151" s="107"/>
      <c r="I151" s="16" t="s">
        <v>12</v>
      </c>
      <c r="J151" s="17"/>
      <c r="K151" s="16" t="s">
        <v>79</v>
      </c>
      <c r="L151" s="16" t="s">
        <v>3120</v>
      </c>
      <c r="M151" s="108">
        <v>43048.0</v>
      </c>
      <c r="N151" s="109">
        <f t="shared" si="5"/>
        <v>8.341666667</v>
      </c>
      <c r="O151" s="111"/>
      <c r="P151" s="16" t="s">
        <v>3136</v>
      </c>
      <c r="Q151" s="17"/>
      <c r="R151" s="17"/>
      <c r="S151" s="17"/>
      <c r="T151" s="16" t="s">
        <v>2354</v>
      </c>
      <c r="U151" s="17"/>
      <c r="V151" s="17"/>
      <c r="W151" s="17"/>
      <c r="X151" s="17"/>
      <c r="Y151" s="17"/>
      <c r="Z151" s="17"/>
      <c r="AA151" s="17"/>
      <c r="AB151" s="17"/>
      <c r="AC151" s="16" t="e">
        <v>#N/A</v>
      </c>
      <c r="AD151" s="16" t="s">
        <v>3282</v>
      </c>
      <c r="AE151" s="16" t="s">
        <v>3283</v>
      </c>
      <c r="AF151" s="17"/>
      <c r="AG151" s="16">
        <v>5.0002241E7</v>
      </c>
      <c r="AH151" s="17"/>
      <c r="AI151" s="11"/>
    </row>
    <row r="152">
      <c r="A152" s="105" t="str">
        <f t="shared" si="6"/>
        <v>#REF!</v>
      </c>
      <c r="B152" s="106" t="s">
        <v>2357</v>
      </c>
      <c r="C152" s="106">
        <v>6.0020124E7</v>
      </c>
      <c r="D152" s="106" t="s">
        <v>2358</v>
      </c>
      <c r="E152" s="106" t="s">
        <v>3106</v>
      </c>
      <c r="F152" s="106" t="s">
        <v>1960</v>
      </c>
      <c r="G152" s="106" t="s">
        <v>2227</v>
      </c>
      <c r="H152" s="107"/>
      <c r="I152" s="16" t="s">
        <v>12</v>
      </c>
      <c r="J152" s="17"/>
      <c r="K152" s="16" t="s">
        <v>36</v>
      </c>
      <c r="L152" s="16" t="s">
        <v>2818</v>
      </c>
      <c r="M152" s="108">
        <v>44848.0</v>
      </c>
      <c r="N152" s="109">
        <f t="shared" si="5"/>
        <v>3.411111111</v>
      </c>
      <c r="O152" s="111"/>
      <c r="P152" s="16" t="s">
        <v>3136</v>
      </c>
      <c r="Q152" s="17"/>
      <c r="R152" s="17"/>
      <c r="S152" s="17"/>
      <c r="T152" s="16" t="s">
        <v>2357</v>
      </c>
      <c r="U152" s="17"/>
      <c r="V152" s="17"/>
      <c r="W152" s="17"/>
      <c r="X152" s="17"/>
      <c r="Y152" s="17"/>
      <c r="Z152" s="17"/>
      <c r="AA152" s="17"/>
      <c r="AB152" s="17"/>
      <c r="AC152" s="16" t="e">
        <v>#N/A</v>
      </c>
      <c r="AD152" s="16" t="s">
        <v>3284</v>
      </c>
      <c r="AE152" s="16" t="s">
        <v>3106</v>
      </c>
      <c r="AF152" s="17"/>
      <c r="AG152" s="16">
        <v>4.500000469E9</v>
      </c>
      <c r="AH152" s="17"/>
      <c r="AI152" s="11"/>
    </row>
    <row r="153">
      <c r="A153" s="105" t="str">
        <f t="shared" si="6"/>
        <v>#REF!</v>
      </c>
      <c r="B153" s="106" t="s">
        <v>2359</v>
      </c>
      <c r="C153" s="106">
        <v>6.0020078E7</v>
      </c>
      <c r="D153" s="106" t="s">
        <v>2360</v>
      </c>
      <c r="E153" s="106" t="s">
        <v>3106</v>
      </c>
      <c r="F153" s="106" t="s">
        <v>1960</v>
      </c>
      <c r="G153" s="106" t="s">
        <v>2242</v>
      </c>
      <c r="H153" s="107"/>
      <c r="I153" s="16" t="s">
        <v>12</v>
      </c>
      <c r="J153" s="17"/>
      <c r="K153" s="16" t="s">
        <v>13</v>
      </c>
      <c r="L153" s="16" t="s">
        <v>3218</v>
      </c>
      <c r="M153" s="108">
        <v>44817.0</v>
      </c>
      <c r="N153" s="109">
        <f t="shared" si="5"/>
        <v>3.497222222</v>
      </c>
      <c r="O153" s="111"/>
      <c r="P153" s="16" t="s">
        <v>3136</v>
      </c>
      <c r="Q153" s="17"/>
      <c r="R153" s="17"/>
      <c r="S153" s="17"/>
      <c r="T153" s="16" t="s">
        <v>2359</v>
      </c>
      <c r="U153" s="17"/>
      <c r="V153" s="17"/>
      <c r="W153" s="17"/>
      <c r="X153" s="17"/>
      <c r="Y153" s="17"/>
      <c r="Z153" s="17"/>
      <c r="AA153" s="17"/>
      <c r="AB153" s="17"/>
      <c r="AC153" s="16" t="e">
        <v>#N/A</v>
      </c>
      <c r="AD153" s="16" t="s">
        <v>3285</v>
      </c>
      <c r="AE153" s="16" t="s">
        <v>3183</v>
      </c>
      <c r="AF153" s="17"/>
      <c r="AG153" s="117">
        <v>4.500000396E9</v>
      </c>
      <c r="AH153" s="17"/>
      <c r="AI153" s="11"/>
    </row>
    <row r="154">
      <c r="A154" s="105" t="str">
        <f t="shared" si="6"/>
        <v>#REF!</v>
      </c>
      <c r="B154" s="106" t="s">
        <v>2361</v>
      </c>
      <c r="C154" s="106">
        <v>6.0019835E7</v>
      </c>
      <c r="D154" s="106" t="s">
        <v>2362</v>
      </c>
      <c r="E154" s="106" t="s">
        <v>3106</v>
      </c>
      <c r="F154" s="106" t="s">
        <v>1960</v>
      </c>
      <c r="G154" s="106" t="s">
        <v>2227</v>
      </c>
      <c r="H154" s="107"/>
      <c r="I154" s="16" t="s">
        <v>2363</v>
      </c>
      <c r="J154" s="17"/>
      <c r="K154" s="16" t="s">
        <v>36</v>
      </c>
      <c r="L154" s="16" t="s">
        <v>2818</v>
      </c>
      <c r="M154" s="108">
        <v>44848.0</v>
      </c>
      <c r="N154" s="109">
        <f t="shared" si="5"/>
        <v>3.411111111</v>
      </c>
      <c r="O154" s="111"/>
      <c r="P154" s="16" t="s">
        <v>3121</v>
      </c>
      <c r="Q154" s="17"/>
      <c r="R154" s="17"/>
      <c r="S154" s="17"/>
      <c r="T154" s="16" t="s">
        <v>2361</v>
      </c>
      <c r="U154" s="17"/>
      <c r="V154" s="17"/>
      <c r="W154" s="17"/>
      <c r="X154" s="17"/>
      <c r="Y154" s="17"/>
      <c r="Z154" s="17"/>
      <c r="AA154" s="17"/>
      <c r="AB154" s="17"/>
      <c r="AC154" s="16" t="s">
        <v>3286</v>
      </c>
      <c r="AD154" s="16" t="e">
        <v>#N/A</v>
      </c>
      <c r="AE154" s="16" t="s">
        <v>3267</v>
      </c>
      <c r="AF154" s="17"/>
      <c r="AG154" s="16">
        <v>4.500000469E9</v>
      </c>
      <c r="AH154" s="16" t="s">
        <v>3287</v>
      </c>
      <c r="AI154" s="11"/>
    </row>
    <row r="155">
      <c r="A155" s="105" t="str">
        <f t="shared" si="6"/>
        <v>#REF!</v>
      </c>
      <c r="B155" s="106" t="s">
        <v>2364</v>
      </c>
      <c r="C155" s="106" t="s">
        <v>2365</v>
      </c>
      <c r="D155" s="16" t="s">
        <v>2366</v>
      </c>
      <c r="E155" s="106" t="s">
        <v>3106</v>
      </c>
      <c r="F155" s="106" t="s">
        <v>1960</v>
      </c>
      <c r="G155" s="106" t="s">
        <v>2131</v>
      </c>
      <c r="H155" s="107"/>
      <c r="I155" s="16" t="s">
        <v>2367</v>
      </c>
      <c r="J155" s="17"/>
      <c r="K155" s="16" t="s">
        <v>13</v>
      </c>
      <c r="L155" s="16" t="s">
        <v>2131</v>
      </c>
      <c r="M155" s="108">
        <v>44217.0</v>
      </c>
      <c r="N155" s="109">
        <f t="shared" si="5"/>
        <v>5.141666667</v>
      </c>
      <c r="O155" s="16" t="s">
        <v>3136</v>
      </c>
      <c r="P155" s="16" t="s">
        <v>3121</v>
      </c>
      <c r="Q155" s="16" t="s">
        <v>3288</v>
      </c>
      <c r="R155" s="17"/>
      <c r="S155" s="17"/>
      <c r="T155" s="16" t="s">
        <v>2364</v>
      </c>
      <c r="U155" s="17"/>
      <c r="V155" s="17"/>
      <c r="W155" s="17"/>
      <c r="X155" s="17"/>
      <c r="Y155" s="17"/>
      <c r="Z155" s="17"/>
      <c r="AA155" s="17"/>
      <c r="AB155" s="17"/>
      <c r="AC155" s="16" t="s">
        <v>3289</v>
      </c>
      <c r="AD155" s="16" t="e">
        <v>#N/A</v>
      </c>
      <c r="AE155" s="16" t="s">
        <v>3290</v>
      </c>
      <c r="AF155" s="17"/>
      <c r="AG155" s="16">
        <v>5.0003804E7</v>
      </c>
      <c r="AH155" s="16" t="s">
        <v>3291</v>
      </c>
      <c r="AI155" s="11"/>
    </row>
    <row r="156">
      <c r="A156" s="105" t="str">
        <f t="shared" si="6"/>
        <v>#REF!</v>
      </c>
      <c r="B156" s="106" t="s">
        <v>2368</v>
      </c>
      <c r="C156" s="106">
        <v>6.0019871E7</v>
      </c>
      <c r="D156" s="106" t="s">
        <v>2369</v>
      </c>
      <c r="E156" s="106" t="s">
        <v>3106</v>
      </c>
      <c r="F156" s="106" t="s">
        <v>1960</v>
      </c>
      <c r="G156" s="106" t="s">
        <v>2233</v>
      </c>
      <c r="H156" s="107"/>
      <c r="I156" s="16" t="s">
        <v>12</v>
      </c>
      <c r="J156" s="17"/>
      <c r="K156" s="16" t="s">
        <v>36</v>
      </c>
      <c r="L156" s="16" t="s">
        <v>3213</v>
      </c>
      <c r="M156" s="108">
        <v>44848.0</v>
      </c>
      <c r="N156" s="109">
        <f t="shared" si="5"/>
        <v>3.411111111</v>
      </c>
      <c r="O156" s="16" t="s">
        <v>3121</v>
      </c>
      <c r="P156" s="16" t="s">
        <v>3136</v>
      </c>
      <c r="Q156" s="115">
        <v>45140.0</v>
      </c>
      <c r="R156" s="17"/>
      <c r="S156" s="17"/>
      <c r="T156" s="16" t="s">
        <v>2368</v>
      </c>
      <c r="U156" s="17"/>
      <c r="V156" s="17"/>
      <c r="W156" s="17"/>
      <c r="X156" s="17"/>
      <c r="Y156" s="17"/>
      <c r="Z156" s="17"/>
      <c r="AA156" s="17"/>
      <c r="AB156" s="17"/>
      <c r="AC156" s="16" t="s">
        <v>3137</v>
      </c>
      <c r="AD156" s="16" t="s">
        <v>3292</v>
      </c>
      <c r="AE156" s="16" t="s">
        <v>3250</v>
      </c>
      <c r="AF156" s="17"/>
      <c r="AG156" s="16">
        <v>4.500000469E9</v>
      </c>
      <c r="AH156" s="17"/>
      <c r="AI156" s="11"/>
    </row>
    <row r="157">
      <c r="A157" s="105" t="str">
        <f t="shared" si="6"/>
        <v>#REF!</v>
      </c>
      <c r="B157" s="106" t="s">
        <v>2370</v>
      </c>
      <c r="C157" s="106" t="s">
        <v>2371</v>
      </c>
      <c r="D157" s="106" t="s">
        <v>2372</v>
      </c>
      <c r="E157" s="106" t="s">
        <v>3106</v>
      </c>
      <c r="F157" s="106" t="s">
        <v>1960</v>
      </c>
      <c r="G157" s="106" t="s">
        <v>2220</v>
      </c>
      <c r="H157" s="107"/>
      <c r="I157" s="16" t="s">
        <v>12</v>
      </c>
      <c r="J157" s="17"/>
      <c r="K157" s="16" t="s">
        <v>36</v>
      </c>
      <c r="L157" s="16" t="s">
        <v>2220</v>
      </c>
      <c r="M157" s="108">
        <v>44188.0</v>
      </c>
      <c r="N157" s="109">
        <f t="shared" si="5"/>
        <v>5.219444444</v>
      </c>
      <c r="O157" s="111"/>
      <c r="P157" s="16" t="s">
        <v>3136</v>
      </c>
      <c r="Q157" s="17"/>
      <c r="R157" s="17"/>
      <c r="S157" s="17"/>
      <c r="T157" s="16" t="s">
        <v>2370</v>
      </c>
      <c r="U157" s="17"/>
      <c r="V157" s="17"/>
      <c r="W157" s="17"/>
      <c r="X157" s="17"/>
      <c r="Y157" s="17"/>
      <c r="Z157" s="17"/>
      <c r="AA157" s="17"/>
      <c r="AB157" s="17"/>
      <c r="AC157" s="16" t="e">
        <v>#N/A</v>
      </c>
      <c r="AD157" s="16" t="s">
        <v>3293</v>
      </c>
      <c r="AE157" s="16" t="s">
        <v>3217</v>
      </c>
      <c r="AF157" s="17"/>
      <c r="AG157" s="16">
        <v>5.0036153E7</v>
      </c>
      <c r="AH157" s="17"/>
      <c r="AI157" s="11"/>
    </row>
    <row r="158">
      <c r="A158" s="105" t="str">
        <f t="shared" si="6"/>
        <v>#REF!</v>
      </c>
      <c r="B158" s="106" t="s">
        <v>2373</v>
      </c>
      <c r="C158" s="106" t="s">
        <v>2374</v>
      </c>
      <c r="D158" s="106" t="s">
        <v>2375</v>
      </c>
      <c r="E158" s="106" t="s">
        <v>3106</v>
      </c>
      <c r="F158" s="106" t="s">
        <v>1960</v>
      </c>
      <c r="G158" s="106" t="s">
        <v>2131</v>
      </c>
      <c r="H158" s="107"/>
      <c r="I158" s="16" t="s">
        <v>12</v>
      </c>
      <c r="J158" s="17"/>
      <c r="K158" s="16" t="s">
        <v>13</v>
      </c>
      <c r="L158" s="16" t="s">
        <v>3208</v>
      </c>
      <c r="M158" s="108">
        <v>44613.0</v>
      </c>
      <c r="N158" s="109">
        <f t="shared" si="5"/>
        <v>4.058333333</v>
      </c>
      <c r="O158" s="111"/>
      <c r="P158" s="16" t="s">
        <v>3136</v>
      </c>
      <c r="Q158" s="17"/>
      <c r="R158" s="17"/>
      <c r="S158" s="17"/>
      <c r="T158" s="16" t="s">
        <v>2373</v>
      </c>
      <c r="U158" s="17"/>
      <c r="V158" s="17"/>
      <c r="W158" s="17"/>
      <c r="X158" s="17"/>
      <c r="Y158" s="17"/>
      <c r="Z158" s="17"/>
      <c r="AA158" s="17"/>
      <c r="AB158" s="17"/>
      <c r="AC158" s="16" t="e">
        <v>#N/A</v>
      </c>
      <c r="AD158" s="16" t="s">
        <v>2949</v>
      </c>
      <c r="AE158" s="16" t="s">
        <v>3175</v>
      </c>
      <c r="AF158" s="17"/>
      <c r="AG158" s="117">
        <v>5.0004446E7</v>
      </c>
      <c r="AH158" s="116" t="s">
        <v>3294</v>
      </c>
      <c r="AI158" s="11"/>
    </row>
    <row r="159">
      <c r="A159" s="105" t="str">
        <f t="shared" si="6"/>
        <v>#REF!</v>
      </c>
      <c r="B159" s="106" t="s">
        <v>2376</v>
      </c>
      <c r="C159" s="106">
        <v>6.0019837E7</v>
      </c>
      <c r="D159" s="106" t="s">
        <v>2377</v>
      </c>
      <c r="E159" s="106" t="s">
        <v>3106</v>
      </c>
      <c r="F159" s="106" t="s">
        <v>1960</v>
      </c>
      <c r="G159" s="106" t="s">
        <v>2233</v>
      </c>
      <c r="H159" s="107"/>
      <c r="I159" s="16" t="s">
        <v>12</v>
      </c>
      <c r="J159" s="17"/>
      <c r="K159" s="16" t="s">
        <v>36</v>
      </c>
      <c r="L159" s="16" t="s">
        <v>3213</v>
      </c>
      <c r="M159" s="108">
        <v>44848.0</v>
      </c>
      <c r="N159" s="109">
        <f t="shared" si="5"/>
        <v>3.411111111</v>
      </c>
      <c r="O159" s="111"/>
      <c r="P159" s="16" t="s">
        <v>3136</v>
      </c>
      <c r="Q159" s="17"/>
      <c r="R159" s="17"/>
      <c r="S159" s="17"/>
      <c r="T159" s="16" t="s">
        <v>2376</v>
      </c>
      <c r="U159" s="17"/>
      <c r="V159" s="17"/>
      <c r="W159" s="17"/>
      <c r="X159" s="17"/>
      <c r="Y159" s="17"/>
      <c r="Z159" s="17"/>
      <c r="AA159" s="17"/>
      <c r="AB159" s="17"/>
      <c r="AC159" s="16" t="e">
        <v>#N/A</v>
      </c>
      <c r="AD159" s="16" t="s">
        <v>3179</v>
      </c>
      <c r="AE159" s="16" t="s">
        <v>3180</v>
      </c>
      <c r="AF159" s="17"/>
      <c r="AG159" s="16">
        <v>4.500000469E9</v>
      </c>
      <c r="AH159" s="116" t="s">
        <v>3295</v>
      </c>
      <c r="AI159" s="11"/>
    </row>
    <row r="160">
      <c r="A160" s="105" t="str">
        <f t="shared" si="6"/>
        <v>#REF!</v>
      </c>
      <c r="B160" s="106" t="s">
        <v>2378</v>
      </c>
      <c r="C160" s="106" t="s">
        <v>2379</v>
      </c>
      <c r="D160" s="106" t="s">
        <v>2380</v>
      </c>
      <c r="E160" s="106" t="s">
        <v>3106</v>
      </c>
      <c r="F160" s="106" t="s">
        <v>1960</v>
      </c>
      <c r="G160" s="106" t="s">
        <v>2131</v>
      </c>
      <c r="H160" s="107"/>
      <c r="I160" s="16" t="s">
        <v>12</v>
      </c>
      <c r="J160" s="17"/>
      <c r="K160" s="16" t="s">
        <v>13</v>
      </c>
      <c r="L160" s="16" t="s">
        <v>2131</v>
      </c>
      <c r="M160" s="108">
        <v>44376.0</v>
      </c>
      <c r="N160" s="109">
        <f t="shared" si="5"/>
        <v>4.702777778</v>
      </c>
      <c r="O160" s="17"/>
      <c r="P160" s="16" t="s">
        <v>3136</v>
      </c>
      <c r="Q160" s="111"/>
      <c r="R160" s="17"/>
      <c r="S160" s="17"/>
      <c r="T160" s="16" t="s">
        <v>2378</v>
      </c>
      <c r="U160" s="17"/>
      <c r="V160" s="17"/>
      <c r="W160" s="17"/>
      <c r="X160" s="17"/>
      <c r="Y160" s="17"/>
      <c r="Z160" s="17"/>
      <c r="AA160" s="17"/>
      <c r="AB160" s="17"/>
      <c r="AC160" s="16" t="e">
        <v>#N/A</v>
      </c>
      <c r="AD160" s="16" t="s">
        <v>3296</v>
      </c>
      <c r="AE160" s="16" t="s">
        <v>3236</v>
      </c>
      <c r="AF160" s="17"/>
      <c r="AG160" s="16">
        <v>5.0004153E7</v>
      </c>
      <c r="AH160" s="17"/>
      <c r="AI160" s="11"/>
    </row>
    <row r="161">
      <c r="A161" s="105" t="str">
        <f t="shared" si="6"/>
        <v>#REF!</v>
      </c>
      <c r="B161" s="106" t="s">
        <v>2381</v>
      </c>
      <c r="C161" s="106" t="s">
        <v>2382</v>
      </c>
      <c r="D161" s="106" t="s">
        <v>2383</v>
      </c>
      <c r="E161" s="106" t="s">
        <v>3106</v>
      </c>
      <c r="F161" s="106" t="s">
        <v>1960</v>
      </c>
      <c r="G161" s="106" t="s">
        <v>2131</v>
      </c>
      <c r="H161" s="107"/>
      <c r="I161" s="16" t="s">
        <v>2363</v>
      </c>
      <c r="J161" s="17"/>
      <c r="K161" s="16" t="s">
        <v>13</v>
      </c>
      <c r="L161" s="16" t="s">
        <v>2131</v>
      </c>
      <c r="M161" s="108">
        <v>44376.0</v>
      </c>
      <c r="N161" s="109">
        <f t="shared" si="5"/>
        <v>4.702777778</v>
      </c>
      <c r="O161" s="111"/>
      <c r="P161" s="16" t="s">
        <v>3136</v>
      </c>
      <c r="Q161" s="122">
        <v>45484.0</v>
      </c>
      <c r="R161" s="17"/>
      <c r="S161" s="17"/>
      <c r="T161" s="16" t="s">
        <v>2381</v>
      </c>
      <c r="U161" s="17"/>
      <c r="V161" s="17"/>
      <c r="W161" s="17"/>
      <c r="X161" s="17"/>
      <c r="Y161" s="17"/>
      <c r="Z161" s="17"/>
      <c r="AA161" s="17"/>
      <c r="AB161" s="17"/>
      <c r="AC161" s="16" t="s">
        <v>3297</v>
      </c>
      <c r="AD161" s="16" t="s">
        <v>3298</v>
      </c>
      <c r="AE161" s="16" t="s">
        <v>3150</v>
      </c>
      <c r="AF161" s="17"/>
      <c r="AG161" s="16">
        <v>5.0004153E7</v>
      </c>
      <c r="AH161" s="17"/>
      <c r="AI161" s="11"/>
    </row>
    <row r="162">
      <c r="A162" s="105" t="str">
        <f t="shared" si="6"/>
        <v>#REF!</v>
      </c>
      <c r="B162" s="106" t="s">
        <v>2384</v>
      </c>
      <c r="C162" s="106">
        <v>6.001984E7</v>
      </c>
      <c r="D162" s="106" t="s">
        <v>2385</v>
      </c>
      <c r="E162" s="106" t="s">
        <v>3106</v>
      </c>
      <c r="F162" s="106" t="s">
        <v>1960</v>
      </c>
      <c r="G162" s="106" t="s">
        <v>2233</v>
      </c>
      <c r="H162" s="107"/>
      <c r="I162" s="16" t="s">
        <v>12</v>
      </c>
      <c r="J162" s="17"/>
      <c r="K162" s="16" t="s">
        <v>36</v>
      </c>
      <c r="L162" s="16" t="s">
        <v>3213</v>
      </c>
      <c r="M162" s="108">
        <v>44848.0</v>
      </c>
      <c r="N162" s="109">
        <f t="shared" si="5"/>
        <v>3.411111111</v>
      </c>
      <c r="O162" s="111"/>
      <c r="P162" s="16" t="s">
        <v>3136</v>
      </c>
      <c r="Q162" s="17"/>
      <c r="R162" s="17"/>
      <c r="S162" s="17"/>
      <c r="T162" s="16" t="s">
        <v>2384</v>
      </c>
      <c r="U162" s="17"/>
      <c r="V162" s="17"/>
      <c r="W162" s="17"/>
      <c r="X162" s="17"/>
      <c r="Y162" s="17"/>
      <c r="Z162" s="17"/>
      <c r="AA162" s="17"/>
      <c r="AB162" s="17"/>
      <c r="AC162" s="16" t="e">
        <v>#N/A</v>
      </c>
      <c r="AD162" s="16" t="s">
        <v>3299</v>
      </c>
      <c r="AE162" s="16" t="s">
        <v>3211</v>
      </c>
      <c r="AF162" s="17"/>
      <c r="AG162" s="16">
        <v>4.500000469E9</v>
      </c>
      <c r="AH162" s="17"/>
      <c r="AI162" s="11"/>
    </row>
    <row r="163">
      <c r="A163" s="105" t="str">
        <f t="shared" si="6"/>
        <v>#REF!</v>
      </c>
      <c r="B163" s="106" t="s">
        <v>2386</v>
      </c>
      <c r="C163" s="106">
        <v>6.0019064E7</v>
      </c>
      <c r="D163" s="106" t="s">
        <v>2387</v>
      </c>
      <c r="E163" s="106" t="s">
        <v>3106</v>
      </c>
      <c r="F163" s="106" t="s">
        <v>1960</v>
      </c>
      <c r="G163" s="106" t="s">
        <v>2131</v>
      </c>
      <c r="H163" s="107"/>
      <c r="I163" s="16" t="s">
        <v>12</v>
      </c>
      <c r="J163" s="17"/>
      <c r="K163" s="16" t="s">
        <v>13</v>
      </c>
      <c r="L163" s="16" t="s">
        <v>3208</v>
      </c>
      <c r="M163" s="108">
        <v>44712.0</v>
      </c>
      <c r="N163" s="109">
        <f t="shared" si="5"/>
        <v>3.783333333</v>
      </c>
      <c r="O163" s="111"/>
      <c r="P163" s="16" t="s">
        <v>3136</v>
      </c>
      <c r="Q163" s="17"/>
      <c r="R163" s="17"/>
      <c r="S163" s="17"/>
      <c r="T163" s="16" t="s">
        <v>2386</v>
      </c>
      <c r="U163" s="17"/>
      <c r="V163" s="17"/>
      <c r="W163" s="17"/>
      <c r="X163" s="17"/>
      <c r="Y163" s="17"/>
      <c r="Z163" s="17"/>
      <c r="AA163" s="17"/>
      <c r="AB163" s="17"/>
      <c r="AC163" s="16" t="e">
        <v>#N/A</v>
      </c>
      <c r="AD163" s="16" t="s">
        <v>2926</v>
      </c>
      <c r="AE163" s="16" t="s">
        <v>3217</v>
      </c>
      <c r="AF163" s="17"/>
      <c r="AG163" s="16">
        <v>4.500000159E9</v>
      </c>
      <c r="AH163" s="17"/>
      <c r="AI163" s="11"/>
    </row>
    <row r="164">
      <c r="A164" s="105" t="str">
        <f t="shared" si="6"/>
        <v>#REF!</v>
      </c>
      <c r="B164" s="106" t="s">
        <v>2388</v>
      </c>
      <c r="C164" s="106">
        <v>6.0019836E7</v>
      </c>
      <c r="D164" s="106" t="s">
        <v>2389</v>
      </c>
      <c r="E164" s="106" t="s">
        <v>3106</v>
      </c>
      <c r="F164" s="106" t="s">
        <v>1960</v>
      </c>
      <c r="G164" s="106" t="s">
        <v>2227</v>
      </c>
      <c r="H164" s="107"/>
      <c r="I164" s="16" t="s">
        <v>12</v>
      </c>
      <c r="J164" s="17"/>
      <c r="K164" s="16" t="s">
        <v>36</v>
      </c>
      <c r="L164" s="16" t="s">
        <v>2818</v>
      </c>
      <c r="M164" s="108">
        <v>44848.0</v>
      </c>
      <c r="N164" s="109">
        <f t="shared" si="5"/>
        <v>3.411111111</v>
      </c>
      <c r="O164" s="17"/>
      <c r="P164" s="16" t="s">
        <v>3136</v>
      </c>
      <c r="Q164" s="17"/>
      <c r="R164" s="17"/>
      <c r="S164" s="17"/>
      <c r="T164" s="16" t="s">
        <v>2388</v>
      </c>
      <c r="U164" s="17"/>
      <c r="V164" s="17"/>
      <c r="W164" s="17"/>
      <c r="X164" s="17"/>
      <c r="Y164" s="17"/>
      <c r="Z164" s="17"/>
      <c r="AA164" s="17"/>
      <c r="AB164" s="17"/>
      <c r="AC164" s="16" t="e">
        <v>#N/A</v>
      </c>
      <c r="AD164" s="16" t="s">
        <v>3300</v>
      </c>
      <c r="AE164" s="16" t="s">
        <v>3193</v>
      </c>
      <c r="AF164" s="17"/>
      <c r="AG164" s="16">
        <v>4.500000469E9</v>
      </c>
      <c r="AH164" s="17"/>
      <c r="AI164" s="11"/>
    </row>
    <row r="165">
      <c r="A165" s="105" t="str">
        <f t="shared" si="6"/>
        <v>#REF!</v>
      </c>
      <c r="B165" s="106" t="s">
        <v>2390</v>
      </c>
      <c r="C165" s="106" t="s">
        <v>2391</v>
      </c>
      <c r="D165" s="106" t="s">
        <v>2392</v>
      </c>
      <c r="E165" s="106" t="s">
        <v>3106</v>
      </c>
      <c r="F165" s="106" t="s">
        <v>1960</v>
      </c>
      <c r="G165" s="106" t="s">
        <v>2131</v>
      </c>
      <c r="H165" s="107"/>
      <c r="I165" s="16" t="s">
        <v>12</v>
      </c>
      <c r="J165" s="17"/>
      <c r="K165" s="16" t="s">
        <v>13</v>
      </c>
      <c r="L165" s="16" t="s">
        <v>3208</v>
      </c>
      <c r="M165" s="108">
        <v>44544.0</v>
      </c>
      <c r="N165" s="109">
        <f t="shared" si="5"/>
        <v>4.244444444</v>
      </c>
      <c r="O165" s="111"/>
      <c r="P165" s="16" t="s">
        <v>3136</v>
      </c>
      <c r="Q165" s="17"/>
      <c r="R165" s="17"/>
      <c r="S165" s="17"/>
      <c r="T165" s="16" t="s">
        <v>2390</v>
      </c>
      <c r="U165" s="17"/>
      <c r="V165" s="17"/>
      <c r="W165" s="17"/>
      <c r="X165" s="17"/>
      <c r="Y165" s="17"/>
      <c r="Z165" s="17"/>
      <c r="AA165" s="17"/>
      <c r="AB165" s="17"/>
      <c r="AC165" s="16" t="e">
        <v>#N/A</v>
      </c>
      <c r="AD165" s="16" t="s">
        <v>3301</v>
      </c>
      <c r="AE165" s="16" t="s">
        <v>3171</v>
      </c>
      <c r="AF165" s="17"/>
      <c r="AG165" s="16">
        <v>5.0004309E7</v>
      </c>
      <c r="AH165" s="16" t="s">
        <v>3302</v>
      </c>
      <c r="AI165" s="11"/>
    </row>
    <row r="166">
      <c r="A166" s="105" t="str">
        <f t="shared" si="6"/>
        <v>#REF!</v>
      </c>
      <c r="B166" s="106" t="s">
        <v>2393</v>
      </c>
      <c r="C166" s="106">
        <v>6.001985E7</v>
      </c>
      <c r="D166" s="106" t="s">
        <v>2394</v>
      </c>
      <c r="E166" s="106" t="s">
        <v>3106</v>
      </c>
      <c r="F166" s="106" t="s">
        <v>1960</v>
      </c>
      <c r="G166" s="106" t="s">
        <v>2233</v>
      </c>
      <c r="H166" s="107"/>
      <c r="I166" s="16" t="s">
        <v>12</v>
      </c>
      <c r="J166" s="17"/>
      <c r="K166" s="16" t="s">
        <v>36</v>
      </c>
      <c r="L166" s="16" t="s">
        <v>3213</v>
      </c>
      <c r="M166" s="108">
        <v>44848.0</v>
      </c>
      <c r="N166" s="109">
        <f t="shared" si="5"/>
        <v>3.411111111</v>
      </c>
      <c r="O166" s="111"/>
      <c r="P166" s="16" t="s">
        <v>3136</v>
      </c>
      <c r="Q166" s="17"/>
      <c r="R166" s="17"/>
      <c r="S166" s="17"/>
      <c r="T166" s="16" t="s">
        <v>2393</v>
      </c>
      <c r="U166" s="17"/>
      <c r="V166" s="17"/>
      <c r="W166" s="17"/>
      <c r="X166" s="17"/>
      <c r="Y166" s="17"/>
      <c r="Z166" s="17"/>
      <c r="AA166" s="17"/>
      <c r="AB166" s="17"/>
      <c r="AC166" s="16" t="e">
        <v>#N/A</v>
      </c>
      <c r="AD166" s="16" t="s">
        <v>3303</v>
      </c>
      <c r="AE166" s="16" t="s">
        <v>3207</v>
      </c>
      <c r="AF166" s="17"/>
      <c r="AG166" s="16">
        <v>4.500000469E9</v>
      </c>
      <c r="AH166" s="17"/>
      <c r="AI166" s="11"/>
    </row>
    <row r="167">
      <c r="A167" s="105" t="str">
        <f t="shared" si="6"/>
        <v>#REF!</v>
      </c>
      <c r="B167" s="106" t="s">
        <v>2395</v>
      </c>
      <c r="C167" s="106" t="s">
        <v>2396</v>
      </c>
      <c r="D167" s="106" t="s">
        <v>2397</v>
      </c>
      <c r="E167" s="106" t="s">
        <v>3106</v>
      </c>
      <c r="F167" s="106" t="s">
        <v>1960</v>
      </c>
      <c r="G167" s="106" t="s">
        <v>2131</v>
      </c>
      <c r="H167" s="107"/>
      <c r="I167" s="16" t="s">
        <v>12</v>
      </c>
      <c r="J167" s="17"/>
      <c r="K167" s="16" t="s">
        <v>13</v>
      </c>
      <c r="L167" s="16" t="s">
        <v>2131</v>
      </c>
      <c r="M167" s="108">
        <v>44376.0</v>
      </c>
      <c r="N167" s="109">
        <f t="shared" si="5"/>
        <v>4.702777778</v>
      </c>
      <c r="O167" s="16" t="s">
        <v>2557</v>
      </c>
      <c r="P167" s="16" t="s">
        <v>3136</v>
      </c>
      <c r="Q167" s="17"/>
      <c r="R167" s="17"/>
      <c r="S167" s="17"/>
      <c r="T167" s="16" t="s">
        <v>2395</v>
      </c>
      <c r="U167" s="17"/>
      <c r="V167" s="17"/>
      <c r="W167" s="17"/>
      <c r="X167" s="17"/>
      <c r="Y167" s="17"/>
      <c r="Z167" s="17"/>
      <c r="AA167" s="17"/>
      <c r="AB167" s="17"/>
      <c r="AC167" s="16" t="s">
        <v>3304</v>
      </c>
      <c r="AD167" s="16" t="s">
        <v>3305</v>
      </c>
      <c r="AE167" s="16" t="s">
        <v>3150</v>
      </c>
      <c r="AF167" s="17"/>
      <c r="AG167" s="16">
        <v>5.0004153E7</v>
      </c>
      <c r="AH167" s="17"/>
      <c r="AI167" s="11"/>
    </row>
    <row r="168">
      <c r="A168" s="105" t="str">
        <f t="shared" si="6"/>
        <v>#REF!</v>
      </c>
      <c r="B168" s="106" t="s">
        <v>2398</v>
      </c>
      <c r="C168" s="106" t="s">
        <v>2399</v>
      </c>
      <c r="D168" s="106" t="s">
        <v>2400</v>
      </c>
      <c r="E168" s="106" t="s">
        <v>3106</v>
      </c>
      <c r="F168" s="106" t="s">
        <v>1960</v>
      </c>
      <c r="G168" s="106" t="s">
        <v>2131</v>
      </c>
      <c r="H168" s="107"/>
      <c r="I168" s="16" t="s">
        <v>12</v>
      </c>
      <c r="J168" s="17"/>
      <c r="K168" s="16" t="s">
        <v>13</v>
      </c>
      <c r="L168" s="16" t="s">
        <v>2131</v>
      </c>
      <c r="M168" s="108">
        <v>44376.0</v>
      </c>
      <c r="N168" s="109">
        <f t="shared" si="5"/>
        <v>4.702777778</v>
      </c>
      <c r="O168" s="111"/>
      <c r="P168" s="16" t="s">
        <v>3136</v>
      </c>
      <c r="Q168" s="17"/>
      <c r="R168" s="17"/>
      <c r="S168" s="17"/>
      <c r="T168" s="16" t="s">
        <v>2398</v>
      </c>
      <c r="U168" s="17"/>
      <c r="V168" s="17"/>
      <c r="W168" s="17"/>
      <c r="X168" s="17"/>
      <c r="Y168" s="17"/>
      <c r="Z168" s="17"/>
      <c r="AA168" s="17"/>
      <c r="AB168" s="17"/>
      <c r="AC168" s="16" t="e">
        <v>#N/A</v>
      </c>
      <c r="AD168" s="16" t="s">
        <v>3306</v>
      </c>
      <c r="AE168" s="16" t="s">
        <v>3150</v>
      </c>
      <c r="AF168" s="17"/>
      <c r="AG168" s="16">
        <v>5.0004153E7</v>
      </c>
      <c r="AH168" s="17"/>
      <c r="AI168" s="11"/>
    </row>
    <row r="169">
      <c r="A169" s="105" t="str">
        <f t="shared" si="6"/>
        <v>#REF!</v>
      </c>
      <c r="B169" s="106" t="s">
        <v>2401</v>
      </c>
      <c r="C169" s="106" t="s">
        <v>2402</v>
      </c>
      <c r="D169" s="106" t="s">
        <v>2403</v>
      </c>
      <c r="E169" s="106" t="s">
        <v>3106</v>
      </c>
      <c r="F169" s="106" t="s">
        <v>1960</v>
      </c>
      <c r="G169" s="106" t="s">
        <v>2220</v>
      </c>
      <c r="H169" s="107"/>
      <c r="I169" s="16" t="s">
        <v>2173</v>
      </c>
      <c r="J169" s="17"/>
      <c r="K169" s="16" t="s">
        <v>36</v>
      </c>
      <c r="L169" s="16" t="s">
        <v>2220</v>
      </c>
      <c r="M169" s="108">
        <v>44188.0</v>
      </c>
      <c r="N169" s="109">
        <f t="shared" si="5"/>
        <v>5.219444444</v>
      </c>
      <c r="O169" s="111"/>
      <c r="P169" s="16" t="s">
        <v>3136</v>
      </c>
      <c r="Q169" s="17"/>
      <c r="R169" s="17"/>
      <c r="S169" s="16" t="s">
        <v>3148</v>
      </c>
      <c r="T169" s="16" t="s">
        <v>2401</v>
      </c>
      <c r="U169" s="17"/>
      <c r="V169" s="17"/>
      <c r="W169" s="17"/>
      <c r="X169" s="17"/>
      <c r="Y169" s="17"/>
      <c r="Z169" s="17"/>
      <c r="AA169" s="17"/>
      <c r="AB169" s="17"/>
      <c r="AC169" s="16" t="e">
        <v>#N/A</v>
      </c>
      <c r="AD169" s="17"/>
      <c r="AE169" s="16" t="s">
        <v>3217</v>
      </c>
      <c r="AF169" s="17"/>
      <c r="AG169" s="16">
        <v>5.0036153E7</v>
      </c>
      <c r="AH169" s="17"/>
      <c r="AI169" s="11"/>
    </row>
    <row r="170">
      <c r="A170" s="105" t="str">
        <f t="shared" si="6"/>
        <v>#REF!</v>
      </c>
      <c r="B170" s="106" t="s">
        <v>2404</v>
      </c>
      <c r="C170" s="106">
        <v>6.001982E7</v>
      </c>
      <c r="D170" s="106" t="s">
        <v>2405</v>
      </c>
      <c r="E170" s="106" t="s">
        <v>3106</v>
      </c>
      <c r="F170" s="106" t="s">
        <v>1960</v>
      </c>
      <c r="G170" s="106" t="s">
        <v>2233</v>
      </c>
      <c r="H170" s="107"/>
      <c r="I170" s="16" t="s">
        <v>12</v>
      </c>
      <c r="J170" s="17"/>
      <c r="K170" s="16" t="s">
        <v>36</v>
      </c>
      <c r="L170" s="16" t="s">
        <v>3213</v>
      </c>
      <c r="M170" s="108">
        <v>44848.0</v>
      </c>
      <c r="N170" s="109">
        <f t="shared" si="5"/>
        <v>3.411111111</v>
      </c>
      <c r="O170" s="111"/>
      <c r="P170" s="16" t="s">
        <v>3136</v>
      </c>
      <c r="Q170" s="17"/>
      <c r="R170" s="17"/>
      <c r="S170" s="17"/>
      <c r="T170" s="16" t="s">
        <v>2404</v>
      </c>
      <c r="U170" s="17"/>
      <c r="V170" s="17"/>
      <c r="W170" s="17"/>
      <c r="X170" s="17"/>
      <c r="Y170" s="17"/>
      <c r="Z170" s="17"/>
      <c r="AA170" s="17"/>
      <c r="AB170" s="17"/>
      <c r="AC170" s="16" t="e">
        <v>#N/A</v>
      </c>
      <c r="AD170" s="16" t="s">
        <v>3307</v>
      </c>
      <c r="AE170" s="16" t="s">
        <v>3171</v>
      </c>
      <c r="AF170" s="17"/>
      <c r="AG170" s="16">
        <v>4.500000469E9</v>
      </c>
      <c r="AH170" s="17"/>
      <c r="AI170" s="11"/>
    </row>
    <row r="171">
      <c r="A171" s="105" t="str">
        <f t="shared" si="6"/>
        <v>#REF!</v>
      </c>
      <c r="B171" s="106" t="s">
        <v>2406</v>
      </c>
      <c r="C171" s="106" t="s">
        <v>2407</v>
      </c>
      <c r="D171" s="106" t="s">
        <v>2408</v>
      </c>
      <c r="E171" s="106" t="s">
        <v>3106</v>
      </c>
      <c r="F171" s="106" t="s">
        <v>1960</v>
      </c>
      <c r="G171" s="106" t="s">
        <v>2131</v>
      </c>
      <c r="H171" s="107"/>
      <c r="I171" s="16" t="s">
        <v>12</v>
      </c>
      <c r="J171" s="17"/>
      <c r="K171" s="16" t="s">
        <v>13</v>
      </c>
      <c r="L171" s="16" t="s">
        <v>2131</v>
      </c>
      <c r="M171" s="108">
        <v>44376.0</v>
      </c>
      <c r="N171" s="109">
        <f t="shared" si="5"/>
        <v>4.702777778</v>
      </c>
      <c r="O171" s="111"/>
      <c r="P171" s="16" t="s">
        <v>3136</v>
      </c>
      <c r="Q171" s="17"/>
      <c r="R171" s="17"/>
      <c r="S171" s="17"/>
      <c r="T171" s="16" t="s">
        <v>2406</v>
      </c>
      <c r="U171" s="17"/>
      <c r="V171" s="17"/>
      <c r="W171" s="17"/>
      <c r="X171" s="17"/>
      <c r="Y171" s="17"/>
      <c r="Z171" s="17"/>
      <c r="AA171" s="17"/>
      <c r="AB171" s="17"/>
      <c r="AC171" s="16" t="e">
        <v>#N/A</v>
      </c>
      <c r="AD171" s="16" t="s">
        <v>2997</v>
      </c>
      <c r="AE171" s="16" t="s">
        <v>3150</v>
      </c>
      <c r="AF171" s="17"/>
      <c r="AG171" s="16">
        <v>5.0004153E7</v>
      </c>
      <c r="AH171" s="17"/>
      <c r="AI171" s="11"/>
    </row>
    <row r="172">
      <c r="A172" s="105" t="str">
        <f t="shared" si="6"/>
        <v>#REF!</v>
      </c>
      <c r="B172" s="106" t="s">
        <v>2409</v>
      </c>
      <c r="C172" s="106">
        <v>6.0019858E7</v>
      </c>
      <c r="D172" s="106" t="s">
        <v>2410</v>
      </c>
      <c r="E172" s="106" t="s">
        <v>3106</v>
      </c>
      <c r="F172" s="106" t="s">
        <v>1960</v>
      </c>
      <c r="G172" s="106" t="s">
        <v>2227</v>
      </c>
      <c r="H172" s="107"/>
      <c r="I172" s="16" t="s">
        <v>12</v>
      </c>
      <c r="J172" s="17"/>
      <c r="K172" s="16" t="s">
        <v>36</v>
      </c>
      <c r="L172" s="16" t="s">
        <v>2818</v>
      </c>
      <c r="M172" s="108">
        <v>44848.0</v>
      </c>
      <c r="N172" s="109">
        <f t="shared" si="5"/>
        <v>3.411111111</v>
      </c>
      <c r="O172" s="111"/>
      <c r="P172" s="16" t="s">
        <v>3136</v>
      </c>
      <c r="Q172" s="17"/>
      <c r="R172" s="17"/>
      <c r="S172" s="17"/>
      <c r="T172" s="16" t="s">
        <v>2409</v>
      </c>
      <c r="U172" s="17"/>
      <c r="V172" s="17"/>
      <c r="W172" s="17"/>
      <c r="X172" s="17"/>
      <c r="Y172" s="17"/>
      <c r="Z172" s="17"/>
      <c r="AA172" s="17"/>
      <c r="AB172" s="17"/>
      <c r="AC172" s="16" t="e">
        <v>#N/A</v>
      </c>
      <c r="AD172" s="16" t="s">
        <v>3308</v>
      </c>
      <c r="AE172" s="16" t="s">
        <v>3226</v>
      </c>
      <c r="AF172" s="17"/>
      <c r="AG172" s="16">
        <v>4.500000469E9</v>
      </c>
      <c r="AH172" s="17"/>
      <c r="AI172" s="11"/>
    </row>
    <row r="173">
      <c r="A173" s="105" t="str">
        <f t="shared" si="6"/>
        <v>#REF!</v>
      </c>
      <c r="B173" s="106" t="s">
        <v>2411</v>
      </c>
      <c r="C173" s="106">
        <v>6.0019816E7</v>
      </c>
      <c r="D173" s="106" t="s">
        <v>2412</v>
      </c>
      <c r="E173" s="106" t="s">
        <v>3106</v>
      </c>
      <c r="F173" s="106" t="s">
        <v>1960</v>
      </c>
      <c r="G173" s="106" t="s">
        <v>2227</v>
      </c>
      <c r="H173" s="107"/>
      <c r="I173" s="16" t="s">
        <v>12</v>
      </c>
      <c r="J173" s="17"/>
      <c r="K173" s="16" t="s">
        <v>36</v>
      </c>
      <c r="L173" s="16" t="s">
        <v>2818</v>
      </c>
      <c r="M173" s="108">
        <v>44848.0</v>
      </c>
      <c r="N173" s="109">
        <f t="shared" si="5"/>
        <v>3.411111111</v>
      </c>
      <c r="O173" s="111"/>
      <c r="P173" s="16" t="s">
        <v>3136</v>
      </c>
      <c r="Q173" s="17"/>
      <c r="R173" s="17"/>
      <c r="S173" s="17"/>
      <c r="T173" s="16" t="s">
        <v>2411</v>
      </c>
      <c r="U173" s="17"/>
      <c r="V173" s="17"/>
      <c r="W173" s="17"/>
      <c r="X173" s="17"/>
      <c r="Y173" s="17"/>
      <c r="Z173" s="17"/>
      <c r="AA173" s="17"/>
      <c r="AB173" s="17"/>
      <c r="AC173" s="16" t="e">
        <v>#N/A</v>
      </c>
      <c r="AD173" s="16" t="s">
        <v>3309</v>
      </c>
      <c r="AE173" s="16" t="s">
        <v>3310</v>
      </c>
      <c r="AF173" s="17"/>
      <c r="AG173" s="16">
        <v>4.500000469E9</v>
      </c>
      <c r="AH173" s="17"/>
      <c r="AI173" s="11"/>
    </row>
    <row r="174">
      <c r="A174" s="105" t="str">
        <f t="shared" si="6"/>
        <v>#REF!</v>
      </c>
      <c r="B174" s="106" t="s">
        <v>2413</v>
      </c>
      <c r="C174" s="106">
        <v>6.0019846E7</v>
      </c>
      <c r="D174" s="106" t="s">
        <v>2414</v>
      </c>
      <c r="E174" s="106" t="s">
        <v>3106</v>
      </c>
      <c r="F174" s="106" t="s">
        <v>1960</v>
      </c>
      <c r="G174" s="106" t="s">
        <v>2233</v>
      </c>
      <c r="H174" s="107"/>
      <c r="I174" s="16" t="s">
        <v>12</v>
      </c>
      <c r="J174" s="17"/>
      <c r="K174" s="16" t="s">
        <v>36</v>
      </c>
      <c r="L174" s="16" t="s">
        <v>3213</v>
      </c>
      <c r="M174" s="108">
        <v>44848.0</v>
      </c>
      <c r="N174" s="109">
        <f t="shared" si="5"/>
        <v>3.411111111</v>
      </c>
      <c r="O174" s="17"/>
      <c r="P174" s="16" t="s">
        <v>3136</v>
      </c>
      <c r="Q174" s="17"/>
      <c r="R174" s="17"/>
      <c r="S174" s="17"/>
      <c r="T174" s="16" t="s">
        <v>2413</v>
      </c>
      <c r="U174" s="17"/>
      <c r="V174" s="17"/>
      <c r="W174" s="17"/>
      <c r="X174" s="17"/>
      <c r="Y174" s="17"/>
      <c r="Z174" s="17"/>
      <c r="AA174" s="17"/>
      <c r="AB174" s="17"/>
      <c r="AC174" s="16" t="s">
        <v>3311</v>
      </c>
      <c r="AD174" s="16" t="s">
        <v>3312</v>
      </c>
      <c r="AE174" s="16" t="s">
        <v>3211</v>
      </c>
      <c r="AF174" s="17"/>
      <c r="AG174" s="16">
        <v>4.500000469E9</v>
      </c>
      <c r="AH174" s="17"/>
      <c r="AI174" s="11"/>
    </row>
    <row r="175">
      <c r="A175" s="105" t="str">
        <f t="shared" si="6"/>
        <v>#REF!</v>
      </c>
      <c r="B175" s="106" t="s">
        <v>2415</v>
      </c>
      <c r="C175" s="106">
        <v>6.0019821E7</v>
      </c>
      <c r="D175" s="106" t="s">
        <v>2416</v>
      </c>
      <c r="E175" s="106" t="s">
        <v>3106</v>
      </c>
      <c r="F175" s="106" t="s">
        <v>1960</v>
      </c>
      <c r="G175" s="106" t="s">
        <v>2227</v>
      </c>
      <c r="H175" s="107"/>
      <c r="I175" s="16" t="s">
        <v>12</v>
      </c>
      <c r="J175" s="17"/>
      <c r="K175" s="16" t="s">
        <v>36</v>
      </c>
      <c r="L175" s="16" t="s">
        <v>2818</v>
      </c>
      <c r="M175" s="108">
        <v>44848.0</v>
      </c>
      <c r="N175" s="109">
        <f t="shared" si="5"/>
        <v>3.411111111</v>
      </c>
      <c r="O175" s="17"/>
      <c r="P175" s="16" t="s">
        <v>3136</v>
      </c>
      <c r="Q175" s="111"/>
      <c r="R175" s="17"/>
      <c r="S175" s="17"/>
      <c r="T175" s="16" t="s">
        <v>2415</v>
      </c>
      <c r="U175" s="17"/>
      <c r="V175" s="17"/>
      <c r="W175" s="17"/>
      <c r="X175" s="17"/>
      <c r="Y175" s="17"/>
      <c r="Z175" s="17"/>
      <c r="AA175" s="17"/>
      <c r="AB175" s="17"/>
      <c r="AC175" s="16" t="e">
        <v>#N/A</v>
      </c>
      <c r="AD175" s="16" t="s">
        <v>3313</v>
      </c>
      <c r="AE175" s="16" t="s">
        <v>3135</v>
      </c>
      <c r="AF175" s="17"/>
      <c r="AG175" s="16">
        <v>4.500000469E9</v>
      </c>
      <c r="AH175" s="17"/>
      <c r="AI175" s="11"/>
    </row>
    <row r="176">
      <c r="A176" s="105" t="str">
        <f t="shared" si="6"/>
        <v>#REF!</v>
      </c>
      <c r="B176" s="106" t="s">
        <v>2417</v>
      </c>
      <c r="C176" s="106" t="s">
        <v>2418</v>
      </c>
      <c r="D176" s="106" t="s">
        <v>2419</v>
      </c>
      <c r="E176" s="106" t="s">
        <v>3106</v>
      </c>
      <c r="F176" s="106" t="s">
        <v>1960</v>
      </c>
      <c r="G176" s="106" t="s">
        <v>2131</v>
      </c>
      <c r="H176" s="107"/>
      <c r="I176" s="16" t="s">
        <v>12</v>
      </c>
      <c r="J176" s="17"/>
      <c r="K176" s="16" t="s">
        <v>13</v>
      </c>
      <c r="L176" s="16" t="s">
        <v>2131</v>
      </c>
      <c r="M176" s="108">
        <v>44376.0</v>
      </c>
      <c r="N176" s="109">
        <f t="shared" si="5"/>
        <v>4.702777778</v>
      </c>
      <c r="O176" s="111"/>
      <c r="P176" s="16" t="s">
        <v>3136</v>
      </c>
      <c r="Q176" s="17"/>
      <c r="R176" s="17"/>
      <c r="S176" s="17"/>
      <c r="T176" s="16" t="s">
        <v>2417</v>
      </c>
      <c r="U176" s="17"/>
      <c r="V176" s="17"/>
      <c r="W176" s="17"/>
      <c r="X176" s="17"/>
      <c r="Y176" s="17"/>
      <c r="Z176" s="17"/>
      <c r="AA176" s="17"/>
      <c r="AB176" s="17"/>
      <c r="AC176" s="16" t="e">
        <v>#N/A</v>
      </c>
      <c r="AD176" s="16" t="s">
        <v>3314</v>
      </c>
      <c r="AE176" s="16" t="s">
        <v>3236</v>
      </c>
      <c r="AF176" s="17"/>
      <c r="AG176" s="16">
        <v>5.0004153E7</v>
      </c>
      <c r="AH176" s="17"/>
      <c r="AI176" s="11"/>
    </row>
    <row r="177">
      <c r="A177" s="105" t="str">
        <f t="shared" si="6"/>
        <v>#REF!</v>
      </c>
      <c r="B177" s="106" t="s">
        <v>2420</v>
      </c>
      <c r="C177" s="106">
        <v>6.0019847E7</v>
      </c>
      <c r="D177" s="106" t="s">
        <v>2421</v>
      </c>
      <c r="E177" s="106" t="s">
        <v>3106</v>
      </c>
      <c r="F177" s="106" t="s">
        <v>1960</v>
      </c>
      <c r="G177" s="106" t="s">
        <v>2233</v>
      </c>
      <c r="H177" s="107"/>
      <c r="I177" s="16" t="s">
        <v>12</v>
      </c>
      <c r="J177" s="17"/>
      <c r="K177" s="16" t="s">
        <v>36</v>
      </c>
      <c r="L177" s="16" t="s">
        <v>3213</v>
      </c>
      <c r="M177" s="108">
        <v>44848.0</v>
      </c>
      <c r="N177" s="109">
        <f t="shared" si="5"/>
        <v>3.411111111</v>
      </c>
      <c r="O177" s="111"/>
      <c r="P177" s="16" t="s">
        <v>3136</v>
      </c>
      <c r="Q177" s="17"/>
      <c r="R177" s="17"/>
      <c r="S177" s="17"/>
      <c r="T177" s="16" t="s">
        <v>2420</v>
      </c>
      <c r="U177" s="17"/>
      <c r="V177" s="17"/>
      <c r="W177" s="17"/>
      <c r="X177" s="17"/>
      <c r="Y177" s="17"/>
      <c r="Z177" s="17"/>
      <c r="AA177" s="17"/>
      <c r="AB177" s="17"/>
      <c r="AC177" s="16" t="e">
        <v>#N/A</v>
      </c>
      <c r="AD177" s="16" t="s">
        <v>3315</v>
      </c>
      <c r="AE177" s="16" t="s">
        <v>3211</v>
      </c>
      <c r="AF177" s="17"/>
      <c r="AG177" s="16">
        <v>4.500000469E9</v>
      </c>
      <c r="AH177" s="17"/>
      <c r="AI177" s="11"/>
    </row>
    <row r="178">
      <c r="A178" s="105" t="str">
        <f t="shared" si="6"/>
        <v>#REF!</v>
      </c>
      <c r="B178" s="106" t="s">
        <v>2422</v>
      </c>
      <c r="C178" s="106">
        <v>6.0019863E7</v>
      </c>
      <c r="D178" s="106" t="s">
        <v>2423</v>
      </c>
      <c r="E178" s="106" t="s">
        <v>3106</v>
      </c>
      <c r="F178" s="106" t="s">
        <v>1960</v>
      </c>
      <c r="G178" s="106" t="s">
        <v>2227</v>
      </c>
      <c r="H178" s="107"/>
      <c r="I178" s="16" t="s">
        <v>12</v>
      </c>
      <c r="J178" s="17"/>
      <c r="K178" s="16" t="s">
        <v>36</v>
      </c>
      <c r="L178" s="16" t="s">
        <v>2818</v>
      </c>
      <c r="M178" s="108">
        <v>44848.0</v>
      </c>
      <c r="N178" s="109">
        <f t="shared" si="5"/>
        <v>3.411111111</v>
      </c>
      <c r="O178" s="111"/>
      <c r="P178" s="16" t="s">
        <v>3136</v>
      </c>
      <c r="Q178" s="17"/>
      <c r="R178" s="17"/>
      <c r="S178" s="17"/>
      <c r="T178" s="16" t="s">
        <v>2422</v>
      </c>
      <c r="U178" s="17"/>
      <c r="V178" s="17"/>
      <c r="W178" s="17"/>
      <c r="X178" s="17"/>
      <c r="Y178" s="17"/>
      <c r="Z178" s="17"/>
      <c r="AA178" s="17"/>
      <c r="AB178" s="17"/>
      <c r="AC178" s="16" t="e">
        <v>#N/A</v>
      </c>
      <c r="AD178" s="16" t="s">
        <v>3316</v>
      </c>
      <c r="AE178" s="16" t="s">
        <v>3135</v>
      </c>
      <c r="AF178" s="17"/>
      <c r="AG178" s="16">
        <v>4.500000469E9</v>
      </c>
      <c r="AH178" s="17"/>
      <c r="AI178" s="11"/>
    </row>
    <row r="179">
      <c r="A179" s="105" t="str">
        <f t="shared" si="6"/>
        <v>#REF!</v>
      </c>
      <c r="B179" s="106" t="s">
        <v>2424</v>
      </c>
      <c r="C179" s="106" t="s">
        <v>2425</v>
      </c>
      <c r="D179" s="106" t="s">
        <v>2426</v>
      </c>
      <c r="E179" s="106" t="s">
        <v>3106</v>
      </c>
      <c r="F179" s="106" t="s">
        <v>1960</v>
      </c>
      <c r="G179" s="106" t="s">
        <v>2197</v>
      </c>
      <c r="H179" s="107"/>
      <c r="I179" s="16" t="s">
        <v>12</v>
      </c>
      <c r="J179" s="17"/>
      <c r="K179" s="16" t="s">
        <v>13</v>
      </c>
      <c r="L179" s="16" t="s">
        <v>2197</v>
      </c>
      <c r="M179" s="108">
        <v>44490.0</v>
      </c>
      <c r="N179" s="109">
        <f t="shared" si="5"/>
        <v>4.391666667</v>
      </c>
      <c r="O179" s="16" t="s">
        <v>3136</v>
      </c>
      <c r="P179" s="16" t="s">
        <v>3121</v>
      </c>
      <c r="Q179" s="16" t="s">
        <v>3317</v>
      </c>
      <c r="R179" s="17"/>
      <c r="S179" s="17"/>
      <c r="T179" s="16" t="s">
        <v>2424</v>
      </c>
      <c r="U179" s="17"/>
      <c r="V179" s="17"/>
      <c r="W179" s="17"/>
      <c r="X179" s="17"/>
      <c r="Y179" s="17"/>
      <c r="Z179" s="17"/>
      <c r="AA179" s="17"/>
      <c r="AB179" s="17"/>
      <c r="AC179" s="16" t="s">
        <v>3318</v>
      </c>
      <c r="AD179" s="16" t="s">
        <v>3319</v>
      </c>
      <c r="AE179" s="16" t="s">
        <v>3171</v>
      </c>
      <c r="AF179" s="17"/>
      <c r="AG179" s="16">
        <v>5.000428E7</v>
      </c>
      <c r="AH179" s="17"/>
      <c r="AI179" s="11"/>
    </row>
    <row r="180">
      <c r="A180" s="105" t="str">
        <f t="shared" si="6"/>
        <v>#REF!</v>
      </c>
      <c r="B180" s="106" t="s">
        <v>2427</v>
      </c>
      <c r="C180" s="106">
        <v>6.0019826E7</v>
      </c>
      <c r="D180" s="106" t="s">
        <v>2428</v>
      </c>
      <c r="E180" s="106" t="s">
        <v>3106</v>
      </c>
      <c r="F180" s="106" t="s">
        <v>1960</v>
      </c>
      <c r="G180" s="106" t="s">
        <v>2233</v>
      </c>
      <c r="H180" s="107"/>
      <c r="I180" s="16" t="s">
        <v>12</v>
      </c>
      <c r="J180" s="17"/>
      <c r="K180" s="16" t="s">
        <v>36</v>
      </c>
      <c r="L180" s="16" t="s">
        <v>3213</v>
      </c>
      <c r="M180" s="108">
        <v>44848.0</v>
      </c>
      <c r="N180" s="109">
        <f t="shared" si="5"/>
        <v>3.411111111</v>
      </c>
      <c r="O180" s="111"/>
      <c r="P180" s="16" t="s">
        <v>3136</v>
      </c>
      <c r="Q180" s="17"/>
      <c r="R180" s="17"/>
      <c r="S180" s="17"/>
      <c r="T180" s="16" t="s">
        <v>2427</v>
      </c>
      <c r="U180" s="17"/>
      <c r="V180" s="17"/>
      <c r="W180" s="17"/>
      <c r="X180" s="17"/>
      <c r="Y180" s="17"/>
      <c r="Z180" s="17"/>
      <c r="AA180" s="17"/>
      <c r="AB180" s="17"/>
      <c r="AC180" s="16" t="e">
        <v>#N/A</v>
      </c>
      <c r="AD180" s="16" t="s">
        <v>3320</v>
      </c>
      <c r="AE180" s="16" t="s">
        <v>3321</v>
      </c>
      <c r="AF180" s="17"/>
      <c r="AG180" s="16">
        <v>4.500000469E9</v>
      </c>
      <c r="AH180" s="17"/>
      <c r="AI180" s="11"/>
    </row>
    <row r="181">
      <c r="A181" s="105" t="str">
        <f t="shared" si="6"/>
        <v>#REF!</v>
      </c>
      <c r="B181" s="106" t="s">
        <v>2429</v>
      </c>
      <c r="C181" s="106">
        <v>6.0019853E7</v>
      </c>
      <c r="D181" s="106" t="s">
        <v>2430</v>
      </c>
      <c r="E181" s="106" t="s">
        <v>3106</v>
      </c>
      <c r="F181" s="106" t="s">
        <v>1960</v>
      </c>
      <c r="G181" s="106" t="s">
        <v>2233</v>
      </c>
      <c r="H181" s="107"/>
      <c r="I181" s="16" t="s">
        <v>12</v>
      </c>
      <c r="J181" s="17"/>
      <c r="K181" s="16" t="s">
        <v>36</v>
      </c>
      <c r="L181" s="16" t="s">
        <v>3213</v>
      </c>
      <c r="M181" s="108">
        <v>44848.0</v>
      </c>
      <c r="N181" s="109">
        <f t="shared" si="5"/>
        <v>3.411111111</v>
      </c>
      <c r="O181" s="111"/>
      <c r="P181" s="16" t="s">
        <v>3136</v>
      </c>
      <c r="Q181" s="17"/>
      <c r="R181" s="17"/>
      <c r="S181" s="17"/>
      <c r="T181" s="16" t="s">
        <v>2429</v>
      </c>
      <c r="U181" s="17"/>
      <c r="V181" s="17"/>
      <c r="W181" s="17"/>
      <c r="X181" s="17"/>
      <c r="Y181" s="17"/>
      <c r="Z181" s="17"/>
      <c r="AA181" s="17"/>
      <c r="AB181" s="17"/>
      <c r="AC181" s="16" t="e">
        <v>#N/A</v>
      </c>
      <c r="AD181" s="16" t="s">
        <v>3322</v>
      </c>
      <c r="AE181" s="16" t="s">
        <v>3207</v>
      </c>
      <c r="AF181" s="17"/>
      <c r="AG181" s="16">
        <v>4.500000469E9</v>
      </c>
      <c r="AH181" s="17"/>
      <c r="AI181" s="11"/>
    </row>
    <row r="182">
      <c r="A182" s="105" t="str">
        <f t="shared" si="6"/>
        <v>#REF!</v>
      </c>
      <c r="B182" s="106" t="s">
        <v>2431</v>
      </c>
      <c r="C182" s="106">
        <v>6.0019844E7</v>
      </c>
      <c r="D182" s="106" t="s">
        <v>2432</v>
      </c>
      <c r="E182" s="106" t="s">
        <v>3106</v>
      </c>
      <c r="F182" s="106" t="s">
        <v>1960</v>
      </c>
      <c r="G182" s="106" t="s">
        <v>2233</v>
      </c>
      <c r="H182" s="107"/>
      <c r="I182" s="16" t="s">
        <v>12</v>
      </c>
      <c r="J182" s="17"/>
      <c r="K182" s="16" t="s">
        <v>36</v>
      </c>
      <c r="L182" s="16" t="s">
        <v>3213</v>
      </c>
      <c r="M182" s="108">
        <v>44848.0</v>
      </c>
      <c r="N182" s="109">
        <f t="shared" si="5"/>
        <v>3.411111111</v>
      </c>
      <c r="O182" s="16" t="s">
        <v>2557</v>
      </c>
      <c r="P182" s="16" t="s">
        <v>3136</v>
      </c>
      <c r="Q182" s="115">
        <v>45251.0</v>
      </c>
      <c r="R182" s="17"/>
      <c r="S182" s="17"/>
      <c r="T182" s="16" t="s">
        <v>2431</v>
      </c>
      <c r="U182" s="17"/>
      <c r="V182" s="17"/>
      <c r="W182" s="17"/>
      <c r="X182" s="17"/>
      <c r="Y182" s="17"/>
      <c r="Z182" s="17"/>
      <c r="AA182" s="17"/>
      <c r="AB182" s="17"/>
      <c r="AC182" s="16" t="s">
        <v>3323</v>
      </c>
      <c r="AD182" s="16" t="s">
        <v>3324</v>
      </c>
      <c r="AE182" s="17"/>
      <c r="AF182" s="17"/>
      <c r="AG182" s="16">
        <v>4.500000469E9</v>
      </c>
      <c r="AH182" s="16" t="s">
        <v>3325</v>
      </c>
      <c r="AI182" s="11"/>
    </row>
    <row r="183">
      <c r="A183" s="105" t="str">
        <f t="shared" si="6"/>
        <v>#REF!</v>
      </c>
      <c r="B183" s="106" t="s">
        <v>2433</v>
      </c>
      <c r="C183" s="106">
        <v>6.0019876E7</v>
      </c>
      <c r="D183" s="106" t="s">
        <v>2434</v>
      </c>
      <c r="E183" s="106" t="s">
        <v>3106</v>
      </c>
      <c r="F183" s="106" t="s">
        <v>1960</v>
      </c>
      <c r="G183" s="106" t="s">
        <v>2233</v>
      </c>
      <c r="H183" s="107"/>
      <c r="I183" s="16" t="s">
        <v>12</v>
      </c>
      <c r="J183" s="17"/>
      <c r="K183" s="16" t="s">
        <v>36</v>
      </c>
      <c r="L183" s="16" t="s">
        <v>3213</v>
      </c>
      <c r="M183" s="108">
        <v>44848.0</v>
      </c>
      <c r="N183" s="109">
        <f t="shared" si="5"/>
        <v>3.411111111</v>
      </c>
      <c r="O183" s="111"/>
      <c r="P183" s="16" t="s">
        <v>3136</v>
      </c>
      <c r="Q183" s="17"/>
      <c r="R183" s="17"/>
      <c r="S183" s="17"/>
      <c r="T183" s="16" t="s">
        <v>2433</v>
      </c>
      <c r="U183" s="17"/>
      <c r="V183" s="17"/>
      <c r="W183" s="17"/>
      <c r="X183" s="17"/>
      <c r="Y183" s="17"/>
      <c r="Z183" s="17"/>
      <c r="AA183" s="17"/>
      <c r="AB183" s="17"/>
      <c r="AC183" s="16" t="e">
        <v>#N/A</v>
      </c>
      <c r="AD183" s="16" t="s">
        <v>3326</v>
      </c>
      <c r="AE183" s="16" t="s">
        <v>3151</v>
      </c>
      <c r="AF183" s="17"/>
      <c r="AG183" s="16">
        <v>4.500000469E9</v>
      </c>
      <c r="AH183" s="17"/>
      <c r="AI183" s="11"/>
    </row>
    <row r="184">
      <c r="A184" s="105" t="str">
        <f t="shared" si="6"/>
        <v>#REF!</v>
      </c>
      <c r="B184" s="106" t="s">
        <v>2435</v>
      </c>
      <c r="C184" s="106">
        <v>6.0019818E7</v>
      </c>
      <c r="D184" s="106" t="s">
        <v>2436</v>
      </c>
      <c r="E184" s="106" t="s">
        <v>3106</v>
      </c>
      <c r="F184" s="106" t="s">
        <v>1960</v>
      </c>
      <c r="G184" s="106" t="s">
        <v>2233</v>
      </c>
      <c r="H184" s="107"/>
      <c r="I184" s="16" t="s">
        <v>12</v>
      </c>
      <c r="J184" s="17"/>
      <c r="K184" s="16" t="s">
        <v>36</v>
      </c>
      <c r="L184" s="16" t="s">
        <v>3213</v>
      </c>
      <c r="M184" s="108">
        <v>44848.0</v>
      </c>
      <c r="N184" s="109">
        <f t="shared" si="5"/>
        <v>3.411111111</v>
      </c>
      <c r="O184" s="17"/>
      <c r="P184" s="16" t="s">
        <v>3136</v>
      </c>
      <c r="Q184" s="17"/>
      <c r="R184" s="17"/>
      <c r="S184" s="17"/>
      <c r="T184" s="16" t="s">
        <v>2435</v>
      </c>
      <c r="U184" s="17"/>
      <c r="V184" s="17"/>
      <c r="W184" s="17"/>
      <c r="X184" s="17"/>
      <c r="Y184" s="17"/>
      <c r="Z184" s="17"/>
      <c r="AA184" s="17"/>
      <c r="AB184" s="17"/>
      <c r="AC184" s="16" t="e">
        <v>#N/A</v>
      </c>
      <c r="AD184" s="16" t="s">
        <v>3327</v>
      </c>
      <c r="AE184" s="16" t="s">
        <v>3151</v>
      </c>
      <c r="AF184" s="17"/>
      <c r="AG184" s="16">
        <v>4.500000469E9</v>
      </c>
      <c r="AH184" s="17"/>
      <c r="AI184" s="11"/>
    </row>
    <row r="185">
      <c r="A185" s="105" t="str">
        <f t="shared" si="6"/>
        <v>#REF!</v>
      </c>
      <c r="B185" s="106" t="s">
        <v>2437</v>
      </c>
      <c r="C185" s="106">
        <v>6.0019845E7</v>
      </c>
      <c r="D185" s="106" t="s">
        <v>2438</v>
      </c>
      <c r="E185" s="106" t="s">
        <v>3106</v>
      </c>
      <c r="F185" s="106" t="s">
        <v>1960</v>
      </c>
      <c r="G185" s="106" t="s">
        <v>2233</v>
      </c>
      <c r="H185" s="107"/>
      <c r="I185" s="16" t="s">
        <v>12</v>
      </c>
      <c r="J185" s="17"/>
      <c r="K185" s="16" t="s">
        <v>36</v>
      </c>
      <c r="L185" s="16" t="s">
        <v>3213</v>
      </c>
      <c r="M185" s="108">
        <v>44848.0</v>
      </c>
      <c r="N185" s="109">
        <f t="shared" si="5"/>
        <v>3.411111111</v>
      </c>
      <c r="O185" s="16" t="s">
        <v>2557</v>
      </c>
      <c r="P185" s="16" t="s">
        <v>3136</v>
      </c>
      <c r="Q185" s="123">
        <v>45475.0</v>
      </c>
      <c r="R185" s="17"/>
      <c r="S185" s="17"/>
      <c r="T185" s="16" t="s">
        <v>2437</v>
      </c>
      <c r="U185" s="17"/>
      <c r="V185" s="17"/>
      <c r="W185" s="17"/>
      <c r="X185" s="17"/>
      <c r="Y185" s="17"/>
      <c r="Z185" s="17"/>
      <c r="AA185" s="17"/>
      <c r="AB185" s="17"/>
      <c r="AC185" s="16" t="s">
        <v>3328</v>
      </c>
      <c r="AD185" s="16" t="s">
        <v>3329</v>
      </c>
      <c r="AE185" s="16" t="s">
        <v>3211</v>
      </c>
      <c r="AF185" s="17"/>
      <c r="AG185" s="16">
        <v>4.500000469E9</v>
      </c>
      <c r="AH185" s="16" t="s">
        <v>157</v>
      </c>
      <c r="AI185" s="11"/>
    </row>
    <row r="186">
      <c r="A186" s="105" t="str">
        <f t="shared" si="6"/>
        <v>#REF!</v>
      </c>
      <c r="B186" s="106" t="s">
        <v>2439</v>
      </c>
      <c r="C186" s="106" t="s">
        <v>2440</v>
      </c>
      <c r="D186" s="106" t="s">
        <v>2441</v>
      </c>
      <c r="E186" s="106" t="s">
        <v>3106</v>
      </c>
      <c r="F186" s="106" t="s">
        <v>1960</v>
      </c>
      <c r="G186" s="106" t="s">
        <v>2442</v>
      </c>
      <c r="H186" s="107"/>
      <c r="I186" s="16" t="s">
        <v>12</v>
      </c>
      <c r="J186" s="17"/>
      <c r="K186" s="16" t="s">
        <v>36</v>
      </c>
      <c r="L186" s="16" t="s">
        <v>3330</v>
      </c>
      <c r="M186" s="108">
        <v>44543.0</v>
      </c>
      <c r="N186" s="109">
        <f t="shared" si="5"/>
        <v>4.247222222</v>
      </c>
      <c r="O186" s="17"/>
      <c r="P186" s="16" t="s">
        <v>3136</v>
      </c>
      <c r="Q186" s="111"/>
      <c r="R186" s="17"/>
      <c r="S186" s="17"/>
      <c r="T186" s="16" t="s">
        <v>2439</v>
      </c>
      <c r="U186" s="17"/>
      <c r="V186" s="17"/>
      <c r="W186" s="17"/>
      <c r="X186" s="17"/>
      <c r="Y186" s="17"/>
      <c r="Z186" s="17"/>
      <c r="AA186" s="17"/>
      <c r="AB186" s="17"/>
      <c r="AC186" s="16" t="e">
        <v>#N/A</v>
      </c>
      <c r="AD186" s="16" t="s">
        <v>3331</v>
      </c>
      <c r="AE186" s="16" t="s">
        <v>3150</v>
      </c>
      <c r="AF186" s="17"/>
      <c r="AG186" s="16">
        <v>5.0004268E7</v>
      </c>
      <c r="AH186" s="16" t="s">
        <v>3195</v>
      </c>
      <c r="AI186" s="11"/>
    </row>
    <row r="187">
      <c r="A187" s="105" t="str">
        <f t="shared" si="6"/>
        <v>#REF!</v>
      </c>
      <c r="B187" s="106" t="s">
        <v>2443</v>
      </c>
      <c r="C187" s="106" t="s">
        <v>2444</v>
      </c>
      <c r="D187" s="106" t="s">
        <v>2445</v>
      </c>
      <c r="E187" s="106" t="s">
        <v>3106</v>
      </c>
      <c r="F187" s="106" t="s">
        <v>1960</v>
      </c>
      <c r="G187" s="106" t="s">
        <v>2131</v>
      </c>
      <c r="H187" s="107"/>
      <c r="I187" s="16" t="s">
        <v>12</v>
      </c>
      <c r="J187" s="17"/>
      <c r="K187" s="16" t="s">
        <v>13</v>
      </c>
      <c r="L187" s="16" t="s">
        <v>2131</v>
      </c>
      <c r="M187" s="108">
        <v>44376.0</v>
      </c>
      <c r="N187" s="109">
        <f t="shared" si="5"/>
        <v>4.702777778</v>
      </c>
      <c r="O187" s="17"/>
      <c r="P187" s="16" t="s">
        <v>3136</v>
      </c>
      <c r="Q187" s="17"/>
      <c r="R187" s="17"/>
      <c r="S187" s="17"/>
      <c r="T187" s="16" t="s">
        <v>2443</v>
      </c>
      <c r="U187" s="17"/>
      <c r="V187" s="17"/>
      <c r="W187" s="17"/>
      <c r="X187" s="17"/>
      <c r="Y187" s="17"/>
      <c r="Z187" s="17"/>
      <c r="AA187" s="17"/>
      <c r="AB187" s="17"/>
      <c r="AC187" s="16" t="e">
        <v>#N/A</v>
      </c>
      <c r="AD187" s="16" t="s">
        <v>3332</v>
      </c>
      <c r="AE187" s="16" t="s">
        <v>3150</v>
      </c>
      <c r="AF187" s="17"/>
      <c r="AG187" s="16">
        <v>5.0004153E7</v>
      </c>
      <c r="AH187" s="17"/>
      <c r="AI187" s="11"/>
    </row>
    <row r="188">
      <c r="A188" s="105" t="str">
        <f t="shared" si="6"/>
        <v>#REF!</v>
      </c>
      <c r="B188" s="106" t="s">
        <v>2446</v>
      </c>
      <c r="C188" s="106" t="s">
        <v>2447</v>
      </c>
      <c r="D188" s="106" t="s">
        <v>2448</v>
      </c>
      <c r="E188" s="106" t="s">
        <v>3106</v>
      </c>
      <c r="F188" s="106" t="s">
        <v>1960</v>
      </c>
      <c r="G188" s="106" t="s">
        <v>2131</v>
      </c>
      <c r="H188" s="107"/>
      <c r="I188" s="16" t="s">
        <v>12</v>
      </c>
      <c r="J188" s="17"/>
      <c r="K188" s="16" t="s">
        <v>13</v>
      </c>
      <c r="L188" s="16" t="s">
        <v>2131</v>
      </c>
      <c r="M188" s="108">
        <v>44376.0</v>
      </c>
      <c r="N188" s="109">
        <f t="shared" si="5"/>
        <v>4.702777778</v>
      </c>
      <c r="O188" s="17"/>
      <c r="P188" s="16" t="s">
        <v>3136</v>
      </c>
      <c r="Q188" s="111"/>
      <c r="R188" s="17"/>
      <c r="S188" s="17"/>
      <c r="T188" s="16" t="s">
        <v>2446</v>
      </c>
      <c r="U188" s="17"/>
      <c r="V188" s="17"/>
      <c r="W188" s="17"/>
      <c r="X188" s="17"/>
      <c r="Y188" s="17"/>
      <c r="Z188" s="17"/>
      <c r="AA188" s="17"/>
      <c r="AB188" s="17"/>
      <c r="AC188" s="16" t="e">
        <v>#N/A</v>
      </c>
      <c r="AD188" s="16" t="s">
        <v>3333</v>
      </c>
      <c r="AE188" s="16" t="s">
        <v>3236</v>
      </c>
      <c r="AF188" s="17"/>
      <c r="AG188" s="16">
        <v>5.0004153E7</v>
      </c>
      <c r="AH188" s="17"/>
      <c r="AI188" s="11"/>
    </row>
    <row r="189">
      <c r="A189" s="105" t="str">
        <f t="shared" si="6"/>
        <v>#REF!</v>
      </c>
      <c r="B189" s="106" t="s">
        <v>2449</v>
      </c>
      <c r="C189" s="106">
        <v>6.0019849E7</v>
      </c>
      <c r="D189" s="106" t="s">
        <v>2450</v>
      </c>
      <c r="E189" s="106" t="s">
        <v>3106</v>
      </c>
      <c r="F189" s="106" t="s">
        <v>1960</v>
      </c>
      <c r="G189" s="106" t="s">
        <v>2233</v>
      </c>
      <c r="H189" s="107"/>
      <c r="I189" s="16" t="s">
        <v>12</v>
      </c>
      <c r="J189" s="17"/>
      <c r="K189" s="16" t="s">
        <v>36</v>
      </c>
      <c r="L189" s="16" t="s">
        <v>3213</v>
      </c>
      <c r="M189" s="108">
        <v>44848.0</v>
      </c>
      <c r="N189" s="109">
        <f t="shared" si="5"/>
        <v>3.411111111</v>
      </c>
      <c r="O189" s="111"/>
      <c r="P189" s="16" t="s">
        <v>3136</v>
      </c>
      <c r="Q189" s="17"/>
      <c r="R189" s="17"/>
      <c r="S189" s="17"/>
      <c r="T189" s="16" t="s">
        <v>2449</v>
      </c>
      <c r="U189" s="17"/>
      <c r="V189" s="17"/>
      <c r="W189" s="17"/>
      <c r="X189" s="17"/>
      <c r="Y189" s="17"/>
      <c r="Z189" s="17"/>
      <c r="AA189" s="17"/>
      <c r="AB189" s="17"/>
      <c r="AC189" s="16" t="e">
        <v>#N/A</v>
      </c>
      <c r="AD189" s="16" t="s">
        <v>3334</v>
      </c>
      <c r="AE189" s="16" t="s">
        <v>3186</v>
      </c>
      <c r="AF189" s="17"/>
      <c r="AG189" s="16">
        <v>4.500000469E9</v>
      </c>
      <c r="AH189" s="17"/>
      <c r="AI189" s="11"/>
    </row>
    <row r="190">
      <c r="A190" s="105" t="str">
        <f t="shared" si="6"/>
        <v>#REF!</v>
      </c>
      <c r="B190" s="106" t="s">
        <v>2451</v>
      </c>
      <c r="C190" s="106">
        <v>6.0019866E7</v>
      </c>
      <c r="D190" s="106" t="s">
        <v>2452</v>
      </c>
      <c r="E190" s="106" t="s">
        <v>3106</v>
      </c>
      <c r="F190" s="106" t="s">
        <v>1960</v>
      </c>
      <c r="G190" s="106" t="s">
        <v>2233</v>
      </c>
      <c r="H190" s="107"/>
      <c r="I190" s="16" t="s">
        <v>12</v>
      </c>
      <c r="J190" s="17"/>
      <c r="K190" s="16" t="s">
        <v>36</v>
      </c>
      <c r="L190" s="16" t="s">
        <v>3213</v>
      </c>
      <c r="M190" s="108">
        <v>44848.0</v>
      </c>
      <c r="N190" s="109">
        <f t="shared" si="5"/>
        <v>3.411111111</v>
      </c>
      <c r="O190" s="111"/>
      <c r="P190" s="16" t="s">
        <v>3136</v>
      </c>
      <c r="Q190" s="17"/>
      <c r="R190" s="17"/>
      <c r="S190" s="17"/>
      <c r="T190" s="16" t="s">
        <v>2451</v>
      </c>
      <c r="U190" s="17"/>
      <c r="V190" s="17"/>
      <c r="W190" s="17"/>
      <c r="X190" s="17"/>
      <c r="Y190" s="17"/>
      <c r="Z190" s="17"/>
      <c r="AA190" s="17"/>
      <c r="AB190" s="17"/>
      <c r="AC190" s="16" t="e">
        <v>#N/A</v>
      </c>
      <c r="AD190" s="16" t="s">
        <v>3335</v>
      </c>
      <c r="AE190" s="16" t="s">
        <v>3138</v>
      </c>
      <c r="AF190" s="17"/>
      <c r="AG190" s="16">
        <v>4.500000469E9</v>
      </c>
      <c r="AH190" s="17"/>
      <c r="AI190" s="11"/>
    </row>
    <row r="191">
      <c r="A191" s="105" t="str">
        <f t="shared" si="6"/>
        <v>#REF!</v>
      </c>
      <c r="B191" s="106" t="s">
        <v>2453</v>
      </c>
      <c r="C191" s="106" t="s">
        <v>2454</v>
      </c>
      <c r="D191" s="106" t="s">
        <v>2455</v>
      </c>
      <c r="E191" s="106" t="s">
        <v>3106</v>
      </c>
      <c r="F191" s="106" t="s">
        <v>1960</v>
      </c>
      <c r="G191" s="106" t="s">
        <v>2220</v>
      </c>
      <c r="H191" s="107"/>
      <c r="I191" s="16" t="s">
        <v>12</v>
      </c>
      <c r="J191" s="17"/>
      <c r="K191" s="16" t="s">
        <v>36</v>
      </c>
      <c r="L191" s="16" t="s">
        <v>3202</v>
      </c>
      <c r="M191" s="108">
        <v>44188.0</v>
      </c>
      <c r="N191" s="109">
        <f t="shared" si="5"/>
        <v>5.219444444</v>
      </c>
      <c r="O191" s="17"/>
      <c r="P191" s="16" t="s">
        <v>3136</v>
      </c>
      <c r="Q191" s="111"/>
      <c r="R191" s="17"/>
      <c r="S191" s="17"/>
      <c r="T191" s="16" t="s">
        <v>2453</v>
      </c>
      <c r="U191" s="17"/>
      <c r="V191" s="17"/>
      <c r="W191" s="17"/>
      <c r="X191" s="17"/>
      <c r="Y191" s="17"/>
      <c r="Z191" s="17"/>
      <c r="AA191" s="17"/>
      <c r="AB191" s="17"/>
      <c r="AC191" s="16" t="e">
        <v>#N/A</v>
      </c>
      <c r="AD191" s="16" t="s">
        <v>3336</v>
      </c>
      <c r="AE191" s="16" t="s">
        <v>3243</v>
      </c>
      <c r="AF191" s="17"/>
      <c r="AG191" s="16">
        <v>5.0036153E7</v>
      </c>
      <c r="AH191" s="17"/>
      <c r="AI191" s="11"/>
    </row>
    <row r="192">
      <c r="A192" s="105" t="str">
        <f t="shared" si="6"/>
        <v>#REF!</v>
      </c>
      <c r="B192" s="106" t="s">
        <v>2456</v>
      </c>
      <c r="C192" s="106" t="s">
        <v>2457</v>
      </c>
      <c r="D192" s="106" t="s">
        <v>2458</v>
      </c>
      <c r="E192" s="106" t="s">
        <v>3106</v>
      </c>
      <c r="F192" s="106" t="s">
        <v>1960</v>
      </c>
      <c r="G192" s="106" t="s">
        <v>2020</v>
      </c>
      <c r="H192" s="107"/>
      <c r="I192" s="16" t="s">
        <v>12</v>
      </c>
      <c r="J192" s="17"/>
      <c r="K192" s="16" t="s">
        <v>79</v>
      </c>
      <c r="L192" s="16" t="s">
        <v>3120</v>
      </c>
      <c r="M192" s="108">
        <v>43446.0</v>
      </c>
      <c r="N192" s="109">
        <f t="shared" si="5"/>
        <v>7.25</v>
      </c>
      <c r="O192" s="111"/>
      <c r="P192" s="16" t="s">
        <v>3121</v>
      </c>
      <c r="Q192" s="16" t="s">
        <v>3337</v>
      </c>
      <c r="R192" s="17"/>
      <c r="S192" s="17"/>
      <c r="T192" s="16" t="s">
        <v>2456</v>
      </c>
      <c r="U192" s="17"/>
      <c r="V192" s="17"/>
      <c r="W192" s="17"/>
      <c r="X192" s="17"/>
      <c r="Y192" s="17"/>
      <c r="Z192" s="17"/>
      <c r="AA192" s="17"/>
      <c r="AB192" s="17"/>
      <c r="AC192" s="16" t="e">
        <v>#N/A</v>
      </c>
      <c r="AD192" s="16" t="s">
        <v>3338</v>
      </c>
      <c r="AE192" s="16" t="s">
        <v>3283</v>
      </c>
      <c r="AF192" s="17"/>
      <c r="AG192" s="16">
        <v>5.0004153E7</v>
      </c>
      <c r="AH192" s="16" t="s">
        <v>157</v>
      </c>
      <c r="AI192" s="124" t="s">
        <v>3339</v>
      </c>
    </row>
    <row r="193">
      <c r="A193" s="105" t="str">
        <f t="shared" si="6"/>
        <v>#REF!</v>
      </c>
      <c r="B193" s="106" t="s">
        <v>2459</v>
      </c>
      <c r="C193" s="106">
        <v>6.0019833E7</v>
      </c>
      <c r="D193" s="106" t="s">
        <v>2460</v>
      </c>
      <c r="E193" s="106" t="s">
        <v>3106</v>
      </c>
      <c r="F193" s="106" t="s">
        <v>1960</v>
      </c>
      <c r="G193" s="106" t="s">
        <v>2233</v>
      </c>
      <c r="H193" s="107"/>
      <c r="I193" s="16" t="s">
        <v>12</v>
      </c>
      <c r="J193" s="17"/>
      <c r="K193" s="16" t="s">
        <v>36</v>
      </c>
      <c r="L193" s="16" t="s">
        <v>3213</v>
      </c>
      <c r="M193" s="108">
        <v>44848.0</v>
      </c>
      <c r="N193" s="109">
        <f t="shared" si="5"/>
        <v>3.411111111</v>
      </c>
      <c r="O193" s="111"/>
      <c r="P193" s="16" t="s">
        <v>3136</v>
      </c>
      <c r="Q193" s="17"/>
      <c r="R193" s="17"/>
      <c r="S193" s="17"/>
      <c r="T193" s="16" t="s">
        <v>2459</v>
      </c>
      <c r="U193" s="17"/>
      <c r="V193" s="17"/>
      <c r="W193" s="17"/>
      <c r="X193" s="17"/>
      <c r="Y193" s="17"/>
      <c r="Z193" s="17"/>
      <c r="AA193" s="17"/>
      <c r="AB193" s="17"/>
      <c r="AC193" s="16" t="s">
        <v>3340</v>
      </c>
      <c r="AD193" s="16" t="s">
        <v>3177</v>
      </c>
      <c r="AE193" s="16" t="s">
        <v>3193</v>
      </c>
      <c r="AF193" s="17"/>
      <c r="AG193" s="16">
        <v>4.500000469E9</v>
      </c>
      <c r="AH193" s="17"/>
      <c r="AI193" s="11"/>
    </row>
    <row r="194">
      <c r="A194" s="105" t="str">
        <f t="shared" si="6"/>
        <v>#REF!</v>
      </c>
      <c r="B194" s="106" t="s">
        <v>2461</v>
      </c>
      <c r="C194" s="106">
        <v>6.0019867E7</v>
      </c>
      <c r="D194" s="106" t="s">
        <v>2462</v>
      </c>
      <c r="E194" s="106" t="s">
        <v>3106</v>
      </c>
      <c r="F194" s="106" t="s">
        <v>1960</v>
      </c>
      <c r="G194" s="106" t="s">
        <v>2233</v>
      </c>
      <c r="H194" s="107"/>
      <c r="I194" s="16" t="s">
        <v>12</v>
      </c>
      <c r="J194" s="17"/>
      <c r="K194" s="16" t="s">
        <v>36</v>
      </c>
      <c r="L194" s="16" t="s">
        <v>3213</v>
      </c>
      <c r="M194" s="108">
        <v>44848.0</v>
      </c>
      <c r="N194" s="109">
        <f t="shared" si="5"/>
        <v>3.411111111</v>
      </c>
      <c r="O194" s="111"/>
      <c r="P194" s="16" t="s">
        <v>3136</v>
      </c>
      <c r="Q194" s="17"/>
      <c r="R194" s="17"/>
      <c r="S194" s="17"/>
      <c r="T194" s="16" t="s">
        <v>2461</v>
      </c>
      <c r="U194" s="17"/>
      <c r="V194" s="17"/>
      <c r="W194" s="17"/>
      <c r="X194" s="17"/>
      <c r="Y194" s="17"/>
      <c r="Z194" s="17"/>
      <c r="AA194" s="17"/>
      <c r="AB194" s="17"/>
      <c r="AC194" s="16" t="e">
        <v>#N/A</v>
      </c>
      <c r="AD194" s="16" t="s">
        <v>3341</v>
      </c>
      <c r="AE194" s="16" t="s">
        <v>3138</v>
      </c>
      <c r="AF194" s="17"/>
      <c r="AG194" s="16">
        <v>4.500000469E9</v>
      </c>
      <c r="AH194" s="17"/>
      <c r="AI194" s="11"/>
    </row>
    <row r="195">
      <c r="A195" s="105" t="str">
        <f t="shared" si="6"/>
        <v>#REF!</v>
      </c>
      <c r="B195" s="106" t="s">
        <v>2463</v>
      </c>
      <c r="C195" s="106" t="s">
        <v>2464</v>
      </c>
      <c r="D195" s="106" t="s">
        <v>2465</v>
      </c>
      <c r="E195" s="106" t="s">
        <v>3106</v>
      </c>
      <c r="F195" s="106" t="s">
        <v>1960</v>
      </c>
      <c r="G195" s="106" t="s">
        <v>2116</v>
      </c>
      <c r="H195" s="107"/>
      <c r="I195" s="16" t="s">
        <v>12</v>
      </c>
      <c r="J195" s="17"/>
      <c r="K195" s="16" t="s">
        <v>79</v>
      </c>
      <c r="L195" s="16" t="s">
        <v>2051</v>
      </c>
      <c r="M195" s="108">
        <v>43571.0</v>
      </c>
      <c r="N195" s="109">
        <f t="shared" si="5"/>
        <v>6.905555556</v>
      </c>
      <c r="O195" s="17"/>
      <c r="P195" s="16" t="s">
        <v>3136</v>
      </c>
      <c r="Q195" s="111"/>
      <c r="R195" s="17"/>
      <c r="S195" s="16" t="s">
        <v>3148</v>
      </c>
      <c r="T195" s="16" t="s">
        <v>2463</v>
      </c>
      <c r="U195" s="17"/>
      <c r="V195" s="17"/>
      <c r="W195" s="17"/>
      <c r="X195" s="17"/>
      <c r="Y195" s="17"/>
      <c r="Z195" s="17"/>
      <c r="AA195" s="17"/>
      <c r="AB195" s="17"/>
      <c r="AC195" s="16" t="e">
        <v>#N/A</v>
      </c>
      <c r="AD195" s="16" t="s">
        <v>3342</v>
      </c>
      <c r="AE195" s="16" t="s">
        <v>3106</v>
      </c>
      <c r="AF195" s="17"/>
      <c r="AG195" s="16">
        <v>5.0002996E7</v>
      </c>
      <c r="AH195" s="17"/>
      <c r="AI195" s="11"/>
    </row>
    <row r="196">
      <c r="A196" s="105" t="str">
        <f t="shared" si="6"/>
        <v>#REF!</v>
      </c>
      <c r="B196" s="106" t="s">
        <v>2466</v>
      </c>
      <c r="C196" s="106" t="s">
        <v>2467</v>
      </c>
      <c r="D196" s="106" t="s">
        <v>2468</v>
      </c>
      <c r="E196" s="106" t="s">
        <v>3106</v>
      </c>
      <c r="F196" s="106" t="s">
        <v>1960</v>
      </c>
      <c r="G196" s="106" t="s">
        <v>2220</v>
      </c>
      <c r="H196" s="107"/>
      <c r="I196" s="16" t="s">
        <v>12</v>
      </c>
      <c r="J196" s="17"/>
      <c r="K196" s="16" t="s">
        <v>36</v>
      </c>
      <c r="L196" s="16" t="s">
        <v>2220</v>
      </c>
      <c r="M196" s="108">
        <v>44188.0</v>
      </c>
      <c r="N196" s="109">
        <f t="shared" si="5"/>
        <v>5.219444444</v>
      </c>
      <c r="O196" s="111"/>
      <c r="P196" s="16" t="s">
        <v>3136</v>
      </c>
      <c r="Q196" s="17"/>
      <c r="R196" s="17"/>
      <c r="S196" s="17"/>
      <c r="T196" s="16" t="s">
        <v>2466</v>
      </c>
      <c r="U196" s="17"/>
      <c r="V196" s="17"/>
      <c r="W196" s="17"/>
      <c r="X196" s="17"/>
      <c r="Y196" s="17"/>
      <c r="Z196" s="17"/>
      <c r="AA196" s="17"/>
      <c r="AB196" s="17"/>
      <c r="AC196" s="16" t="e">
        <v>#N/A</v>
      </c>
      <c r="AD196" s="16" t="s">
        <v>3343</v>
      </c>
      <c r="AE196" s="16" t="s">
        <v>3204</v>
      </c>
      <c r="AF196" s="17"/>
      <c r="AG196" s="16">
        <v>5.0036153E7</v>
      </c>
      <c r="AH196" s="17"/>
      <c r="AI196" s="11"/>
    </row>
    <row r="197">
      <c r="A197" s="105" t="str">
        <f t="shared" si="6"/>
        <v>#REF!</v>
      </c>
      <c r="B197" s="106" t="s">
        <v>2469</v>
      </c>
      <c r="C197" s="106">
        <v>6.0019855E7</v>
      </c>
      <c r="D197" s="106" t="s">
        <v>2470</v>
      </c>
      <c r="E197" s="106" t="s">
        <v>3106</v>
      </c>
      <c r="F197" s="106" t="s">
        <v>1960</v>
      </c>
      <c r="G197" s="106" t="s">
        <v>2233</v>
      </c>
      <c r="H197" s="107"/>
      <c r="I197" s="16" t="s">
        <v>12</v>
      </c>
      <c r="J197" s="17"/>
      <c r="K197" s="16" t="s">
        <v>36</v>
      </c>
      <c r="L197" s="16" t="s">
        <v>3213</v>
      </c>
      <c r="M197" s="108">
        <v>44848.0</v>
      </c>
      <c r="N197" s="109">
        <f t="shared" si="5"/>
        <v>3.411111111</v>
      </c>
      <c r="O197" s="111"/>
      <c r="P197" s="16" t="s">
        <v>3136</v>
      </c>
      <c r="Q197" s="17"/>
      <c r="R197" s="17"/>
      <c r="S197" s="17"/>
      <c r="T197" s="16" t="s">
        <v>2469</v>
      </c>
      <c r="U197" s="17"/>
      <c r="V197" s="17"/>
      <c r="W197" s="17"/>
      <c r="X197" s="17"/>
      <c r="Y197" s="17"/>
      <c r="Z197" s="17"/>
      <c r="AA197" s="17"/>
      <c r="AB197" s="17"/>
      <c r="AC197" s="16" t="e">
        <v>#N/A</v>
      </c>
      <c r="AD197" s="16" t="s">
        <v>3344</v>
      </c>
      <c r="AE197" s="16" t="s">
        <v>3226</v>
      </c>
      <c r="AF197" s="17"/>
      <c r="AG197" s="16">
        <v>4.500000469E9</v>
      </c>
      <c r="AH197" s="17"/>
      <c r="AI197" s="11"/>
    </row>
    <row r="198">
      <c r="A198" s="105" t="str">
        <f t="shared" si="6"/>
        <v>#REF!</v>
      </c>
      <c r="B198" s="106" t="s">
        <v>2471</v>
      </c>
      <c r="C198" s="106" t="s">
        <v>2472</v>
      </c>
      <c r="D198" s="106" t="s">
        <v>2473</v>
      </c>
      <c r="E198" s="106" t="s">
        <v>3106</v>
      </c>
      <c r="F198" s="106" t="s">
        <v>2303</v>
      </c>
      <c r="G198" s="106" t="s">
        <v>2116</v>
      </c>
      <c r="H198" s="107"/>
      <c r="I198" s="16" t="s">
        <v>12</v>
      </c>
      <c r="J198" s="17"/>
      <c r="K198" s="16" t="s">
        <v>79</v>
      </c>
      <c r="L198" s="16" t="s">
        <v>2051</v>
      </c>
      <c r="M198" s="108">
        <v>43670.0</v>
      </c>
      <c r="N198" s="109">
        <f t="shared" si="5"/>
        <v>6.633333333</v>
      </c>
      <c r="O198" s="111"/>
      <c r="P198" s="16" t="s">
        <v>3136</v>
      </c>
      <c r="Q198" s="17"/>
      <c r="R198" s="17"/>
      <c r="S198" s="17"/>
      <c r="T198" s="16" t="s">
        <v>2471</v>
      </c>
      <c r="U198" s="17"/>
      <c r="V198" s="17"/>
      <c r="W198" s="17"/>
      <c r="X198" s="17"/>
      <c r="Y198" s="17"/>
      <c r="Z198" s="17"/>
      <c r="AA198" s="17"/>
      <c r="AB198" s="17"/>
      <c r="AC198" s="16" t="s">
        <v>3345</v>
      </c>
      <c r="AD198" s="16" t="e">
        <v>#N/A</v>
      </c>
      <c r="AE198" s="16" t="s">
        <v>3193</v>
      </c>
      <c r="AF198" s="17"/>
      <c r="AG198" s="16">
        <v>5.0003145E7</v>
      </c>
      <c r="AH198" s="16" t="s">
        <v>2842</v>
      </c>
      <c r="AI198" s="11"/>
    </row>
    <row r="199">
      <c r="A199" s="105" t="str">
        <f t="shared" si="6"/>
        <v>#REF!</v>
      </c>
      <c r="B199" s="106" t="s">
        <v>2474</v>
      </c>
      <c r="C199" s="106">
        <v>6.0019857E7</v>
      </c>
      <c r="D199" s="106" t="s">
        <v>2475</v>
      </c>
      <c r="E199" s="106" t="s">
        <v>3106</v>
      </c>
      <c r="F199" s="106" t="s">
        <v>1960</v>
      </c>
      <c r="G199" s="106" t="s">
        <v>2233</v>
      </c>
      <c r="H199" s="107"/>
      <c r="I199" s="16" t="s">
        <v>12</v>
      </c>
      <c r="J199" s="17"/>
      <c r="K199" s="16" t="s">
        <v>36</v>
      </c>
      <c r="L199" s="16" t="s">
        <v>3213</v>
      </c>
      <c r="M199" s="108">
        <v>44848.0</v>
      </c>
      <c r="N199" s="109">
        <f t="shared" si="5"/>
        <v>3.411111111</v>
      </c>
      <c r="O199" s="111"/>
      <c r="P199" s="16" t="s">
        <v>3136</v>
      </c>
      <c r="Q199" s="17"/>
      <c r="R199" s="17"/>
      <c r="S199" s="17"/>
      <c r="T199" s="16" t="s">
        <v>2474</v>
      </c>
      <c r="U199" s="17"/>
      <c r="V199" s="17"/>
      <c r="W199" s="17"/>
      <c r="X199" s="17"/>
      <c r="Y199" s="17"/>
      <c r="Z199" s="17"/>
      <c r="AA199" s="17"/>
      <c r="AB199" s="17"/>
      <c r="AC199" s="16" t="e">
        <v>#N/A</v>
      </c>
      <c r="AD199" s="16" t="s">
        <v>3346</v>
      </c>
      <c r="AE199" s="16" t="s">
        <v>3226</v>
      </c>
      <c r="AF199" s="17"/>
      <c r="AG199" s="16">
        <v>4.500000469E9</v>
      </c>
      <c r="AH199" s="17"/>
      <c r="AI199" s="11"/>
    </row>
    <row r="200">
      <c r="A200" s="105" t="str">
        <f t="shared" si="6"/>
        <v>#REF!</v>
      </c>
      <c r="B200" s="106" t="s">
        <v>2476</v>
      </c>
      <c r="C200" s="106">
        <v>6.0019879E7</v>
      </c>
      <c r="D200" s="106" t="s">
        <v>2477</v>
      </c>
      <c r="E200" s="106" t="s">
        <v>3106</v>
      </c>
      <c r="F200" s="106" t="s">
        <v>1960</v>
      </c>
      <c r="G200" s="106" t="s">
        <v>2227</v>
      </c>
      <c r="H200" s="107"/>
      <c r="I200" s="16" t="s">
        <v>12</v>
      </c>
      <c r="J200" s="17"/>
      <c r="K200" s="16" t="s">
        <v>36</v>
      </c>
      <c r="L200" s="16" t="s">
        <v>2818</v>
      </c>
      <c r="M200" s="108">
        <v>44848.0</v>
      </c>
      <c r="N200" s="109">
        <f t="shared" si="5"/>
        <v>3.411111111</v>
      </c>
      <c r="O200" s="111"/>
      <c r="P200" s="16" t="s">
        <v>3136</v>
      </c>
      <c r="Q200" s="17"/>
      <c r="R200" s="17"/>
      <c r="S200" s="17"/>
      <c r="T200" s="16" t="s">
        <v>2476</v>
      </c>
      <c r="U200" s="17"/>
      <c r="V200" s="17"/>
      <c r="W200" s="17"/>
      <c r="X200" s="17"/>
      <c r="Y200" s="17"/>
      <c r="Z200" s="17"/>
      <c r="AA200" s="17"/>
      <c r="AB200" s="17"/>
      <c r="AC200" s="16" t="e">
        <v>#N/A</v>
      </c>
      <c r="AD200" s="16" t="s">
        <v>2847</v>
      </c>
      <c r="AE200" s="16" t="s">
        <v>3106</v>
      </c>
      <c r="AF200" s="17"/>
      <c r="AG200" s="16">
        <v>4.500000469E9</v>
      </c>
      <c r="AH200" s="17"/>
      <c r="AI200" s="11"/>
    </row>
    <row r="201">
      <c r="A201" s="105" t="str">
        <f t="shared" si="6"/>
        <v>#REF!</v>
      </c>
      <c r="B201" s="106" t="s">
        <v>2478</v>
      </c>
      <c r="C201" s="106" t="s">
        <v>2479</v>
      </c>
      <c r="D201" s="106" t="s">
        <v>2480</v>
      </c>
      <c r="E201" s="106" t="s">
        <v>3106</v>
      </c>
      <c r="F201" s="106" t="s">
        <v>1960</v>
      </c>
      <c r="G201" s="106" t="s">
        <v>2131</v>
      </c>
      <c r="H201" s="107"/>
      <c r="I201" s="16" t="s">
        <v>12</v>
      </c>
      <c r="J201" s="17"/>
      <c r="K201" s="16" t="s">
        <v>13</v>
      </c>
      <c r="L201" s="16" t="s">
        <v>2131</v>
      </c>
      <c r="M201" s="108">
        <v>44376.0</v>
      </c>
      <c r="N201" s="109">
        <f t="shared" si="5"/>
        <v>4.702777778</v>
      </c>
      <c r="O201" s="111"/>
      <c r="P201" s="16" t="s">
        <v>3136</v>
      </c>
      <c r="Q201" s="17"/>
      <c r="R201" s="17"/>
      <c r="S201" s="17"/>
      <c r="T201" s="16" t="s">
        <v>2478</v>
      </c>
      <c r="U201" s="17"/>
      <c r="V201" s="17"/>
      <c r="W201" s="17"/>
      <c r="X201" s="17"/>
      <c r="Y201" s="17"/>
      <c r="Z201" s="17"/>
      <c r="AA201" s="17"/>
      <c r="AB201" s="17"/>
      <c r="AC201" s="16" t="e">
        <v>#N/A</v>
      </c>
      <c r="AD201" s="16" t="s">
        <v>3347</v>
      </c>
      <c r="AE201" s="16" t="s">
        <v>3150</v>
      </c>
      <c r="AF201" s="17"/>
      <c r="AG201" s="16">
        <v>5.0004153E7</v>
      </c>
      <c r="AH201" s="16" t="s">
        <v>3348</v>
      </c>
      <c r="AI201" s="11"/>
    </row>
    <row r="202">
      <c r="A202" s="105" t="str">
        <f t="shared" si="6"/>
        <v>#REF!</v>
      </c>
      <c r="B202" s="106" t="s">
        <v>2481</v>
      </c>
      <c r="C202" s="106">
        <v>6.0019834E7</v>
      </c>
      <c r="D202" s="106" t="s">
        <v>2482</v>
      </c>
      <c r="E202" s="106" t="s">
        <v>3106</v>
      </c>
      <c r="F202" s="106" t="s">
        <v>1960</v>
      </c>
      <c r="G202" s="106" t="s">
        <v>2233</v>
      </c>
      <c r="H202" s="107"/>
      <c r="I202" s="16" t="s">
        <v>12</v>
      </c>
      <c r="J202" s="17"/>
      <c r="K202" s="16" t="s">
        <v>36</v>
      </c>
      <c r="L202" s="16" t="s">
        <v>3213</v>
      </c>
      <c r="M202" s="108">
        <v>44848.0</v>
      </c>
      <c r="N202" s="109">
        <f t="shared" si="5"/>
        <v>3.411111111</v>
      </c>
      <c r="O202" s="111"/>
      <c r="P202" s="16" t="s">
        <v>3136</v>
      </c>
      <c r="Q202" s="17"/>
      <c r="R202" s="17"/>
      <c r="S202" s="17"/>
      <c r="T202" s="16" t="s">
        <v>2481</v>
      </c>
      <c r="U202" s="17"/>
      <c r="V202" s="17"/>
      <c r="W202" s="17"/>
      <c r="X202" s="17"/>
      <c r="Y202" s="17"/>
      <c r="Z202" s="17"/>
      <c r="AA202" s="17"/>
      <c r="AB202" s="17"/>
      <c r="AC202" s="16" t="e">
        <v>#N/A</v>
      </c>
      <c r="AD202" s="16" t="s">
        <v>3349</v>
      </c>
      <c r="AE202" s="16" t="s">
        <v>3141</v>
      </c>
      <c r="AF202" s="17"/>
      <c r="AG202" s="16">
        <v>4.500000469E9</v>
      </c>
      <c r="AH202" s="17"/>
      <c r="AI202" s="11"/>
    </row>
    <row r="203">
      <c r="A203" s="105" t="str">
        <f t="shared" si="6"/>
        <v>#REF!</v>
      </c>
      <c r="B203" s="106" t="s">
        <v>2483</v>
      </c>
      <c r="C203" s="106" t="s">
        <v>2484</v>
      </c>
      <c r="D203" s="106" t="s">
        <v>2485</v>
      </c>
      <c r="E203" s="106" t="s">
        <v>3106</v>
      </c>
      <c r="F203" s="106" t="s">
        <v>1960</v>
      </c>
      <c r="G203" s="106" t="s">
        <v>2116</v>
      </c>
      <c r="H203" s="107"/>
      <c r="I203" s="16" t="s">
        <v>12</v>
      </c>
      <c r="J203" s="17"/>
      <c r="K203" s="16" t="s">
        <v>79</v>
      </c>
      <c r="L203" s="16" t="s">
        <v>2051</v>
      </c>
      <c r="M203" s="108">
        <v>43571.0</v>
      </c>
      <c r="N203" s="109">
        <f t="shared" si="5"/>
        <v>6.905555556</v>
      </c>
      <c r="O203" s="111"/>
      <c r="P203" s="16" t="s">
        <v>3136</v>
      </c>
      <c r="Q203" s="17"/>
      <c r="R203" s="17"/>
      <c r="S203" s="17"/>
      <c r="T203" s="16" t="s">
        <v>2483</v>
      </c>
      <c r="U203" s="17"/>
      <c r="V203" s="17"/>
      <c r="W203" s="17"/>
      <c r="X203" s="17"/>
      <c r="Y203" s="17"/>
      <c r="Z203" s="17"/>
      <c r="AA203" s="17"/>
      <c r="AB203" s="17"/>
      <c r="AC203" s="16" t="e">
        <v>#N/A</v>
      </c>
      <c r="AD203" s="16" t="s">
        <v>3350</v>
      </c>
      <c r="AE203" s="16" t="s">
        <v>3106</v>
      </c>
      <c r="AF203" s="17"/>
      <c r="AG203" s="16">
        <v>5.0002996E7</v>
      </c>
      <c r="AH203" s="17"/>
      <c r="AI203" s="11"/>
    </row>
    <row r="204">
      <c r="A204" s="105" t="str">
        <f t="shared" si="6"/>
        <v>#REF!</v>
      </c>
      <c r="B204" s="106" t="s">
        <v>2486</v>
      </c>
      <c r="C204" s="106">
        <v>6.0019881E7</v>
      </c>
      <c r="D204" s="106" t="s">
        <v>2487</v>
      </c>
      <c r="E204" s="106" t="s">
        <v>3106</v>
      </c>
      <c r="F204" s="106" t="s">
        <v>1960</v>
      </c>
      <c r="G204" s="106" t="s">
        <v>2349</v>
      </c>
      <c r="H204" s="107"/>
      <c r="I204" s="16" t="s">
        <v>12</v>
      </c>
      <c r="J204" s="17"/>
      <c r="K204" s="16" t="s">
        <v>36</v>
      </c>
      <c r="L204" s="16" t="s">
        <v>3280</v>
      </c>
      <c r="M204" s="108">
        <v>44848.0</v>
      </c>
      <c r="N204" s="109">
        <f t="shared" si="5"/>
        <v>3.411111111</v>
      </c>
      <c r="O204" s="111"/>
      <c r="P204" s="16" t="s">
        <v>3136</v>
      </c>
      <c r="Q204" s="17"/>
      <c r="R204" s="17"/>
      <c r="S204" s="17"/>
      <c r="T204" s="16" t="s">
        <v>2486</v>
      </c>
      <c r="U204" s="17"/>
      <c r="V204" s="17"/>
      <c r="W204" s="17"/>
      <c r="X204" s="17"/>
      <c r="Y204" s="17"/>
      <c r="Z204" s="17"/>
      <c r="AA204" s="17"/>
      <c r="AB204" s="17"/>
      <c r="AC204" s="16" t="e">
        <v>#N/A</v>
      </c>
      <c r="AD204" s="16" t="s">
        <v>3350</v>
      </c>
      <c r="AE204" s="16" t="s">
        <v>3106</v>
      </c>
      <c r="AF204" s="17"/>
      <c r="AG204" s="16">
        <v>4.500000469E9</v>
      </c>
      <c r="AH204" s="17"/>
      <c r="AI204" s="11"/>
    </row>
    <row r="205">
      <c r="A205" s="105" t="str">
        <f t="shared" si="6"/>
        <v>#REF!</v>
      </c>
      <c r="B205" s="106" t="s">
        <v>2488</v>
      </c>
      <c r="C205" s="106" t="s">
        <v>2489</v>
      </c>
      <c r="D205" s="106" t="s">
        <v>2490</v>
      </c>
      <c r="E205" s="106" t="s">
        <v>3106</v>
      </c>
      <c r="F205" s="106" t="s">
        <v>1960</v>
      </c>
      <c r="G205" s="106" t="s">
        <v>2131</v>
      </c>
      <c r="H205" s="107"/>
      <c r="I205" s="16" t="s">
        <v>2491</v>
      </c>
      <c r="J205" s="17"/>
      <c r="K205" s="16" t="s">
        <v>13</v>
      </c>
      <c r="L205" s="16" t="s">
        <v>2131</v>
      </c>
      <c r="M205" s="108">
        <v>44328.0</v>
      </c>
      <c r="N205" s="109">
        <f t="shared" si="5"/>
        <v>4.833333333</v>
      </c>
      <c r="O205" s="16" t="s">
        <v>3136</v>
      </c>
      <c r="P205" s="16" t="s">
        <v>3121</v>
      </c>
      <c r="Q205" s="17"/>
      <c r="R205" s="17"/>
      <c r="S205" s="17"/>
      <c r="T205" s="16" t="s">
        <v>2488</v>
      </c>
      <c r="U205" s="17"/>
      <c r="V205" s="17"/>
      <c r="W205" s="17"/>
      <c r="X205" s="17"/>
      <c r="Y205" s="17"/>
      <c r="Z205" s="17"/>
      <c r="AA205" s="17"/>
      <c r="AB205" s="17"/>
      <c r="AC205" s="16" t="s">
        <v>3351</v>
      </c>
      <c r="AD205" s="16" t="e">
        <v>#N/A</v>
      </c>
      <c r="AE205" s="16" t="s">
        <v>3183</v>
      </c>
      <c r="AF205" s="17"/>
      <c r="AG205" s="16">
        <v>5.0004153E7</v>
      </c>
      <c r="AH205" s="17"/>
      <c r="AI205" s="11"/>
    </row>
    <row r="206">
      <c r="A206" s="105" t="str">
        <f t="shared" si="6"/>
        <v>#REF!</v>
      </c>
      <c r="B206" s="106" t="s">
        <v>2492</v>
      </c>
      <c r="C206" s="106">
        <v>6.0019882E7</v>
      </c>
      <c r="D206" s="106" t="s">
        <v>2493</v>
      </c>
      <c r="E206" s="106" t="s">
        <v>3106</v>
      </c>
      <c r="F206" s="106" t="s">
        <v>1960</v>
      </c>
      <c r="G206" s="106" t="s">
        <v>2349</v>
      </c>
      <c r="H206" s="107"/>
      <c r="I206" s="16" t="s">
        <v>12</v>
      </c>
      <c r="J206" s="17"/>
      <c r="K206" s="16" t="s">
        <v>36</v>
      </c>
      <c r="L206" s="16" t="s">
        <v>3280</v>
      </c>
      <c r="M206" s="108">
        <v>44848.0</v>
      </c>
      <c r="N206" s="109">
        <f t="shared" si="5"/>
        <v>3.411111111</v>
      </c>
      <c r="O206" s="17"/>
      <c r="P206" s="16" t="s">
        <v>3136</v>
      </c>
      <c r="Q206" s="125"/>
      <c r="R206" s="17"/>
      <c r="S206" s="17"/>
      <c r="T206" s="16" t="s">
        <v>2492</v>
      </c>
      <c r="U206" s="17"/>
      <c r="V206" s="17"/>
      <c r="W206" s="17"/>
      <c r="X206" s="17"/>
      <c r="Y206" s="17"/>
      <c r="Z206" s="17"/>
      <c r="AA206" s="17"/>
      <c r="AB206" s="17"/>
      <c r="AC206" s="16" t="e">
        <v>#N/A</v>
      </c>
      <c r="AD206" s="16" t="s">
        <v>3143</v>
      </c>
      <c r="AE206" s="16" t="s">
        <v>3106</v>
      </c>
      <c r="AF206" s="17"/>
      <c r="AG206" s="16">
        <v>4.500000469E9</v>
      </c>
      <c r="AH206" s="17"/>
      <c r="AI206" s="11"/>
    </row>
    <row r="207">
      <c r="A207" s="105" t="str">
        <f t="shared" si="6"/>
        <v>#REF!</v>
      </c>
      <c r="B207" s="106" t="s">
        <v>2494</v>
      </c>
      <c r="C207" s="106">
        <v>6.0019841E7</v>
      </c>
      <c r="D207" s="106" t="s">
        <v>2495</v>
      </c>
      <c r="E207" s="106" t="s">
        <v>3106</v>
      </c>
      <c r="F207" s="106" t="s">
        <v>1960</v>
      </c>
      <c r="G207" s="106" t="s">
        <v>2233</v>
      </c>
      <c r="H207" s="107"/>
      <c r="I207" s="16" t="s">
        <v>12</v>
      </c>
      <c r="J207" s="17"/>
      <c r="K207" s="16" t="s">
        <v>36</v>
      </c>
      <c r="L207" s="16" t="s">
        <v>3213</v>
      </c>
      <c r="M207" s="108">
        <v>44848.0</v>
      </c>
      <c r="N207" s="109">
        <f t="shared" si="5"/>
        <v>3.411111111</v>
      </c>
      <c r="O207" s="111"/>
      <c r="P207" s="16" t="s">
        <v>3136</v>
      </c>
      <c r="Q207" s="17"/>
      <c r="R207" s="17"/>
      <c r="S207" s="17"/>
      <c r="T207" s="16" t="s">
        <v>2494</v>
      </c>
      <c r="U207" s="17"/>
      <c r="V207" s="17"/>
      <c r="W207" s="17"/>
      <c r="X207" s="17"/>
      <c r="Y207" s="17"/>
      <c r="Z207" s="17"/>
      <c r="AA207" s="17"/>
      <c r="AB207" s="17"/>
      <c r="AC207" s="16" t="e">
        <v>#N/A</v>
      </c>
      <c r="AD207" s="16" t="s">
        <v>3352</v>
      </c>
      <c r="AE207" s="16" t="s">
        <v>3211</v>
      </c>
      <c r="AF207" s="17"/>
      <c r="AG207" s="16">
        <v>4.500000469E9</v>
      </c>
      <c r="AH207" s="17"/>
      <c r="AI207" s="11"/>
    </row>
    <row r="208">
      <c r="A208" s="105" t="str">
        <f t="shared" si="6"/>
        <v>#REF!</v>
      </c>
      <c r="B208" s="106" t="s">
        <v>2496</v>
      </c>
      <c r="C208" s="106">
        <v>6.0019865E7</v>
      </c>
      <c r="D208" s="106" t="s">
        <v>2497</v>
      </c>
      <c r="E208" s="106" t="s">
        <v>3106</v>
      </c>
      <c r="F208" s="106" t="s">
        <v>1960</v>
      </c>
      <c r="G208" s="106" t="s">
        <v>2233</v>
      </c>
      <c r="H208" s="107"/>
      <c r="I208" s="16" t="s">
        <v>12</v>
      </c>
      <c r="J208" s="17"/>
      <c r="K208" s="16" t="s">
        <v>36</v>
      </c>
      <c r="L208" s="16" t="s">
        <v>3213</v>
      </c>
      <c r="M208" s="108">
        <v>44848.0</v>
      </c>
      <c r="N208" s="109">
        <f t="shared" si="5"/>
        <v>3.411111111</v>
      </c>
      <c r="O208" s="111"/>
      <c r="P208" s="16" t="s">
        <v>3136</v>
      </c>
      <c r="Q208" s="17"/>
      <c r="R208" s="17"/>
      <c r="S208" s="17"/>
      <c r="T208" s="16" t="s">
        <v>2496</v>
      </c>
      <c r="U208" s="17"/>
      <c r="V208" s="17"/>
      <c r="W208" s="17"/>
      <c r="X208" s="17"/>
      <c r="Y208" s="17"/>
      <c r="Z208" s="17"/>
      <c r="AA208" s="17"/>
      <c r="AB208" s="17"/>
      <c r="AC208" s="16" t="e">
        <v>#N/A</v>
      </c>
      <c r="AD208" s="16" t="s">
        <v>3353</v>
      </c>
      <c r="AE208" s="16" t="s">
        <v>3138</v>
      </c>
      <c r="AF208" s="17"/>
      <c r="AG208" s="16">
        <v>4.500000469E9</v>
      </c>
      <c r="AH208" s="17"/>
      <c r="AI208" s="11"/>
    </row>
    <row r="209">
      <c r="A209" s="105" t="str">
        <f t="shared" si="6"/>
        <v>#REF!</v>
      </c>
      <c r="B209" s="106" t="s">
        <v>2498</v>
      </c>
      <c r="C209" s="106">
        <v>6.0019862E7</v>
      </c>
      <c r="D209" s="106" t="s">
        <v>2499</v>
      </c>
      <c r="E209" s="106" t="s">
        <v>3106</v>
      </c>
      <c r="F209" s="106" t="s">
        <v>1960</v>
      </c>
      <c r="G209" s="106" t="s">
        <v>2233</v>
      </c>
      <c r="H209" s="107"/>
      <c r="I209" s="16" t="s">
        <v>12</v>
      </c>
      <c r="J209" s="17"/>
      <c r="K209" s="16" t="s">
        <v>36</v>
      </c>
      <c r="L209" s="16" t="s">
        <v>3213</v>
      </c>
      <c r="M209" s="108">
        <v>44848.0</v>
      </c>
      <c r="N209" s="109">
        <f t="shared" si="5"/>
        <v>3.411111111</v>
      </c>
      <c r="O209" s="111"/>
      <c r="P209" s="16" t="s">
        <v>3136</v>
      </c>
      <c r="Q209" s="17"/>
      <c r="R209" s="17"/>
      <c r="S209" s="17"/>
      <c r="T209" s="16" t="s">
        <v>2498</v>
      </c>
      <c r="U209" s="17"/>
      <c r="V209" s="17"/>
      <c r="W209" s="17"/>
      <c r="X209" s="17"/>
      <c r="Y209" s="17"/>
      <c r="Z209" s="17"/>
      <c r="AA209" s="17"/>
      <c r="AB209" s="17"/>
      <c r="AC209" s="16" t="e">
        <v>#N/A</v>
      </c>
      <c r="AD209" s="16" t="s">
        <v>3354</v>
      </c>
      <c r="AE209" s="16" t="s">
        <v>3138</v>
      </c>
      <c r="AF209" s="17"/>
      <c r="AG209" s="16">
        <v>4.500000469E9</v>
      </c>
      <c r="AH209" s="17"/>
      <c r="AI209" s="11"/>
    </row>
    <row r="210">
      <c r="A210" s="105" t="str">
        <f t="shared" si="6"/>
        <v>#REF!</v>
      </c>
      <c r="B210" s="106" t="s">
        <v>2500</v>
      </c>
      <c r="C210" s="106" t="s">
        <v>2501</v>
      </c>
      <c r="D210" s="106" t="s">
        <v>2502</v>
      </c>
      <c r="E210" s="106" t="s">
        <v>3106</v>
      </c>
      <c r="F210" s="106" t="s">
        <v>1960</v>
      </c>
      <c r="G210" s="106" t="s">
        <v>2131</v>
      </c>
      <c r="H210" s="107"/>
      <c r="I210" s="16" t="s">
        <v>12</v>
      </c>
      <c r="J210" s="17"/>
      <c r="K210" s="16" t="s">
        <v>13</v>
      </c>
      <c r="L210" s="16" t="s">
        <v>2131</v>
      </c>
      <c r="M210" s="108">
        <v>44553.0</v>
      </c>
      <c r="N210" s="109">
        <f t="shared" si="5"/>
        <v>4.219444444</v>
      </c>
      <c r="O210" s="111"/>
      <c r="P210" s="16" t="s">
        <v>3136</v>
      </c>
      <c r="Q210" s="17"/>
      <c r="R210" s="17"/>
      <c r="S210" s="17"/>
      <c r="T210" s="16" t="s">
        <v>2500</v>
      </c>
      <c r="U210" s="17"/>
      <c r="V210" s="17"/>
      <c r="W210" s="17"/>
      <c r="X210" s="17"/>
      <c r="Y210" s="17"/>
      <c r="Z210" s="17"/>
      <c r="AA210" s="17"/>
      <c r="AB210" s="17"/>
      <c r="AC210" s="16" t="e">
        <v>#N/A</v>
      </c>
      <c r="AD210" s="16" t="s">
        <v>3355</v>
      </c>
      <c r="AE210" s="16" t="s">
        <v>3141</v>
      </c>
      <c r="AF210" s="17"/>
      <c r="AG210" s="16">
        <v>5.000436E7</v>
      </c>
      <c r="AH210" s="17"/>
      <c r="AI210" s="11"/>
    </row>
    <row r="211">
      <c r="A211" s="105" t="str">
        <f t="shared" si="6"/>
        <v>#REF!</v>
      </c>
      <c r="B211" s="106" t="s">
        <v>2503</v>
      </c>
      <c r="C211" s="106">
        <v>6.001988E7</v>
      </c>
      <c r="D211" s="106" t="s">
        <v>2504</v>
      </c>
      <c r="E211" s="106" t="s">
        <v>3106</v>
      </c>
      <c r="F211" s="106" t="s">
        <v>1960</v>
      </c>
      <c r="G211" s="106" t="s">
        <v>2227</v>
      </c>
      <c r="H211" s="107"/>
      <c r="I211" s="16" t="s">
        <v>12</v>
      </c>
      <c r="J211" s="17"/>
      <c r="K211" s="16" t="s">
        <v>36</v>
      </c>
      <c r="L211" s="16" t="s">
        <v>2818</v>
      </c>
      <c r="M211" s="108">
        <v>45772.0</v>
      </c>
      <c r="N211" s="109">
        <f t="shared" si="5"/>
        <v>0.8805555556</v>
      </c>
      <c r="O211" s="16" t="s">
        <v>3136</v>
      </c>
      <c r="P211" s="16" t="s">
        <v>3121</v>
      </c>
      <c r="Q211" s="17"/>
      <c r="R211" s="17"/>
      <c r="S211" s="17"/>
      <c r="T211" s="16" t="s">
        <v>2503</v>
      </c>
      <c r="U211" s="17"/>
      <c r="V211" s="17"/>
      <c r="W211" s="17"/>
      <c r="X211" s="17"/>
      <c r="Y211" s="17"/>
      <c r="Z211" s="17"/>
      <c r="AA211" s="17"/>
      <c r="AB211" s="17"/>
      <c r="AC211" s="16" t="s">
        <v>2879</v>
      </c>
      <c r="AD211" s="16" t="e">
        <v>#N/A</v>
      </c>
      <c r="AE211" s="16" t="s">
        <v>3106</v>
      </c>
      <c r="AF211" s="17"/>
      <c r="AG211" s="16">
        <v>4.500000469E9</v>
      </c>
      <c r="AH211" s="16" t="s">
        <v>3172</v>
      </c>
      <c r="AI211" s="11"/>
    </row>
    <row r="212">
      <c r="A212" s="105" t="str">
        <f t="shared" si="6"/>
        <v>#REF!</v>
      </c>
      <c r="B212" s="106" t="s">
        <v>2505</v>
      </c>
      <c r="C212" s="106">
        <v>6.0019838E7</v>
      </c>
      <c r="D212" s="106" t="s">
        <v>2506</v>
      </c>
      <c r="E212" s="106" t="s">
        <v>3106</v>
      </c>
      <c r="F212" s="106" t="s">
        <v>1960</v>
      </c>
      <c r="G212" s="106" t="s">
        <v>2233</v>
      </c>
      <c r="H212" s="107"/>
      <c r="I212" s="16" t="s">
        <v>12</v>
      </c>
      <c r="J212" s="17"/>
      <c r="K212" s="16" t="s">
        <v>36</v>
      </c>
      <c r="L212" s="16" t="s">
        <v>3213</v>
      </c>
      <c r="M212" s="108">
        <v>44848.0</v>
      </c>
      <c r="N212" s="109">
        <f t="shared" si="5"/>
        <v>3.411111111</v>
      </c>
      <c r="O212" s="111"/>
      <c r="P212" s="16" t="s">
        <v>3136</v>
      </c>
      <c r="Q212" s="17"/>
      <c r="R212" s="17"/>
      <c r="S212" s="17"/>
      <c r="T212" s="16" t="s">
        <v>2505</v>
      </c>
      <c r="U212" s="17"/>
      <c r="V212" s="17"/>
      <c r="W212" s="17"/>
      <c r="X212" s="17"/>
      <c r="Y212" s="17"/>
      <c r="Z212" s="17"/>
      <c r="AA212" s="17"/>
      <c r="AB212" s="17"/>
      <c r="AC212" s="16" t="e">
        <v>#N/A</v>
      </c>
      <c r="AD212" s="16" t="s">
        <v>3356</v>
      </c>
      <c r="AE212" s="16" t="s">
        <v>3283</v>
      </c>
      <c r="AF212" s="17"/>
      <c r="AG212" s="16">
        <v>4.500000469E9</v>
      </c>
      <c r="AH212" s="17"/>
      <c r="AI212" s="11"/>
    </row>
    <row r="213">
      <c r="A213" s="105" t="str">
        <f t="shared" si="6"/>
        <v>#REF!</v>
      </c>
      <c r="B213" s="106" t="s">
        <v>2507</v>
      </c>
      <c r="C213" s="106" t="s">
        <v>2508</v>
      </c>
      <c r="D213" s="106" t="s">
        <v>2509</v>
      </c>
      <c r="E213" s="106" t="s">
        <v>3106</v>
      </c>
      <c r="F213" s="106" t="s">
        <v>1960</v>
      </c>
      <c r="G213" s="106" t="s">
        <v>2131</v>
      </c>
      <c r="H213" s="107"/>
      <c r="I213" s="16" t="s">
        <v>12</v>
      </c>
      <c r="J213" s="17"/>
      <c r="K213" s="16" t="s">
        <v>13</v>
      </c>
      <c r="L213" s="16" t="s">
        <v>2131</v>
      </c>
      <c r="M213" s="108">
        <v>44376.0</v>
      </c>
      <c r="N213" s="109">
        <f t="shared" si="5"/>
        <v>4.702777778</v>
      </c>
      <c r="O213" s="111"/>
      <c r="P213" s="16" t="s">
        <v>3136</v>
      </c>
      <c r="Q213" s="17"/>
      <c r="R213" s="17"/>
      <c r="S213" s="17"/>
      <c r="T213" s="16" t="s">
        <v>2507</v>
      </c>
      <c r="U213" s="17"/>
      <c r="V213" s="17"/>
      <c r="W213" s="17"/>
      <c r="X213" s="17"/>
      <c r="Y213" s="17"/>
      <c r="Z213" s="17"/>
      <c r="AA213" s="17"/>
      <c r="AB213" s="17"/>
      <c r="AC213" s="16" t="e">
        <v>#N/A</v>
      </c>
      <c r="AD213" s="16" t="s">
        <v>3357</v>
      </c>
      <c r="AE213" s="16" t="s">
        <v>3236</v>
      </c>
      <c r="AF213" s="17"/>
      <c r="AG213" s="16">
        <v>5.0004153E7</v>
      </c>
      <c r="AH213" s="17"/>
      <c r="AI213" s="11"/>
    </row>
    <row r="214">
      <c r="A214" s="105" t="str">
        <f t="shared" si="6"/>
        <v>#REF!</v>
      </c>
      <c r="B214" s="106" t="s">
        <v>2510</v>
      </c>
      <c r="C214" s="106" t="s">
        <v>2511</v>
      </c>
      <c r="D214" s="106" t="s">
        <v>2512</v>
      </c>
      <c r="E214" s="106" t="s">
        <v>3106</v>
      </c>
      <c r="F214" s="106" t="s">
        <v>1960</v>
      </c>
      <c r="G214" s="106" t="s">
        <v>2220</v>
      </c>
      <c r="H214" s="107"/>
      <c r="I214" s="16" t="s">
        <v>12</v>
      </c>
      <c r="J214" s="17"/>
      <c r="K214" s="16" t="s">
        <v>36</v>
      </c>
      <c r="L214" s="16" t="s">
        <v>3202</v>
      </c>
      <c r="M214" s="108">
        <v>44188.0</v>
      </c>
      <c r="N214" s="109">
        <f t="shared" si="5"/>
        <v>5.219444444</v>
      </c>
      <c r="O214" s="16" t="s">
        <v>3136</v>
      </c>
      <c r="P214" s="16" t="s">
        <v>2557</v>
      </c>
      <c r="Q214" s="115">
        <v>45110.0</v>
      </c>
      <c r="R214" s="17"/>
      <c r="S214" s="17"/>
      <c r="T214" s="16" t="s">
        <v>2510</v>
      </c>
      <c r="U214" s="17"/>
      <c r="V214" s="17"/>
      <c r="W214" s="17"/>
      <c r="X214" s="17"/>
      <c r="Y214" s="17"/>
      <c r="Z214" s="17"/>
      <c r="AA214" s="17"/>
      <c r="AB214" s="17"/>
      <c r="AC214" s="119" t="s">
        <v>3358</v>
      </c>
      <c r="AD214" s="16" t="s">
        <v>3359</v>
      </c>
      <c r="AE214" s="16" t="s">
        <v>3217</v>
      </c>
      <c r="AF214" s="17"/>
      <c r="AG214" s="16">
        <v>5.0036153E7</v>
      </c>
      <c r="AH214" s="16" t="s">
        <v>3184</v>
      </c>
      <c r="AI214" s="11"/>
    </row>
    <row r="215">
      <c r="A215" s="105" t="str">
        <f t="shared" si="6"/>
        <v>#REF!</v>
      </c>
      <c r="B215" s="106" t="s">
        <v>2513</v>
      </c>
      <c r="C215" s="106" t="s">
        <v>2514</v>
      </c>
      <c r="D215" s="106" t="s">
        <v>2515</v>
      </c>
      <c r="E215" s="106" t="s">
        <v>3106</v>
      </c>
      <c r="F215" s="106" t="s">
        <v>1960</v>
      </c>
      <c r="G215" s="106" t="s">
        <v>2131</v>
      </c>
      <c r="H215" s="107"/>
      <c r="I215" s="16" t="s">
        <v>12</v>
      </c>
      <c r="J215" s="17"/>
      <c r="K215" s="16" t="s">
        <v>13</v>
      </c>
      <c r="L215" s="16" t="s">
        <v>2131</v>
      </c>
      <c r="M215" s="108">
        <v>44376.0</v>
      </c>
      <c r="N215" s="109">
        <f t="shared" si="5"/>
        <v>4.702777778</v>
      </c>
      <c r="O215" s="111"/>
      <c r="P215" s="16" t="s">
        <v>3136</v>
      </c>
      <c r="Q215" s="17"/>
      <c r="R215" s="17"/>
      <c r="S215" s="17"/>
      <c r="T215" s="16" t="s">
        <v>2513</v>
      </c>
      <c r="U215" s="17"/>
      <c r="V215" s="17"/>
      <c r="W215" s="17"/>
      <c r="X215" s="17"/>
      <c r="Y215" s="17"/>
      <c r="Z215" s="17"/>
      <c r="AA215" s="17"/>
      <c r="AB215" s="17"/>
      <c r="AC215" s="16" t="e">
        <v>#N/A</v>
      </c>
      <c r="AD215" s="16" t="s">
        <v>3360</v>
      </c>
      <c r="AE215" s="16" t="s">
        <v>3150</v>
      </c>
      <c r="AF215" s="17"/>
      <c r="AG215" s="16">
        <v>5.0004153E7</v>
      </c>
      <c r="AH215" s="17"/>
      <c r="AI215" s="11"/>
    </row>
    <row r="216">
      <c r="A216" s="105" t="str">
        <f t="shared" si="6"/>
        <v>#REF!</v>
      </c>
      <c r="B216" s="106" t="s">
        <v>2516</v>
      </c>
      <c r="C216" s="106">
        <v>6.0019839E7</v>
      </c>
      <c r="D216" s="106" t="s">
        <v>2517</v>
      </c>
      <c r="E216" s="106" t="s">
        <v>3106</v>
      </c>
      <c r="F216" s="106" t="s">
        <v>1960</v>
      </c>
      <c r="G216" s="106" t="s">
        <v>2233</v>
      </c>
      <c r="H216" s="107"/>
      <c r="I216" s="16" t="s">
        <v>12</v>
      </c>
      <c r="J216" s="17"/>
      <c r="K216" s="16" t="s">
        <v>36</v>
      </c>
      <c r="L216" s="16" t="s">
        <v>3213</v>
      </c>
      <c r="M216" s="108">
        <v>44848.0</v>
      </c>
      <c r="N216" s="109">
        <f t="shared" si="5"/>
        <v>3.411111111</v>
      </c>
      <c r="O216" s="111"/>
      <c r="P216" s="16" t="s">
        <v>3136</v>
      </c>
      <c r="Q216" s="17"/>
      <c r="R216" s="17"/>
      <c r="S216" s="17"/>
      <c r="T216" s="16" t="s">
        <v>2516</v>
      </c>
      <c r="U216" s="17"/>
      <c r="V216" s="17"/>
      <c r="W216" s="17"/>
      <c r="X216" s="17"/>
      <c r="Y216" s="17"/>
      <c r="Z216" s="17"/>
      <c r="AA216" s="17"/>
      <c r="AB216" s="17"/>
      <c r="AC216" s="16" t="e">
        <v>#N/A</v>
      </c>
      <c r="AD216" s="16" t="s">
        <v>3361</v>
      </c>
      <c r="AE216" s="16" t="s">
        <v>3211</v>
      </c>
      <c r="AF216" s="17"/>
      <c r="AG216" s="16">
        <v>4.500000469E9</v>
      </c>
      <c r="AH216" s="17"/>
      <c r="AI216" s="11"/>
    </row>
    <row r="217">
      <c r="A217" s="105" t="str">
        <f t="shared" si="6"/>
        <v>#REF!</v>
      </c>
      <c r="B217" s="106" t="s">
        <v>2518</v>
      </c>
      <c r="C217" s="106">
        <v>6.0020079E7</v>
      </c>
      <c r="D217" s="106" t="s">
        <v>2519</v>
      </c>
      <c r="E217" s="106" t="s">
        <v>3106</v>
      </c>
      <c r="F217" s="106" t="s">
        <v>1960</v>
      </c>
      <c r="G217" s="106" t="s">
        <v>2242</v>
      </c>
      <c r="H217" s="107"/>
      <c r="I217" s="16" t="s">
        <v>12</v>
      </c>
      <c r="J217" s="17"/>
      <c r="K217" s="16" t="s">
        <v>13</v>
      </c>
      <c r="L217" s="16" t="s">
        <v>3218</v>
      </c>
      <c r="M217" s="108">
        <v>44817.0</v>
      </c>
      <c r="N217" s="109">
        <f t="shared" si="5"/>
        <v>3.497222222</v>
      </c>
      <c r="O217" s="17"/>
      <c r="P217" s="16" t="s">
        <v>3136</v>
      </c>
      <c r="Q217" s="17"/>
      <c r="R217" s="17"/>
      <c r="S217" s="17"/>
      <c r="T217" s="16" t="s">
        <v>2518</v>
      </c>
      <c r="U217" s="17"/>
      <c r="V217" s="17"/>
      <c r="W217" s="17"/>
      <c r="X217" s="17"/>
      <c r="Y217" s="17"/>
      <c r="Z217" s="17"/>
      <c r="AA217" s="17"/>
      <c r="AB217" s="17"/>
      <c r="AC217" s="16" t="e">
        <v>#N/A</v>
      </c>
      <c r="AD217" s="16" t="s">
        <v>3362</v>
      </c>
      <c r="AE217" s="16" t="s">
        <v>3363</v>
      </c>
      <c r="AF217" s="17"/>
      <c r="AG217" s="117">
        <v>4.500000396E9</v>
      </c>
      <c r="AH217" s="116" t="s">
        <v>3253</v>
      </c>
      <c r="AI217" s="11"/>
    </row>
    <row r="218">
      <c r="A218" s="105" t="str">
        <f t="shared" si="6"/>
        <v>#REF!</v>
      </c>
      <c r="B218" s="106" t="s">
        <v>2520</v>
      </c>
      <c r="C218" s="106" t="s">
        <v>2521</v>
      </c>
      <c r="D218" s="106" t="s">
        <v>2522</v>
      </c>
      <c r="E218" s="106" t="s">
        <v>3106</v>
      </c>
      <c r="F218" s="106" t="s">
        <v>1960</v>
      </c>
      <c r="G218" s="106" t="s">
        <v>2131</v>
      </c>
      <c r="H218" s="107"/>
      <c r="I218" s="16" t="s">
        <v>12</v>
      </c>
      <c r="J218" s="17"/>
      <c r="K218" s="16" t="s">
        <v>13</v>
      </c>
      <c r="L218" s="16" t="s">
        <v>2131</v>
      </c>
      <c r="M218" s="108">
        <v>44376.0</v>
      </c>
      <c r="N218" s="109">
        <f t="shared" si="5"/>
        <v>4.702777778</v>
      </c>
      <c r="O218" s="111"/>
      <c r="P218" s="16" t="s">
        <v>3136</v>
      </c>
      <c r="Q218" s="17"/>
      <c r="R218" s="17"/>
      <c r="S218" s="17"/>
      <c r="T218" s="16" t="s">
        <v>2520</v>
      </c>
      <c r="U218" s="17"/>
      <c r="V218" s="17"/>
      <c r="W218" s="17"/>
      <c r="X218" s="17"/>
      <c r="Y218" s="17"/>
      <c r="Z218" s="17"/>
      <c r="AA218" s="17"/>
      <c r="AB218" s="17"/>
      <c r="AC218" s="16" t="e">
        <v>#N/A</v>
      </c>
      <c r="AD218" s="16" t="s">
        <v>3364</v>
      </c>
      <c r="AE218" s="16" t="s">
        <v>3150</v>
      </c>
      <c r="AF218" s="17"/>
      <c r="AG218" s="16">
        <v>5.0004153E7</v>
      </c>
      <c r="AH218" s="17"/>
      <c r="AI218" s="11"/>
    </row>
    <row r="219">
      <c r="A219" s="105" t="str">
        <f t="shared" si="6"/>
        <v>#REF!</v>
      </c>
      <c r="B219" s="106" t="s">
        <v>2523</v>
      </c>
      <c r="C219" s="106">
        <v>6.0019872E7</v>
      </c>
      <c r="D219" s="106" t="s">
        <v>2524</v>
      </c>
      <c r="E219" s="106" t="s">
        <v>3106</v>
      </c>
      <c r="F219" s="106" t="s">
        <v>1960</v>
      </c>
      <c r="G219" s="106" t="s">
        <v>2233</v>
      </c>
      <c r="H219" s="107"/>
      <c r="I219" s="16" t="s">
        <v>2173</v>
      </c>
      <c r="J219" s="17"/>
      <c r="K219" s="16" t="s">
        <v>36</v>
      </c>
      <c r="L219" s="16" t="s">
        <v>3213</v>
      </c>
      <c r="M219" s="108">
        <v>44848.0</v>
      </c>
      <c r="N219" s="109">
        <f t="shared" si="5"/>
        <v>3.411111111</v>
      </c>
      <c r="O219" s="111"/>
      <c r="P219" s="16" t="s">
        <v>3136</v>
      </c>
      <c r="Q219" s="17"/>
      <c r="R219" s="17"/>
      <c r="S219" s="16" t="s">
        <v>3148</v>
      </c>
      <c r="T219" s="16" t="s">
        <v>2523</v>
      </c>
      <c r="U219" s="17"/>
      <c r="V219" s="17"/>
      <c r="W219" s="17"/>
      <c r="X219" s="17"/>
      <c r="Y219" s="17"/>
      <c r="Z219" s="17"/>
      <c r="AA219" s="17"/>
      <c r="AB219" s="17"/>
      <c r="AC219" s="16" t="e">
        <v>#N/A</v>
      </c>
      <c r="AD219" s="17"/>
      <c r="AE219" s="16" t="s">
        <v>3151</v>
      </c>
      <c r="AF219" s="17"/>
      <c r="AG219" s="16">
        <v>4.500000469E9</v>
      </c>
      <c r="AH219" s="16" t="s">
        <v>3365</v>
      </c>
      <c r="AI219" s="11"/>
    </row>
    <row r="220">
      <c r="A220" s="105" t="str">
        <f t="shared" si="6"/>
        <v>#REF!</v>
      </c>
      <c r="B220" s="106" t="s">
        <v>2525</v>
      </c>
      <c r="C220" s="106" t="s">
        <v>2526</v>
      </c>
      <c r="D220" s="106" t="s">
        <v>2527</v>
      </c>
      <c r="E220" s="106" t="s">
        <v>3106</v>
      </c>
      <c r="F220" s="106" t="s">
        <v>1960</v>
      </c>
      <c r="G220" s="106" t="s">
        <v>2528</v>
      </c>
      <c r="H220" s="107"/>
      <c r="I220" s="16" t="s">
        <v>12</v>
      </c>
      <c r="J220" s="17"/>
      <c r="K220" s="16" t="s">
        <v>13</v>
      </c>
      <c r="L220" s="16" t="s">
        <v>3366</v>
      </c>
      <c r="M220" s="108">
        <v>44188.0</v>
      </c>
      <c r="N220" s="109">
        <f t="shared" si="5"/>
        <v>5.219444444</v>
      </c>
      <c r="O220" s="111"/>
      <c r="P220" s="16" t="s">
        <v>3136</v>
      </c>
      <c r="Q220" s="17"/>
      <c r="R220" s="17"/>
      <c r="S220" s="17"/>
      <c r="T220" s="16" t="s">
        <v>2525</v>
      </c>
      <c r="U220" s="17"/>
      <c r="V220" s="17"/>
      <c r="W220" s="17"/>
      <c r="X220" s="17"/>
      <c r="Y220" s="17"/>
      <c r="Z220" s="17"/>
      <c r="AA220" s="17"/>
      <c r="AB220" s="17"/>
      <c r="AC220" s="16" t="e">
        <v>#N/A</v>
      </c>
      <c r="AD220" s="16" t="s">
        <v>2869</v>
      </c>
      <c r="AE220" s="117" t="s">
        <v>3193</v>
      </c>
      <c r="AF220" s="17"/>
      <c r="AG220" s="16">
        <v>5.0003744E7</v>
      </c>
      <c r="AH220" s="17"/>
      <c r="AI220" s="11"/>
    </row>
    <row r="221">
      <c r="A221" s="105" t="str">
        <f t="shared" si="6"/>
        <v>#REF!</v>
      </c>
      <c r="B221" s="106" t="s">
        <v>2529</v>
      </c>
      <c r="C221" s="106">
        <v>6.0019873E7</v>
      </c>
      <c r="D221" s="106" t="s">
        <v>2530</v>
      </c>
      <c r="E221" s="106" t="s">
        <v>3106</v>
      </c>
      <c r="F221" s="106" t="s">
        <v>1960</v>
      </c>
      <c r="G221" s="106" t="s">
        <v>2233</v>
      </c>
      <c r="H221" s="107"/>
      <c r="I221" s="16" t="s">
        <v>12</v>
      </c>
      <c r="J221" s="17"/>
      <c r="K221" s="16" t="s">
        <v>36</v>
      </c>
      <c r="L221" s="16" t="s">
        <v>3213</v>
      </c>
      <c r="M221" s="108">
        <v>44848.0</v>
      </c>
      <c r="N221" s="109">
        <f t="shared" si="5"/>
        <v>3.411111111</v>
      </c>
      <c r="O221" s="17"/>
      <c r="P221" s="16" t="s">
        <v>3136</v>
      </c>
      <c r="Q221" s="17"/>
      <c r="R221" s="17"/>
      <c r="S221" s="17"/>
      <c r="T221" s="16" t="s">
        <v>2529</v>
      </c>
      <c r="U221" s="17"/>
      <c r="V221" s="17"/>
      <c r="W221" s="17"/>
      <c r="X221" s="17"/>
      <c r="Y221" s="17"/>
      <c r="Z221" s="17"/>
      <c r="AA221" s="17"/>
      <c r="AB221" s="17"/>
      <c r="AC221" s="16" t="e">
        <v>#N/A</v>
      </c>
      <c r="AD221" s="16" t="s">
        <v>3367</v>
      </c>
      <c r="AE221" s="16" t="s">
        <v>3151</v>
      </c>
      <c r="AF221" s="17"/>
      <c r="AG221" s="16">
        <v>4.500000469E9</v>
      </c>
      <c r="AH221" s="116" t="s">
        <v>3261</v>
      </c>
      <c r="AI221" s="11"/>
    </row>
    <row r="222">
      <c r="A222" s="105" t="str">
        <f t="shared" si="6"/>
        <v>#REF!</v>
      </c>
      <c r="B222" s="106" t="s">
        <v>2531</v>
      </c>
      <c r="C222" s="106" t="s">
        <v>2532</v>
      </c>
      <c r="D222" s="106" t="s">
        <v>2533</v>
      </c>
      <c r="E222" s="106" t="s">
        <v>3106</v>
      </c>
      <c r="F222" s="106" t="s">
        <v>1960</v>
      </c>
      <c r="G222" s="106" t="s">
        <v>2534</v>
      </c>
      <c r="H222" s="107"/>
      <c r="I222" s="16" t="s">
        <v>12</v>
      </c>
      <c r="J222" s="17"/>
      <c r="K222" s="16" t="s">
        <v>13</v>
      </c>
      <c r="L222" s="16" t="s">
        <v>3368</v>
      </c>
      <c r="M222" s="108">
        <v>44613.0</v>
      </c>
      <c r="N222" s="109">
        <f t="shared" si="5"/>
        <v>4.058333333</v>
      </c>
      <c r="O222" s="111"/>
      <c r="P222" s="16" t="s">
        <v>3136</v>
      </c>
      <c r="Q222" s="17"/>
      <c r="R222" s="17"/>
      <c r="S222" s="17"/>
      <c r="T222" s="16" t="s">
        <v>2531</v>
      </c>
      <c r="U222" s="17"/>
      <c r="V222" s="17"/>
      <c r="W222" s="17"/>
      <c r="X222" s="17"/>
      <c r="Y222" s="17"/>
      <c r="Z222" s="17"/>
      <c r="AA222" s="17"/>
      <c r="AB222" s="17"/>
      <c r="AC222" s="16" t="s">
        <v>3369</v>
      </c>
      <c r="AD222" s="16" t="s">
        <v>3370</v>
      </c>
      <c r="AE222" s="16" t="s">
        <v>2991</v>
      </c>
      <c r="AF222" s="17"/>
      <c r="AG222" s="117">
        <v>5.0004446E7</v>
      </c>
      <c r="AH222" s="17"/>
      <c r="AI222" s="11"/>
    </row>
    <row r="223">
      <c r="A223" s="105" t="str">
        <f t="shared" si="6"/>
        <v>#REF!</v>
      </c>
      <c r="B223" s="106" t="s">
        <v>2535</v>
      </c>
      <c r="C223" s="106" t="s">
        <v>2536</v>
      </c>
      <c r="D223" s="106" t="s">
        <v>2537</v>
      </c>
      <c r="E223" s="106" t="s">
        <v>3106</v>
      </c>
      <c r="F223" s="106" t="s">
        <v>1960</v>
      </c>
      <c r="G223" s="106" t="s">
        <v>2131</v>
      </c>
      <c r="H223" s="107"/>
      <c r="I223" s="16" t="s">
        <v>12</v>
      </c>
      <c r="J223" s="17"/>
      <c r="K223" s="16" t="s">
        <v>13</v>
      </c>
      <c r="L223" s="16" t="s">
        <v>2131</v>
      </c>
      <c r="M223" s="108">
        <v>44376.0</v>
      </c>
      <c r="N223" s="109">
        <f t="shared" si="5"/>
        <v>4.702777778</v>
      </c>
      <c r="O223" s="111"/>
      <c r="P223" s="16" t="s">
        <v>3136</v>
      </c>
      <c r="Q223" s="17"/>
      <c r="R223" s="17"/>
      <c r="S223" s="17"/>
      <c r="T223" s="16" t="s">
        <v>2535</v>
      </c>
      <c r="U223" s="17"/>
      <c r="V223" s="17"/>
      <c r="W223" s="17"/>
      <c r="X223" s="17"/>
      <c r="Y223" s="17"/>
      <c r="Z223" s="17"/>
      <c r="AA223" s="17"/>
      <c r="AB223" s="17"/>
      <c r="AC223" s="16" t="s">
        <v>3371</v>
      </c>
      <c r="AD223" s="16" t="s">
        <v>3372</v>
      </c>
      <c r="AE223" s="16" t="e">
        <v>#N/A</v>
      </c>
      <c r="AF223" s="17"/>
      <c r="AG223" s="16">
        <v>5.0004153E7</v>
      </c>
      <c r="AH223" s="17"/>
      <c r="AI223" s="11"/>
    </row>
    <row r="224">
      <c r="A224" s="105" t="str">
        <f t="shared" si="6"/>
        <v>#REF!</v>
      </c>
      <c r="B224" s="106" t="s">
        <v>2538</v>
      </c>
      <c r="C224" s="106">
        <v>6.0020148E7</v>
      </c>
      <c r="D224" s="106" t="s">
        <v>2539</v>
      </c>
      <c r="E224" s="106" t="s">
        <v>3106</v>
      </c>
      <c r="F224" s="106" t="s">
        <v>1960</v>
      </c>
      <c r="G224" s="106" t="s">
        <v>2540</v>
      </c>
      <c r="H224" s="107"/>
      <c r="I224" s="16" t="s">
        <v>12</v>
      </c>
      <c r="J224" s="17"/>
      <c r="K224" s="16" t="s">
        <v>13</v>
      </c>
      <c r="L224" s="16" t="s">
        <v>3373</v>
      </c>
      <c r="M224" s="108">
        <v>44922.0</v>
      </c>
      <c r="N224" s="109">
        <f t="shared" si="5"/>
        <v>3.208333333</v>
      </c>
      <c r="O224" s="111"/>
      <c r="P224" s="16" t="s">
        <v>3136</v>
      </c>
      <c r="Q224" s="17"/>
      <c r="R224" s="17"/>
      <c r="S224" s="17"/>
      <c r="T224" s="16" t="s">
        <v>2538</v>
      </c>
      <c r="U224" s="17"/>
      <c r="V224" s="17"/>
      <c r="W224" s="17"/>
      <c r="X224" s="17"/>
      <c r="Y224" s="17"/>
      <c r="Z224" s="17"/>
      <c r="AA224" s="17"/>
      <c r="AB224" s="17"/>
      <c r="AC224" s="16" t="e">
        <v>#N/A</v>
      </c>
      <c r="AD224" s="16" t="s">
        <v>3374</v>
      </c>
      <c r="AE224" s="16" t="s">
        <v>2935</v>
      </c>
      <c r="AF224" s="17"/>
      <c r="AG224" s="17"/>
      <c r="AH224" s="17"/>
      <c r="AI224" s="11"/>
    </row>
    <row r="225">
      <c r="A225" s="105" t="str">
        <f t="shared" si="6"/>
        <v>#REF!</v>
      </c>
      <c r="B225" s="106" t="s">
        <v>2541</v>
      </c>
      <c r="C225" s="106">
        <v>6.002015E7</v>
      </c>
      <c r="D225" s="106" t="s">
        <v>2542</v>
      </c>
      <c r="E225" s="106" t="s">
        <v>3106</v>
      </c>
      <c r="F225" s="106" t="s">
        <v>1960</v>
      </c>
      <c r="G225" s="106" t="s">
        <v>2540</v>
      </c>
      <c r="H225" s="107"/>
      <c r="I225" s="16" t="s">
        <v>2491</v>
      </c>
      <c r="J225" s="17"/>
      <c r="K225" s="16" t="s">
        <v>13</v>
      </c>
      <c r="L225" s="16" t="s">
        <v>3373</v>
      </c>
      <c r="M225" s="108">
        <v>44922.0</v>
      </c>
      <c r="N225" s="109">
        <f t="shared" si="5"/>
        <v>3.208333333</v>
      </c>
      <c r="O225" s="17"/>
      <c r="P225" s="16" t="s">
        <v>3136</v>
      </c>
      <c r="Q225" s="16" t="s">
        <v>3375</v>
      </c>
      <c r="R225" s="17"/>
      <c r="S225" s="17"/>
      <c r="T225" s="16" t="s">
        <v>2541</v>
      </c>
      <c r="U225" s="17"/>
      <c r="V225" s="17"/>
      <c r="W225" s="17"/>
      <c r="X225" s="17"/>
      <c r="Y225" s="17"/>
      <c r="Z225" s="17"/>
      <c r="AA225" s="17"/>
      <c r="AB225" s="17"/>
      <c r="AC225" s="16" t="s">
        <v>3376</v>
      </c>
      <c r="AD225" s="16" t="e">
        <v>#N/A</v>
      </c>
      <c r="AE225" s="16" t="s">
        <v>2935</v>
      </c>
      <c r="AF225" s="17"/>
      <c r="AG225" s="17"/>
      <c r="AH225" s="16" t="s">
        <v>2842</v>
      </c>
      <c r="AI225" s="11"/>
    </row>
    <row r="226">
      <c r="A226" s="105" t="str">
        <f t="shared" si="6"/>
        <v>#REF!</v>
      </c>
      <c r="B226" s="106" t="s">
        <v>2543</v>
      </c>
      <c r="C226" s="106">
        <v>6.0020142E7</v>
      </c>
      <c r="D226" s="106" t="s">
        <v>2544</v>
      </c>
      <c r="E226" s="106" t="s">
        <v>3106</v>
      </c>
      <c r="F226" s="106" t="s">
        <v>1960</v>
      </c>
      <c r="G226" s="106" t="s">
        <v>2540</v>
      </c>
      <c r="H226" s="107"/>
      <c r="I226" s="16" t="s">
        <v>12</v>
      </c>
      <c r="J226" s="17"/>
      <c r="K226" s="16" t="s">
        <v>13</v>
      </c>
      <c r="L226" s="16" t="s">
        <v>3373</v>
      </c>
      <c r="M226" s="108">
        <v>44922.0</v>
      </c>
      <c r="N226" s="109">
        <f t="shared" si="5"/>
        <v>3.208333333</v>
      </c>
      <c r="O226" s="111"/>
      <c r="P226" s="16" t="s">
        <v>3136</v>
      </c>
      <c r="Q226" s="17"/>
      <c r="R226" s="17"/>
      <c r="S226" s="17"/>
      <c r="T226" s="16" t="s">
        <v>2543</v>
      </c>
      <c r="U226" s="17"/>
      <c r="V226" s="17"/>
      <c r="W226" s="17"/>
      <c r="X226" s="17"/>
      <c r="Y226" s="17"/>
      <c r="Z226" s="17"/>
      <c r="AA226" s="17"/>
      <c r="AB226" s="17"/>
      <c r="AC226" s="16" t="e">
        <v>#N/A</v>
      </c>
      <c r="AD226" s="16" t="s">
        <v>3377</v>
      </c>
      <c r="AE226" s="16" t="s">
        <v>2935</v>
      </c>
      <c r="AF226" s="17"/>
      <c r="AG226" s="17"/>
      <c r="AH226" s="17"/>
      <c r="AI226" s="11"/>
    </row>
    <row r="227">
      <c r="A227" s="105" t="str">
        <f t="shared" si="6"/>
        <v>#REF!</v>
      </c>
      <c r="B227" s="126" t="s">
        <v>2545</v>
      </c>
      <c r="C227" s="126">
        <v>6.002025E7</v>
      </c>
      <c r="D227" s="106" t="s">
        <v>2546</v>
      </c>
      <c r="E227" s="106" t="s">
        <v>3106</v>
      </c>
      <c r="F227" s="106" t="s">
        <v>1960</v>
      </c>
      <c r="G227" s="106" t="s">
        <v>2540</v>
      </c>
      <c r="H227" s="107"/>
      <c r="I227" s="16" t="s">
        <v>12</v>
      </c>
      <c r="J227" s="17"/>
      <c r="K227" s="16" t="s">
        <v>13</v>
      </c>
      <c r="L227" s="16" t="s">
        <v>3373</v>
      </c>
      <c r="M227" s="108">
        <v>44998.0</v>
      </c>
      <c r="N227" s="109">
        <f t="shared" si="5"/>
        <v>2.997222222</v>
      </c>
      <c r="O227" s="111"/>
      <c r="P227" s="16" t="s">
        <v>3136</v>
      </c>
      <c r="Q227" s="115">
        <v>44935.0</v>
      </c>
      <c r="R227" s="17"/>
      <c r="S227" s="17"/>
      <c r="T227" s="119" t="s">
        <v>2545</v>
      </c>
      <c r="U227" s="17"/>
      <c r="V227" s="17"/>
      <c r="W227" s="17"/>
      <c r="X227" s="17"/>
      <c r="Y227" s="17"/>
      <c r="Z227" s="17"/>
      <c r="AA227" s="17"/>
      <c r="AB227" s="17"/>
      <c r="AC227" s="16" t="s">
        <v>3378</v>
      </c>
      <c r="AD227" s="16" t="s">
        <v>3379</v>
      </c>
      <c r="AE227" s="16" t="s">
        <v>2935</v>
      </c>
      <c r="AF227" s="17"/>
      <c r="AG227" s="17"/>
      <c r="AH227" s="17"/>
      <c r="AI227" s="11"/>
    </row>
    <row r="228">
      <c r="A228" s="105" t="str">
        <f t="shared" si="6"/>
        <v>#REF!</v>
      </c>
      <c r="B228" s="126" t="s">
        <v>2547</v>
      </c>
      <c r="C228" s="126">
        <v>6.0020251E7</v>
      </c>
      <c r="D228" s="106" t="s">
        <v>2548</v>
      </c>
      <c r="E228" s="106" t="s">
        <v>3106</v>
      </c>
      <c r="F228" s="106" t="s">
        <v>1960</v>
      </c>
      <c r="G228" s="106" t="s">
        <v>2540</v>
      </c>
      <c r="H228" s="107"/>
      <c r="I228" s="16" t="s">
        <v>12</v>
      </c>
      <c r="J228" s="17"/>
      <c r="K228" s="16" t="s">
        <v>13</v>
      </c>
      <c r="L228" s="16" t="s">
        <v>3373</v>
      </c>
      <c r="M228" s="108">
        <v>44998.0</v>
      </c>
      <c r="N228" s="109">
        <f t="shared" si="5"/>
        <v>2.997222222</v>
      </c>
      <c r="O228" s="111"/>
      <c r="P228" s="16" t="s">
        <v>3136</v>
      </c>
      <c r="Q228" s="17"/>
      <c r="R228" s="17"/>
      <c r="S228" s="17"/>
      <c r="T228" s="119" t="s">
        <v>2547</v>
      </c>
      <c r="U228" s="17"/>
      <c r="V228" s="17"/>
      <c r="W228" s="17"/>
      <c r="X228" s="17"/>
      <c r="Y228" s="17"/>
      <c r="Z228" s="17"/>
      <c r="AA228" s="17"/>
      <c r="AB228" s="17"/>
      <c r="AC228" s="16" t="e">
        <v>#N/A</v>
      </c>
      <c r="AD228" s="16" t="s">
        <v>3380</v>
      </c>
      <c r="AE228" s="16" t="s">
        <v>2935</v>
      </c>
      <c r="AF228" s="17"/>
      <c r="AG228" s="17"/>
      <c r="AH228" s="17"/>
      <c r="AI228" s="11"/>
    </row>
    <row r="229">
      <c r="A229" s="105" t="str">
        <f t="shared" si="6"/>
        <v>#REF!</v>
      </c>
      <c r="B229" s="126" t="s">
        <v>2549</v>
      </c>
      <c r="C229" s="126">
        <v>6.0020252E7</v>
      </c>
      <c r="D229" s="106" t="s">
        <v>2550</v>
      </c>
      <c r="E229" s="106" t="s">
        <v>3106</v>
      </c>
      <c r="F229" s="106" t="s">
        <v>1960</v>
      </c>
      <c r="G229" s="106" t="s">
        <v>2540</v>
      </c>
      <c r="H229" s="107"/>
      <c r="I229" s="16" t="s">
        <v>12</v>
      </c>
      <c r="J229" s="17"/>
      <c r="K229" s="16" t="s">
        <v>13</v>
      </c>
      <c r="L229" s="16" t="s">
        <v>3373</v>
      </c>
      <c r="M229" s="108">
        <v>44998.0</v>
      </c>
      <c r="N229" s="109">
        <f t="shared" si="5"/>
        <v>2.997222222</v>
      </c>
      <c r="O229" s="16" t="s">
        <v>3136</v>
      </c>
      <c r="P229" s="16" t="s">
        <v>2557</v>
      </c>
      <c r="Q229" s="123">
        <v>45903.0</v>
      </c>
      <c r="R229" s="17"/>
      <c r="S229" s="17"/>
      <c r="T229" s="119" t="s">
        <v>2549</v>
      </c>
      <c r="U229" s="17"/>
      <c r="V229" s="17"/>
      <c r="W229" s="17"/>
      <c r="X229" s="17"/>
      <c r="Y229" s="17"/>
      <c r="Z229" s="17"/>
      <c r="AA229" s="17"/>
      <c r="AB229" s="17"/>
      <c r="AC229" s="16" t="s">
        <v>3381</v>
      </c>
      <c r="AD229" s="16" t="e">
        <v>#N/A</v>
      </c>
      <c r="AE229" s="16" t="s">
        <v>2935</v>
      </c>
      <c r="AF229" s="17"/>
      <c r="AG229" s="17"/>
      <c r="AH229" s="16" t="s">
        <v>2898</v>
      </c>
      <c r="AI229" s="11"/>
    </row>
    <row r="230">
      <c r="A230" s="105" t="str">
        <f t="shared" si="6"/>
        <v>#REF!</v>
      </c>
      <c r="B230" s="126" t="s">
        <v>2551</v>
      </c>
      <c r="C230" s="126">
        <v>6.0020253E7</v>
      </c>
      <c r="D230" s="106" t="s">
        <v>2552</v>
      </c>
      <c r="E230" s="106" t="s">
        <v>3106</v>
      </c>
      <c r="F230" s="106" t="s">
        <v>1960</v>
      </c>
      <c r="G230" s="106" t="s">
        <v>2540</v>
      </c>
      <c r="H230" s="107"/>
      <c r="I230" s="16" t="s">
        <v>12</v>
      </c>
      <c r="J230" s="17"/>
      <c r="K230" s="16" t="s">
        <v>13</v>
      </c>
      <c r="L230" s="16" t="s">
        <v>3373</v>
      </c>
      <c r="M230" s="108">
        <v>44998.0</v>
      </c>
      <c r="N230" s="109">
        <f t="shared" si="5"/>
        <v>2.997222222</v>
      </c>
      <c r="O230" s="111"/>
      <c r="P230" s="16" t="s">
        <v>3136</v>
      </c>
      <c r="Q230" s="17"/>
      <c r="R230" s="17"/>
      <c r="S230" s="17"/>
      <c r="T230" s="119" t="s">
        <v>2551</v>
      </c>
      <c r="U230" s="17"/>
      <c r="V230" s="17"/>
      <c r="W230" s="17"/>
      <c r="X230" s="17"/>
      <c r="Y230" s="17"/>
      <c r="Z230" s="17"/>
      <c r="AA230" s="17"/>
      <c r="AB230" s="17"/>
      <c r="AC230" s="16" t="e">
        <v>#N/A</v>
      </c>
      <c r="AD230" s="16" t="s">
        <v>3382</v>
      </c>
      <c r="AE230" s="16" t="s">
        <v>2935</v>
      </c>
      <c r="AF230" s="17"/>
      <c r="AG230" s="17"/>
      <c r="AH230" s="17"/>
      <c r="AI230" s="11"/>
    </row>
    <row r="231">
      <c r="A231" s="105" t="str">
        <f t="shared" si="6"/>
        <v>#REF!</v>
      </c>
      <c r="B231" s="126" t="s">
        <v>2553</v>
      </c>
      <c r="C231" s="126">
        <v>6.0020254E7</v>
      </c>
      <c r="D231" s="106" t="s">
        <v>2554</v>
      </c>
      <c r="E231" s="106" t="s">
        <v>3106</v>
      </c>
      <c r="F231" s="106" t="s">
        <v>1960</v>
      </c>
      <c r="G231" s="106" t="s">
        <v>2540</v>
      </c>
      <c r="H231" s="107"/>
      <c r="I231" s="16" t="s">
        <v>12</v>
      </c>
      <c r="J231" s="17"/>
      <c r="K231" s="16" t="s">
        <v>13</v>
      </c>
      <c r="L231" s="16" t="s">
        <v>3373</v>
      </c>
      <c r="M231" s="108">
        <v>44998.0</v>
      </c>
      <c r="N231" s="109">
        <f t="shared" si="5"/>
        <v>2.997222222</v>
      </c>
      <c r="O231" s="17"/>
      <c r="P231" s="16" t="s">
        <v>3136</v>
      </c>
      <c r="Q231" s="111"/>
      <c r="R231" s="17"/>
      <c r="S231" s="17"/>
      <c r="T231" s="119" t="s">
        <v>2553</v>
      </c>
      <c r="U231" s="17"/>
      <c r="V231" s="17"/>
      <c r="W231" s="17"/>
      <c r="X231" s="17"/>
      <c r="Y231" s="17"/>
      <c r="Z231" s="17"/>
      <c r="AA231" s="17"/>
      <c r="AB231" s="17"/>
      <c r="AC231" s="16" t="e">
        <v>#N/A</v>
      </c>
      <c r="AD231" s="16" t="s">
        <v>3383</v>
      </c>
      <c r="AE231" s="16" t="s">
        <v>2935</v>
      </c>
      <c r="AF231" s="17"/>
      <c r="AG231" s="17"/>
      <c r="AH231" s="17"/>
      <c r="AI231" s="11"/>
    </row>
    <row r="232">
      <c r="A232" s="105" t="str">
        <f t="shared" si="6"/>
        <v>#REF!</v>
      </c>
      <c r="B232" s="126" t="s">
        <v>2555</v>
      </c>
      <c r="C232" s="126">
        <v>6.0020255E7</v>
      </c>
      <c r="D232" s="106" t="s">
        <v>2556</v>
      </c>
      <c r="E232" s="106" t="s">
        <v>3106</v>
      </c>
      <c r="F232" s="106" t="s">
        <v>1960</v>
      </c>
      <c r="G232" s="106" t="s">
        <v>2540</v>
      </c>
      <c r="H232" s="107"/>
      <c r="I232" s="16" t="s">
        <v>2557</v>
      </c>
      <c r="J232" s="17"/>
      <c r="K232" s="16" t="s">
        <v>13</v>
      </c>
      <c r="L232" s="16" t="s">
        <v>3373</v>
      </c>
      <c r="M232" s="108">
        <v>44998.0</v>
      </c>
      <c r="N232" s="109">
        <f t="shared" si="5"/>
        <v>2.997222222</v>
      </c>
      <c r="O232" s="16" t="s">
        <v>3136</v>
      </c>
      <c r="P232" s="16" t="s">
        <v>2557</v>
      </c>
      <c r="Q232" s="17"/>
      <c r="R232" s="17"/>
      <c r="S232" s="17"/>
      <c r="T232" s="119" t="s">
        <v>2555</v>
      </c>
      <c r="U232" s="17"/>
      <c r="V232" s="17"/>
      <c r="W232" s="17"/>
      <c r="X232" s="17"/>
      <c r="Y232" s="17"/>
      <c r="Z232" s="17"/>
      <c r="AA232" s="17"/>
      <c r="AB232" s="17"/>
      <c r="AC232" s="16" t="s">
        <v>3384</v>
      </c>
      <c r="AD232" s="16" t="e">
        <v>#N/A</v>
      </c>
      <c r="AE232" s="16" t="s">
        <v>2935</v>
      </c>
      <c r="AF232" s="17"/>
      <c r="AG232" s="17"/>
      <c r="AH232" s="16" t="s">
        <v>2842</v>
      </c>
      <c r="AI232" s="11"/>
    </row>
    <row r="233">
      <c r="A233" s="105" t="str">
        <f t="shared" si="6"/>
        <v>#REF!</v>
      </c>
      <c r="B233" s="126" t="s">
        <v>2558</v>
      </c>
      <c r="C233" s="126">
        <v>6.0020256E7</v>
      </c>
      <c r="D233" s="106" t="s">
        <v>2559</v>
      </c>
      <c r="E233" s="106" t="s">
        <v>3106</v>
      </c>
      <c r="F233" s="106" t="s">
        <v>1960</v>
      </c>
      <c r="G233" s="106" t="s">
        <v>2540</v>
      </c>
      <c r="H233" s="107"/>
      <c r="I233" s="16" t="s">
        <v>2491</v>
      </c>
      <c r="J233" s="17"/>
      <c r="K233" s="16" t="s">
        <v>13</v>
      </c>
      <c r="L233" s="16" t="s">
        <v>3373</v>
      </c>
      <c r="M233" s="108">
        <v>44998.0</v>
      </c>
      <c r="N233" s="109">
        <f t="shared" si="5"/>
        <v>2.997222222</v>
      </c>
      <c r="O233" s="111"/>
      <c r="P233" s="16" t="s">
        <v>3136</v>
      </c>
      <c r="Q233" s="17"/>
      <c r="R233" s="17"/>
      <c r="S233" s="17"/>
      <c r="T233" s="119" t="s">
        <v>2558</v>
      </c>
      <c r="U233" s="17"/>
      <c r="V233" s="17"/>
      <c r="W233" s="17"/>
      <c r="X233" s="17"/>
      <c r="Y233" s="17"/>
      <c r="Z233" s="17"/>
      <c r="AA233" s="17"/>
      <c r="AB233" s="17"/>
      <c r="AC233" s="16" t="s">
        <v>3385</v>
      </c>
      <c r="AD233" s="16" t="e">
        <v>#N/A</v>
      </c>
      <c r="AE233" s="16" t="s">
        <v>2935</v>
      </c>
      <c r="AF233" s="17"/>
      <c r="AG233" s="17"/>
      <c r="AH233" s="16" t="s">
        <v>3386</v>
      </c>
      <c r="AI233" s="11"/>
    </row>
    <row r="234">
      <c r="A234" s="105" t="str">
        <f t="shared" si="6"/>
        <v>#REF!</v>
      </c>
      <c r="B234" s="126" t="s">
        <v>2560</v>
      </c>
      <c r="C234" s="126">
        <v>6.0020257E7</v>
      </c>
      <c r="D234" s="106" t="s">
        <v>2561</v>
      </c>
      <c r="E234" s="106" t="s">
        <v>3106</v>
      </c>
      <c r="F234" s="106" t="s">
        <v>1960</v>
      </c>
      <c r="G234" s="106" t="s">
        <v>2540</v>
      </c>
      <c r="H234" s="107"/>
      <c r="I234" s="16" t="s">
        <v>12</v>
      </c>
      <c r="J234" s="17"/>
      <c r="K234" s="16" t="s">
        <v>13</v>
      </c>
      <c r="L234" s="16" t="s">
        <v>3373</v>
      </c>
      <c r="M234" s="108">
        <v>44998.0</v>
      </c>
      <c r="N234" s="109">
        <f t="shared" si="5"/>
        <v>2.997222222</v>
      </c>
      <c r="O234" s="16" t="s">
        <v>2557</v>
      </c>
      <c r="P234" s="16" t="s">
        <v>3136</v>
      </c>
      <c r="Q234" s="118">
        <v>45993.0</v>
      </c>
      <c r="R234" s="17"/>
      <c r="S234" s="17"/>
      <c r="T234" s="119" t="s">
        <v>2560</v>
      </c>
      <c r="U234" s="17"/>
      <c r="V234" s="17"/>
      <c r="W234" s="17"/>
      <c r="X234" s="17"/>
      <c r="Y234" s="17"/>
      <c r="Z234" s="17"/>
      <c r="AA234" s="17"/>
      <c r="AB234" s="17"/>
      <c r="AC234" s="16" t="s">
        <v>3387</v>
      </c>
      <c r="AD234" s="16" t="s">
        <v>3388</v>
      </c>
      <c r="AE234" s="16" t="s">
        <v>3389</v>
      </c>
      <c r="AF234" s="17"/>
      <c r="AG234" s="17"/>
      <c r="AH234" s="17"/>
      <c r="AI234" s="11"/>
    </row>
    <row r="235">
      <c r="A235" s="105" t="str">
        <f t="shared" si="6"/>
        <v>#REF!</v>
      </c>
      <c r="B235" s="126" t="s">
        <v>2562</v>
      </c>
      <c r="C235" s="126">
        <v>6.0020258E7</v>
      </c>
      <c r="D235" s="106" t="s">
        <v>2563</v>
      </c>
      <c r="E235" s="106" t="s">
        <v>3106</v>
      </c>
      <c r="F235" s="106" t="s">
        <v>1960</v>
      </c>
      <c r="G235" s="106" t="s">
        <v>2540</v>
      </c>
      <c r="H235" s="107"/>
      <c r="I235" s="16" t="s">
        <v>12</v>
      </c>
      <c r="J235" s="17"/>
      <c r="K235" s="16" t="s">
        <v>13</v>
      </c>
      <c r="L235" s="16" t="s">
        <v>3373</v>
      </c>
      <c r="M235" s="108">
        <v>44998.0</v>
      </c>
      <c r="N235" s="109">
        <f t="shared" si="5"/>
        <v>2.997222222</v>
      </c>
      <c r="O235" s="16" t="s">
        <v>3136</v>
      </c>
      <c r="P235" s="16" t="s">
        <v>2557</v>
      </c>
      <c r="Q235" s="122">
        <v>45771.0</v>
      </c>
      <c r="R235" s="17"/>
      <c r="S235" s="17"/>
      <c r="T235" s="119" t="s">
        <v>2562</v>
      </c>
      <c r="U235" s="17"/>
      <c r="V235" s="17"/>
      <c r="W235" s="17"/>
      <c r="X235" s="17"/>
      <c r="Y235" s="17"/>
      <c r="Z235" s="17"/>
      <c r="AA235" s="17"/>
      <c r="AB235" s="17"/>
      <c r="AC235" s="16" t="s">
        <v>3390</v>
      </c>
      <c r="AD235" s="16" t="e">
        <v>#N/A</v>
      </c>
      <c r="AE235" s="16" t="s">
        <v>2935</v>
      </c>
      <c r="AF235" s="17"/>
      <c r="AG235" s="17"/>
      <c r="AH235" s="17"/>
      <c r="AI235" s="11"/>
    </row>
    <row r="236">
      <c r="A236" s="105" t="str">
        <f t="shared" si="6"/>
        <v>#REF!</v>
      </c>
      <c r="B236" s="126" t="s">
        <v>2564</v>
      </c>
      <c r="C236" s="126">
        <v>6.0020262E7</v>
      </c>
      <c r="D236" s="106" t="s">
        <v>2565</v>
      </c>
      <c r="E236" s="106" t="s">
        <v>3106</v>
      </c>
      <c r="F236" s="106" t="s">
        <v>1960</v>
      </c>
      <c r="G236" s="106" t="s">
        <v>2540</v>
      </c>
      <c r="H236" s="107"/>
      <c r="I236" s="16" t="s">
        <v>12</v>
      </c>
      <c r="J236" s="17"/>
      <c r="K236" s="16" t="s">
        <v>13</v>
      </c>
      <c r="L236" s="16" t="s">
        <v>3373</v>
      </c>
      <c r="M236" s="108">
        <v>44998.0</v>
      </c>
      <c r="N236" s="109">
        <f t="shared" si="5"/>
        <v>2.997222222</v>
      </c>
      <c r="O236" s="16" t="s">
        <v>3136</v>
      </c>
      <c r="P236" s="16" t="s">
        <v>2557</v>
      </c>
      <c r="Q236" s="122">
        <v>45299.0</v>
      </c>
      <c r="R236" s="17"/>
      <c r="S236" s="17"/>
      <c r="T236" s="119" t="s">
        <v>2564</v>
      </c>
      <c r="U236" s="17"/>
      <c r="V236" s="17"/>
      <c r="W236" s="17"/>
      <c r="X236" s="17"/>
      <c r="Y236" s="17"/>
      <c r="Z236" s="17"/>
      <c r="AA236" s="17"/>
      <c r="AB236" s="17"/>
      <c r="AC236" s="16" t="e">
        <v>#N/A</v>
      </c>
      <c r="AD236" s="16" t="s">
        <v>3391</v>
      </c>
      <c r="AE236" s="16" t="s">
        <v>2935</v>
      </c>
      <c r="AF236" s="17"/>
      <c r="AG236" s="17"/>
      <c r="AH236" s="16" t="s">
        <v>3172</v>
      </c>
      <c r="AI236" s="11"/>
    </row>
    <row r="237">
      <c r="A237" s="105" t="str">
        <f t="shared" si="6"/>
        <v>#REF!</v>
      </c>
      <c r="B237" s="126" t="s">
        <v>2566</v>
      </c>
      <c r="C237" s="126">
        <v>6.0020264E7</v>
      </c>
      <c r="D237" s="106" t="s">
        <v>2567</v>
      </c>
      <c r="E237" s="106" t="s">
        <v>3106</v>
      </c>
      <c r="F237" s="106" t="s">
        <v>1960</v>
      </c>
      <c r="G237" s="106" t="s">
        <v>2540</v>
      </c>
      <c r="H237" s="107"/>
      <c r="I237" s="16" t="s">
        <v>12</v>
      </c>
      <c r="J237" s="17"/>
      <c r="K237" s="16" t="s">
        <v>13</v>
      </c>
      <c r="L237" s="16" t="s">
        <v>3373</v>
      </c>
      <c r="M237" s="108">
        <v>44998.0</v>
      </c>
      <c r="N237" s="109">
        <f t="shared" si="5"/>
        <v>2.997222222</v>
      </c>
      <c r="O237" s="16" t="s">
        <v>2557</v>
      </c>
      <c r="P237" s="16" t="s">
        <v>3136</v>
      </c>
      <c r="Q237" s="122">
        <v>45299.0</v>
      </c>
      <c r="R237" s="17"/>
      <c r="S237" s="16" t="s">
        <v>3148</v>
      </c>
      <c r="T237" s="119" t="s">
        <v>2566</v>
      </c>
      <c r="U237" s="17"/>
      <c r="V237" s="17"/>
      <c r="W237" s="17"/>
      <c r="X237" s="17"/>
      <c r="Y237" s="17"/>
      <c r="Z237" s="17"/>
      <c r="AA237" s="17"/>
      <c r="AB237" s="17"/>
      <c r="AC237" s="16" t="s">
        <v>3392</v>
      </c>
      <c r="AD237" s="16" t="s">
        <v>3391</v>
      </c>
      <c r="AE237" s="16" t="s">
        <v>2935</v>
      </c>
      <c r="AF237" s="17"/>
      <c r="AG237" s="17"/>
      <c r="AH237" s="17"/>
      <c r="AI237" s="11"/>
    </row>
    <row r="238">
      <c r="A238" s="105" t="str">
        <f t="shared" si="6"/>
        <v>#REF!</v>
      </c>
      <c r="B238" s="126" t="s">
        <v>2568</v>
      </c>
      <c r="C238" s="106">
        <v>6.0020297E7</v>
      </c>
      <c r="D238" s="106" t="s">
        <v>2569</v>
      </c>
      <c r="E238" s="106" t="s">
        <v>3106</v>
      </c>
      <c r="F238" s="106" t="s">
        <v>1960</v>
      </c>
      <c r="G238" s="106" t="s">
        <v>2540</v>
      </c>
      <c r="H238" s="107"/>
      <c r="I238" s="16" t="s">
        <v>12</v>
      </c>
      <c r="J238" s="17"/>
      <c r="K238" s="16" t="s">
        <v>13</v>
      </c>
      <c r="L238" s="16" t="s">
        <v>3373</v>
      </c>
      <c r="M238" s="108">
        <v>45008.0</v>
      </c>
      <c r="N238" s="109">
        <f t="shared" si="5"/>
        <v>2.969444444</v>
      </c>
      <c r="O238" s="111"/>
      <c r="P238" s="16" t="s">
        <v>3136</v>
      </c>
      <c r="Q238" s="17"/>
      <c r="R238" s="17"/>
      <c r="S238" s="17"/>
      <c r="T238" s="119" t="s">
        <v>2568</v>
      </c>
      <c r="U238" s="17"/>
      <c r="V238" s="17"/>
      <c r="W238" s="17"/>
      <c r="X238" s="17"/>
      <c r="Y238" s="17"/>
      <c r="Z238" s="17"/>
      <c r="AA238" s="17"/>
      <c r="AB238" s="17"/>
      <c r="AC238" s="16" t="e">
        <v>#N/A</v>
      </c>
      <c r="AD238" s="16" t="s">
        <v>3393</v>
      </c>
      <c r="AE238" s="16" t="s">
        <v>3394</v>
      </c>
      <c r="AF238" s="17"/>
      <c r="AG238" s="17"/>
      <c r="AH238" s="16" t="s">
        <v>3395</v>
      </c>
      <c r="AI238" s="11"/>
    </row>
    <row r="239">
      <c r="A239" s="105" t="str">
        <f t="shared" si="6"/>
        <v>#REF!</v>
      </c>
      <c r="B239" s="106" t="s">
        <v>2570</v>
      </c>
      <c r="C239" s="106">
        <v>6.0020433E7</v>
      </c>
      <c r="D239" s="106" t="s">
        <v>2571</v>
      </c>
      <c r="E239" s="106" t="s">
        <v>3106</v>
      </c>
      <c r="F239" s="106" t="s">
        <v>1960</v>
      </c>
      <c r="G239" s="127" t="s">
        <v>2572</v>
      </c>
      <c r="H239" s="107"/>
      <c r="I239" s="16" t="s">
        <v>12</v>
      </c>
      <c r="J239" s="128" t="s">
        <v>3396</v>
      </c>
      <c r="K239" s="16" t="s">
        <v>13</v>
      </c>
      <c r="L239" s="16" t="s">
        <v>3373</v>
      </c>
      <c r="M239" s="108">
        <v>45143.0</v>
      </c>
      <c r="N239" s="109">
        <f t="shared" si="5"/>
        <v>2.602777778</v>
      </c>
      <c r="O239" s="16" t="s">
        <v>2557</v>
      </c>
      <c r="P239" s="16" t="s">
        <v>3136</v>
      </c>
      <c r="Q239" s="115">
        <v>45196.0</v>
      </c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6" t="s">
        <v>3397</v>
      </c>
      <c r="AE239" s="17"/>
      <c r="AF239" s="17"/>
      <c r="AG239" s="117">
        <v>4.500013245E9</v>
      </c>
      <c r="AH239" s="16" t="s">
        <v>3397</v>
      </c>
      <c r="AI239" s="11"/>
    </row>
    <row r="240">
      <c r="A240" s="105" t="str">
        <f t="shared" si="6"/>
        <v>#REF!</v>
      </c>
      <c r="B240" s="106" t="s">
        <v>2573</v>
      </c>
      <c r="C240" s="106">
        <v>6.0020434E7</v>
      </c>
      <c r="D240" s="106" t="s">
        <v>2574</v>
      </c>
      <c r="E240" s="106" t="s">
        <v>3106</v>
      </c>
      <c r="F240" s="106" t="s">
        <v>1960</v>
      </c>
      <c r="G240" s="127" t="s">
        <v>2572</v>
      </c>
      <c r="H240" s="107"/>
      <c r="I240" s="16" t="s">
        <v>12</v>
      </c>
      <c r="J240" s="128" t="s">
        <v>3396</v>
      </c>
      <c r="K240" s="16" t="s">
        <v>13</v>
      </c>
      <c r="L240" s="16" t="s">
        <v>3373</v>
      </c>
      <c r="M240" s="108">
        <v>45143.0</v>
      </c>
      <c r="N240" s="109">
        <f t="shared" si="5"/>
        <v>2.602777778</v>
      </c>
      <c r="O240" s="16" t="s">
        <v>2557</v>
      </c>
      <c r="P240" s="16" t="s">
        <v>3136</v>
      </c>
      <c r="Q240" s="115">
        <v>45196.0</v>
      </c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6" t="s">
        <v>3398</v>
      </c>
      <c r="AE240" s="17"/>
      <c r="AF240" s="17"/>
      <c r="AG240" s="117">
        <v>4.500013245E9</v>
      </c>
      <c r="AH240" s="16" t="s">
        <v>3398</v>
      </c>
      <c r="AI240" s="11"/>
    </row>
    <row r="241">
      <c r="A241" s="105" t="str">
        <f t="shared" si="6"/>
        <v>#REF!</v>
      </c>
      <c r="B241" s="106" t="s">
        <v>2575</v>
      </c>
      <c r="C241" s="106">
        <v>6.0020435E7</v>
      </c>
      <c r="D241" s="106" t="s">
        <v>2576</v>
      </c>
      <c r="E241" s="106" t="s">
        <v>3106</v>
      </c>
      <c r="F241" s="106" t="s">
        <v>1960</v>
      </c>
      <c r="G241" s="127" t="s">
        <v>2572</v>
      </c>
      <c r="H241" s="107"/>
      <c r="I241" s="16" t="s">
        <v>12</v>
      </c>
      <c r="J241" s="128" t="s">
        <v>3396</v>
      </c>
      <c r="K241" s="16" t="s">
        <v>13</v>
      </c>
      <c r="L241" s="16" t="s">
        <v>3373</v>
      </c>
      <c r="M241" s="108">
        <v>45143.0</v>
      </c>
      <c r="N241" s="109">
        <f t="shared" si="5"/>
        <v>2.602777778</v>
      </c>
      <c r="O241" s="16" t="s">
        <v>2557</v>
      </c>
      <c r="P241" s="16" t="s">
        <v>3136</v>
      </c>
      <c r="Q241" s="115">
        <v>45144.0</v>
      </c>
      <c r="R241" s="17"/>
      <c r="S241" s="17"/>
      <c r="T241" s="16" t="s">
        <v>2575</v>
      </c>
      <c r="U241" s="17"/>
      <c r="V241" s="17"/>
      <c r="W241" s="17"/>
      <c r="X241" s="17"/>
      <c r="Y241" s="17"/>
      <c r="Z241" s="17"/>
      <c r="AA241" s="17"/>
      <c r="AB241" s="17"/>
      <c r="AC241" s="17"/>
      <c r="AD241" s="16" t="s">
        <v>3124</v>
      </c>
      <c r="AE241" s="16" t="s">
        <v>3125</v>
      </c>
      <c r="AF241" s="17"/>
      <c r="AG241" s="117">
        <v>4.500013245E9</v>
      </c>
      <c r="AH241" s="16" t="s">
        <v>3124</v>
      </c>
      <c r="AI241" s="11"/>
    </row>
    <row r="242">
      <c r="A242" s="105" t="str">
        <f t="shared" si="6"/>
        <v>#REF!</v>
      </c>
      <c r="B242" s="106" t="s">
        <v>2577</v>
      </c>
      <c r="C242" s="106">
        <v>6.0020436E7</v>
      </c>
      <c r="D242" s="106" t="s">
        <v>2578</v>
      </c>
      <c r="E242" s="106" t="s">
        <v>3106</v>
      </c>
      <c r="F242" s="106" t="s">
        <v>1960</v>
      </c>
      <c r="G242" s="127" t="s">
        <v>2572</v>
      </c>
      <c r="H242" s="107"/>
      <c r="I242" s="16" t="s">
        <v>12</v>
      </c>
      <c r="J242" s="128" t="s">
        <v>3396</v>
      </c>
      <c r="K242" s="16" t="s">
        <v>13</v>
      </c>
      <c r="L242" s="16" t="s">
        <v>3373</v>
      </c>
      <c r="M242" s="108">
        <v>45143.0</v>
      </c>
      <c r="N242" s="109">
        <f t="shared" si="5"/>
        <v>2.602777778</v>
      </c>
      <c r="O242" s="16" t="s">
        <v>2557</v>
      </c>
      <c r="P242" s="16" t="s">
        <v>3136</v>
      </c>
      <c r="Q242" s="115">
        <v>45203.0</v>
      </c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6" t="s">
        <v>3140</v>
      </c>
      <c r="AE242" s="16" t="s">
        <v>3125</v>
      </c>
      <c r="AF242" s="17"/>
      <c r="AG242" s="117">
        <v>4.500013245E9</v>
      </c>
      <c r="AH242" s="16" t="s">
        <v>3140</v>
      </c>
      <c r="AI242" s="11"/>
    </row>
    <row r="243">
      <c r="A243" s="105" t="str">
        <f t="shared" si="6"/>
        <v>#REF!</v>
      </c>
      <c r="B243" s="106" t="s">
        <v>2579</v>
      </c>
      <c r="C243" s="106">
        <v>6.0020437E7</v>
      </c>
      <c r="D243" s="106" t="s">
        <v>2580</v>
      </c>
      <c r="E243" s="106" t="s">
        <v>3106</v>
      </c>
      <c r="F243" s="106" t="s">
        <v>1960</v>
      </c>
      <c r="G243" s="127" t="s">
        <v>2572</v>
      </c>
      <c r="H243" s="107"/>
      <c r="I243" s="16" t="s">
        <v>12</v>
      </c>
      <c r="J243" s="128" t="s">
        <v>3396</v>
      </c>
      <c r="K243" s="16" t="s">
        <v>13</v>
      </c>
      <c r="L243" s="16" t="s">
        <v>3373</v>
      </c>
      <c r="M243" s="108">
        <v>45143.0</v>
      </c>
      <c r="N243" s="109">
        <f t="shared" si="5"/>
        <v>2.602777778</v>
      </c>
      <c r="O243" s="16" t="s">
        <v>2557</v>
      </c>
      <c r="P243" s="16" t="s">
        <v>3136</v>
      </c>
      <c r="Q243" s="115">
        <v>45258.0</v>
      </c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6" t="s">
        <v>3399</v>
      </c>
      <c r="AE243" s="129" t="s">
        <v>3400</v>
      </c>
      <c r="AF243" s="17"/>
      <c r="AG243" s="117">
        <v>4.500013245E9</v>
      </c>
      <c r="AH243" s="16" t="s">
        <v>3399</v>
      </c>
      <c r="AI243" s="11"/>
    </row>
    <row r="244">
      <c r="A244" s="105" t="str">
        <f t="shared" si="6"/>
        <v>#REF!</v>
      </c>
      <c r="B244" s="106" t="s">
        <v>2581</v>
      </c>
      <c r="C244" s="106">
        <v>6.0020438E7</v>
      </c>
      <c r="D244" s="106" t="s">
        <v>2582</v>
      </c>
      <c r="E244" s="106" t="s">
        <v>3106</v>
      </c>
      <c r="F244" s="106" t="s">
        <v>1960</v>
      </c>
      <c r="G244" s="127" t="s">
        <v>2572</v>
      </c>
      <c r="H244" s="107"/>
      <c r="I244" s="16" t="s">
        <v>12</v>
      </c>
      <c r="J244" s="128" t="s">
        <v>3396</v>
      </c>
      <c r="K244" s="16" t="s">
        <v>13</v>
      </c>
      <c r="L244" s="16" t="s">
        <v>3373</v>
      </c>
      <c r="M244" s="108">
        <v>45143.0</v>
      </c>
      <c r="N244" s="109">
        <f t="shared" si="5"/>
        <v>2.602777778</v>
      </c>
      <c r="O244" s="16" t="s">
        <v>2557</v>
      </c>
      <c r="P244" s="16" t="s">
        <v>3136</v>
      </c>
      <c r="Q244" s="115">
        <v>45215.0</v>
      </c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6" t="s">
        <v>3401</v>
      </c>
      <c r="AE244" s="16" t="s">
        <v>3402</v>
      </c>
      <c r="AF244" s="17"/>
      <c r="AG244" s="117">
        <v>4.500013245E9</v>
      </c>
      <c r="AH244" s="17"/>
      <c r="AI244" s="11"/>
    </row>
    <row r="245">
      <c r="A245" s="105" t="str">
        <f t="shared" si="6"/>
        <v>#REF!</v>
      </c>
      <c r="B245" s="106" t="s">
        <v>2583</v>
      </c>
      <c r="C245" s="106">
        <v>6.0020439E7</v>
      </c>
      <c r="D245" s="106" t="s">
        <v>2584</v>
      </c>
      <c r="E245" s="106" t="s">
        <v>3106</v>
      </c>
      <c r="F245" s="106" t="s">
        <v>1960</v>
      </c>
      <c r="G245" s="127" t="s">
        <v>2572</v>
      </c>
      <c r="H245" s="107"/>
      <c r="I245" s="16" t="s">
        <v>2173</v>
      </c>
      <c r="J245" s="128" t="s">
        <v>3396</v>
      </c>
      <c r="K245" s="16" t="s">
        <v>13</v>
      </c>
      <c r="L245" s="16" t="s">
        <v>3373</v>
      </c>
      <c r="M245" s="108">
        <v>45143.0</v>
      </c>
      <c r="N245" s="109">
        <f t="shared" si="5"/>
        <v>2.602777778</v>
      </c>
      <c r="O245" s="16" t="s">
        <v>2557</v>
      </c>
      <c r="P245" s="16" t="s">
        <v>3136</v>
      </c>
      <c r="Q245" s="17"/>
      <c r="R245" s="17"/>
      <c r="S245" s="16" t="s">
        <v>3148</v>
      </c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17">
        <v>4.500013245E9</v>
      </c>
      <c r="AH245" s="17"/>
      <c r="AI245" s="11"/>
    </row>
    <row r="246">
      <c r="A246" s="105" t="str">
        <f t="shared" si="6"/>
        <v>#REF!</v>
      </c>
      <c r="B246" s="106" t="s">
        <v>2585</v>
      </c>
      <c r="C246" s="106">
        <v>6.002044E7</v>
      </c>
      <c r="D246" s="106" t="s">
        <v>2586</v>
      </c>
      <c r="E246" s="106" t="s">
        <v>3106</v>
      </c>
      <c r="F246" s="106" t="s">
        <v>1960</v>
      </c>
      <c r="G246" s="127" t="s">
        <v>2572</v>
      </c>
      <c r="H246" s="107"/>
      <c r="I246" s="16" t="s">
        <v>12</v>
      </c>
      <c r="J246" s="128" t="s">
        <v>3396</v>
      </c>
      <c r="K246" s="16" t="s">
        <v>13</v>
      </c>
      <c r="L246" s="16" t="s">
        <v>3373</v>
      </c>
      <c r="M246" s="108">
        <v>45143.0</v>
      </c>
      <c r="N246" s="109">
        <f t="shared" si="5"/>
        <v>2.602777778</v>
      </c>
      <c r="O246" s="16" t="s">
        <v>2557</v>
      </c>
      <c r="P246" s="16" t="s">
        <v>2557</v>
      </c>
      <c r="Q246" s="115">
        <v>45222.0</v>
      </c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6" t="s">
        <v>3403</v>
      </c>
      <c r="AE246" s="16" t="s">
        <v>3404</v>
      </c>
      <c r="AF246" s="17"/>
      <c r="AG246" s="117">
        <v>4.500013245E9</v>
      </c>
      <c r="AH246" s="16" t="s">
        <v>3405</v>
      </c>
      <c r="AI246" s="11"/>
    </row>
    <row r="247">
      <c r="A247" s="105" t="str">
        <f t="shared" si="6"/>
        <v>#REF!</v>
      </c>
      <c r="B247" s="106" t="s">
        <v>2587</v>
      </c>
      <c r="C247" s="106">
        <v>6.0020442E7</v>
      </c>
      <c r="D247" s="106" t="s">
        <v>2588</v>
      </c>
      <c r="E247" s="106" t="s">
        <v>3106</v>
      </c>
      <c r="F247" s="106" t="s">
        <v>1960</v>
      </c>
      <c r="G247" s="127" t="s">
        <v>2572</v>
      </c>
      <c r="H247" s="107"/>
      <c r="I247" s="16" t="s">
        <v>12</v>
      </c>
      <c r="J247" s="128" t="s">
        <v>3396</v>
      </c>
      <c r="K247" s="16" t="s">
        <v>13</v>
      </c>
      <c r="L247" s="16" t="s">
        <v>3373</v>
      </c>
      <c r="M247" s="108">
        <v>45143.0</v>
      </c>
      <c r="N247" s="109">
        <f t="shared" si="5"/>
        <v>2.602777778</v>
      </c>
      <c r="O247" s="16" t="s">
        <v>2557</v>
      </c>
      <c r="P247" s="16" t="s">
        <v>3136</v>
      </c>
      <c r="Q247" s="115">
        <v>45240.0</v>
      </c>
      <c r="R247" s="17"/>
      <c r="S247" s="17"/>
      <c r="T247" s="16" t="s">
        <v>2587</v>
      </c>
      <c r="U247" s="17"/>
      <c r="V247" s="17"/>
      <c r="W247" s="17"/>
      <c r="X247" s="17"/>
      <c r="Y247" s="17"/>
      <c r="Z247" s="17"/>
      <c r="AA247" s="17"/>
      <c r="AB247" s="17"/>
      <c r="AC247" s="16" t="e">
        <v>#N/A</v>
      </c>
      <c r="AD247" s="16" t="s">
        <v>3406</v>
      </c>
      <c r="AE247" s="16" t="s">
        <v>3407</v>
      </c>
      <c r="AF247" s="17"/>
      <c r="AG247" s="117">
        <v>4.500013245E9</v>
      </c>
      <c r="AH247" s="16" t="s">
        <v>3408</v>
      </c>
      <c r="AI247" s="11"/>
    </row>
    <row r="248">
      <c r="A248" s="105" t="str">
        <f t="shared" si="6"/>
        <v>#REF!</v>
      </c>
      <c r="B248" s="106" t="s">
        <v>2589</v>
      </c>
      <c r="C248" s="106">
        <v>6.0020443E7</v>
      </c>
      <c r="D248" s="106" t="s">
        <v>2590</v>
      </c>
      <c r="E248" s="106" t="s">
        <v>3106</v>
      </c>
      <c r="F248" s="106" t="s">
        <v>1960</v>
      </c>
      <c r="G248" s="127" t="s">
        <v>2572</v>
      </c>
      <c r="H248" s="107"/>
      <c r="I248" s="16" t="s">
        <v>12</v>
      </c>
      <c r="J248" s="128" t="s">
        <v>3396</v>
      </c>
      <c r="K248" s="16" t="s">
        <v>13</v>
      </c>
      <c r="L248" s="16" t="s">
        <v>3373</v>
      </c>
      <c r="M248" s="108">
        <v>45143.0</v>
      </c>
      <c r="N248" s="109">
        <f t="shared" si="5"/>
        <v>2.602777778</v>
      </c>
      <c r="O248" s="16" t="s">
        <v>2557</v>
      </c>
      <c r="P248" s="16" t="s">
        <v>3136</v>
      </c>
      <c r="Q248" s="115">
        <v>45143.0</v>
      </c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6" t="s">
        <v>3409</v>
      </c>
      <c r="AE248" s="17"/>
      <c r="AF248" s="17"/>
      <c r="AG248" s="117">
        <v>4.500013245E9</v>
      </c>
      <c r="AH248" s="17"/>
      <c r="AI248" s="11"/>
    </row>
    <row r="249">
      <c r="A249" s="105" t="str">
        <f t="shared" si="6"/>
        <v>#REF!</v>
      </c>
      <c r="B249" s="106" t="s">
        <v>2591</v>
      </c>
      <c r="C249" s="106">
        <v>6.0020445E7</v>
      </c>
      <c r="D249" s="106" t="s">
        <v>2592</v>
      </c>
      <c r="E249" s="106" t="s">
        <v>3106</v>
      </c>
      <c r="F249" s="106" t="s">
        <v>1960</v>
      </c>
      <c r="G249" s="127" t="s">
        <v>2572</v>
      </c>
      <c r="H249" s="107"/>
      <c r="I249" s="16" t="s">
        <v>12</v>
      </c>
      <c r="J249" s="128" t="s">
        <v>3396</v>
      </c>
      <c r="K249" s="16" t="s">
        <v>13</v>
      </c>
      <c r="L249" s="16" t="s">
        <v>3373</v>
      </c>
      <c r="M249" s="108">
        <v>45143.0</v>
      </c>
      <c r="N249" s="109">
        <f t="shared" si="5"/>
        <v>2.602777778</v>
      </c>
      <c r="O249" s="16" t="s">
        <v>2557</v>
      </c>
      <c r="P249" s="16" t="s">
        <v>3136</v>
      </c>
      <c r="Q249" s="115">
        <v>45217.0</v>
      </c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6" t="s">
        <v>3410</v>
      </c>
      <c r="AE249" s="16" t="s">
        <v>3411</v>
      </c>
      <c r="AF249" s="17"/>
      <c r="AG249" s="117">
        <v>4.500013245E9</v>
      </c>
      <c r="AH249" s="16" t="s">
        <v>3410</v>
      </c>
      <c r="AI249" s="11"/>
    </row>
    <row r="250">
      <c r="A250" s="105" t="str">
        <f t="shared" si="6"/>
        <v>#REF!</v>
      </c>
      <c r="B250" s="106" t="s">
        <v>2593</v>
      </c>
      <c r="C250" s="106">
        <v>6.0020446E7</v>
      </c>
      <c r="D250" s="106" t="s">
        <v>2594</v>
      </c>
      <c r="E250" s="106" t="s">
        <v>3106</v>
      </c>
      <c r="F250" s="106" t="s">
        <v>1960</v>
      </c>
      <c r="G250" s="127" t="s">
        <v>2572</v>
      </c>
      <c r="H250" s="107"/>
      <c r="I250" s="16" t="s">
        <v>12</v>
      </c>
      <c r="J250" s="128" t="s">
        <v>3396</v>
      </c>
      <c r="K250" s="16" t="s">
        <v>13</v>
      </c>
      <c r="L250" s="16" t="s">
        <v>3373</v>
      </c>
      <c r="M250" s="108">
        <v>45143.0</v>
      </c>
      <c r="N250" s="109">
        <f t="shared" si="5"/>
        <v>2.602777778</v>
      </c>
      <c r="O250" s="16" t="s">
        <v>2557</v>
      </c>
      <c r="P250" s="16" t="s">
        <v>3136</v>
      </c>
      <c r="Q250" s="120">
        <v>45217.0</v>
      </c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6" t="s">
        <v>3412</v>
      </c>
      <c r="AE250" s="16" t="s">
        <v>3411</v>
      </c>
      <c r="AF250" s="17"/>
      <c r="AG250" s="117">
        <v>4.500013245E9</v>
      </c>
      <c r="AH250" s="16" t="s">
        <v>3412</v>
      </c>
      <c r="AI250" s="11"/>
    </row>
    <row r="251">
      <c r="A251" s="105" t="str">
        <f t="shared" si="6"/>
        <v>#REF!</v>
      </c>
      <c r="B251" s="106" t="s">
        <v>2595</v>
      </c>
      <c r="C251" s="106">
        <v>6.0020447E7</v>
      </c>
      <c r="D251" s="106" t="s">
        <v>2596</v>
      </c>
      <c r="E251" s="106" t="s">
        <v>3106</v>
      </c>
      <c r="F251" s="106" t="s">
        <v>1960</v>
      </c>
      <c r="G251" s="127" t="s">
        <v>2572</v>
      </c>
      <c r="H251" s="107"/>
      <c r="I251" s="16" t="s">
        <v>12</v>
      </c>
      <c r="J251" s="128" t="s">
        <v>3396</v>
      </c>
      <c r="K251" s="16" t="s">
        <v>13</v>
      </c>
      <c r="L251" s="16" t="s">
        <v>3373</v>
      </c>
      <c r="M251" s="108">
        <v>45143.0</v>
      </c>
      <c r="N251" s="109">
        <f t="shared" si="5"/>
        <v>2.602777778</v>
      </c>
      <c r="O251" s="16" t="s">
        <v>2557</v>
      </c>
      <c r="P251" s="16" t="s">
        <v>3136</v>
      </c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6" t="s">
        <v>3413</v>
      </c>
      <c r="AE251" s="17"/>
      <c r="AF251" s="17"/>
      <c r="AG251" s="117">
        <v>4.500013245E9</v>
      </c>
      <c r="AH251" s="17"/>
      <c r="AI251" s="11"/>
    </row>
    <row r="252">
      <c r="A252" s="105" t="str">
        <f t="shared" si="6"/>
        <v>#REF!</v>
      </c>
      <c r="B252" s="106" t="s">
        <v>2597</v>
      </c>
      <c r="C252" s="106">
        <v>6.0020448E7</v>
      </c>
      <c r="D252" s="106" t="s">
        <v>2598</v>
      </c>
      <c r="E252" s="106" t="s">
        <v>3106</v>
      </c>
      <c r="F252" s="106" t="s">
        <v>1960</v>
      </c>
      <c r="G252" s="127" t="s">
        <v>2572</v>
      </c>
      <c r="H252" s="107"/>
      <c r="I252" s="16" t="s">
        <v>2173</v>
      </c>
      <c r="J252" s="128" t="s">
        <v>3396</v>
      </c>
      <c r="K252" s="16" t="s">
        <v>13</v>
      </c>
      <c r="L252" s="16" t="s">
        <v>3373</v>
      </c>
      <c r="M252" s="108">
        <v>45143.0</v>
      </c>
      <c r="N252" s="109">
        <f t="shared" si="5"/>
        <v>2.602777778</v>
      </c>
      <c r="O252" s="16" t="s">
        <v>2557</v>
      </c>
      <c r="P252" s="16" t="s">
        <v>3136</v>
      </c>
      <c r="Q252" s="17"/>
      <c r="R252" s="17"/>
      <c r="S252" s="16" t="s">
        <v>3148</v>
      </c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17">
        <v>4.500013245E9</v>
      </c>
      <c r="AH252" s="17"/>
      <c r="AI252" s="11"/>
    </row>
    <row r="253">
      <c r="A253" s="105" t="str">
        <f t="shared" si="6"/>
        <v>#REF!</v>
      </c>
      <c r="B253" s="106" t="s">
        <v>2599</v>
      </c>
      <c r="C253" s="106">
        <v>6.002045E7</v>
      </c>
      <c r="D253" s="106" t="s">
        <v>2600</v>
      </c>
      <c r="E253" s="106" t="s">
        <v>3106</v>
      </c>
      <c r="F253" s="106" t="s">
        <v>1960</v>
      </c>
      <c r="G253" s="127" t="s">
        <v>2572</v>
      </c>
      <c r="H253" s="107"/>
      <c r="I253" s="16" t="s">
        <v>12</v>
      </c>
      <c r="J253" s="128" t="s">
        <v>3396</v>
      </c>
      <c r="K253" s="16" t="s">
        <v>13</v>
      </c>
      <c r="L253" s="16" t="s">
        <v>3373</v>
      </c>
      <c r="M253" s="108">
        <v>45143.0</v>
      </c>
      <c r="N253" s="109">
        <f t="shared" si="5"/>
        <v>2.602777778</v>
      </c>
      <c r="O253" s="16" t="s">
        <v>2557</v>
      </c>
      <c r="P253" s="16" t="s">
        <v>3136</v>
      </c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6" t="s">
        <v>3414</v>
      </c>
      <c r="AE253" s="17"/>
      <c r="AF253" s="17"/>
      <c r="AG253" s="117">
        <v>4.500013245E9</v>
      </c>
      <c r="AH253" s="17"/>
      <c r="AI253" s="11"/>
    </row>
    <row r="254">
      <c r="A254" s="105" t="str">
        <f t="shared" si="6"/>
        <v>#REF!</v>
      </c>
      <c r="B254" s="106" t="s">
        <v>2601</v>
      </c>
      <c r="C254" s="106">
        <v>6.0020451E7</v>
      </c>
      <c r="D254" s="106" t="s">
        <v>2602</v>
      </c>
      <c r="E254" s="106" t="s">
        <v>3106</v>
      </c>
      <c r="F254" s="106" t="s">
        <v>1960</v>
      </c>
      <c r="G254" s="127" t="s">
        <v>2572</v>
      </c>
      <c r="H254" s="107"/>
      <c r="I254" s="16" t="s">
        <v>12</v>
      </c>
      <c r="J254" s="128" t="s">
        <v>3396</v>
      </c>
      <c r="K254" s="16" t="s">
        <v>13</v>
      </c>
      <c r="L254" s="16" t="s">
        <v>3373</v>
      </c>
      <c r="M254" s="108">
        <v>45143.0</v>
      </c>
      <c r="N254" s="109">
        <f t="shared" si="5"/>
        <v>2.602777778</v>
      </c>
      <c r="O254" s="16" t="s">
        <v>2557</v>
      </c>
      <c r="P254" s="16" t="s">
        <v>3136</v>
      </c>
      <c r="Q254" s="115">
        <v>45224.0</v>
      </c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6" t="s">
        <v>3415</v>
      </c>
      <c r="AE254" s="16" t="s">
        <v>3389</v>
      </c>
      <c r="AF254" s="17"/>
      <c r="AG254" s="117">
        <v>4.500013245E9</v>
      </c>
      <c r="AH254" s="16" t="s">
        <v>3415</v>
      </c>
      <c r="AI254" s="11"/>
    </row>
    <row r="255">
      <c r="A255" s="105" t="str">
        <f t="shared" si="6"/>
        <v>#REF!</v>
      </c>
      <c r="B255" s="106" t="s">
        <v>2603</v>
      </c>
      <c r="C255" s="106">
        <v>6.0020452E7</v>
      </c>
      <c r="D255" s="106" t="s">
        <v>2604</v>
      </c>
      <c r="E255" s="106" t="s">
        <v>3106</v>
      </c>
      <c r="F255" s="106" t="s">
        <v>1960</v>
      </c>
      <c r="G255" s="127" t="s">
        <v>2572</v>
      </c>
      <c r="H255" s="107"/>
      <c r="I255" s="16" t="s">
        <v>12</v>
      </c>
      <c r="J255" s="128" t="s">
        <v>3396</v>
      </c>
      <c r="K255" s="16" t="s">
        <v>13</v>
      </c>
      <c r="L255" s="16" t="s">
        <v>3373</v>
      </c>
      <c r="M255" s="108">
        <v>45143.0</v>
      </c>
      <c r="N255" s="109">
        <f t="shared" si="5"/>
        <v>2.602777778</v>
      </c>
      <c r="O255" s="16" t="s">
        <v>2557</v>
      </c>
      <c r="P255" s="16" t="s">
        <v>3136</v>
      </c>
      <c r="Q255" s="115">
        <v>45216.0</v>
      </c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6" t="s">
        <v>3416</v>
      </c>
      <c r="AE255" s="16" t="s">
        <v>3389</v>
      </c>
      <c r="AF255" s="17"/>
      <c r="AG255" s="117">
        <v>4.500013245E9</v>
      </c>
      <c r="AH255" s="16" t="s">
        <v>3416</v>
      </c>
      <c r="AI255" s="11"/>
    </row>
    <row r="256">
      <c r="A256" s="105" t="str">
        <f t="shared" si="6"/>
        <v>#REF!</v>
      </c>
      <c r="B256" s="106" t="s">
        <v>2605</v>
      </c>
      <c r="C256" s="106">
        <v>6.0020453E7</v>
      </c>
      <c r="D256" s="106" t="s">
        <v>2606</v>
      </c>
      <c r="E256" s="106" t="s">
        <v>3106</v>
      </c>
      <c r="F256" s="106" t="s">
        <v>1960</v>
      </c>
      <c r="G256" s="127" t="s">
        <v>2572</v>
      </c>
      <c r="H256" s="107"/>
      <c r="I256" s="16" t="s">
        <v>12</v>
      </c>
      <c r="J256" s="128" t="s">
        <v>3396</v>
      </c>
      <c r="K256" s="16" t="s">
        <v>13</v>
      </c>
      <c r="L256" s="16" t="s">
        <v>3373</v>
      </c>
      <c r="M256" s="108">
        <v>45143.0</v>
      </c>
      <c r="N256" s="109">
        <f t="shared" si="5"/>
        <v>2.602777778</v>
      </c>
      <c r="O256" s="16" t="s">
        <v>2557</v>
      </c>
      <c r="P256" s="16" t="s">
        <v>3136</v>
      </c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6" t="s">
        <v>3417</v>
      </c>
      <c r="AE256" s="17"/>
      <c r="AF256" s="17"/>
      <c r="AG256" s="117">
        <v>4.500013245E9</v>
      </c>
      <c r="AH256" s="17"/>
      <c r="AI256" s="11"/>
    </row>
    <row r="257">
      <c r="A257" s="105" t="str">
        <f t="shared" si="6"/>
        <v>#REF!</v>
      </c>
      <c r="B257" s="106" t="s">
        <v>2607</v>
      </c>
      <c r="C257" s="106">
        <v>6.0020455E7</v>
      </c>
      <c r="D257" s="106" t="s">
        <v>2608</v>
      </c>
      <c r="E257" s="106" t="s">
        <v>3106</v>
      </c>
      <c r="F257" s="106" t="s">
        <v>1960</v>
      </c>
      <c r="G257" s="127" t="s">
        <v>2572</v>
      </c>
      <c r="H257" s="107"/>
      <c r="I257" s="16" t="s">
        <v>12</v>
      </c>
      <c r="J257" s="128" t="s">
        <v>3396</v>
      </c>
      <c r="K257" s="16" t="s">
        <v>13</v>
      </c>
      <c r="L257" s="16" t="s">
        <v>3373</v>
      </c>
      <c r="M257" s="108">
        <v>45143.0</v>
      </c>
      <c r="N257" s="109">
        <f t="shared" si="5"/>
        <v>2.602777778</v>
      </c>
      <c r="O257" s="16" t="s">
        <v>2557</v>
      </c>
      <c r="P257" s="16" t="s">
        <v>3136</v>
      </c>
      <c r="Q257" s="115">
        <v>45223.0</v>
      </c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6" t="s">
        <v>3418</v>
      </c>
      <c r="AE257" s="16" t="s">
        <v>3321</v>
      </c>
      <c r="AF257" s="17"/>
      <c r="AG257" s="117">
        <v>4.500013245E9</v>
      </c>
      <c r="AH257" s="16" t="s">
        <v>3419</v>
      </c>
      <c r="AI257" s="11"/>
    </row>
    <row r="258">
      <c r="A258" s="105" t="str">
        <f t="shared" si="6"/>
        <v>#REF!</v>
      </c>
      <c r="B258" s="106" t="s">
        <v>2609</v>
      </c>
      <c r="C258" s="106">
        <v>6.0020456E7</v>
      </c>
      <c r="D258" s="106" t="s">
        <v>2610</v>
      </c>
      <c r="E258" s="106" t="s">
        <v>3106</v>
      </c>
      <c r="F258" s="106" t="s">
        <v>1960</v>
      </c>
      <c r="G258" s="127" t="s">
        <v>2572</v>
      </c>
      <c r="H258" s="107"/>
      <c r="I258" s="16" t="s">
        <v>12</v>
      </c>
      <c r="J258" s="128" t="s">
        <v>3396</v>
      </c>
      <c r="K258" s="16" t="s">
        <v>13</v>
      </c>
      <c r="L258" s="16" t="s">
        <v>3373</v>
      </c>
      <c r="M258" s="108">
        <v>45143.0</v>
      </c>
      <c r="N258" s="109">
        <f t="shared" si="5"/>
        <v>2.602777778</v>
      </c>
      <c r="O258" s="16" t="s">
        <v>2557</v>
      </c>
      <c r="P258" s="16" t="s">
        <v>3136</v>
      </c>
      <c r="Q258" s="115">
        <v>45223.0</v>
      </c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6" t="s">
        <v>3420</v>
      </c>
      <c r="AE258" s="16" t="s">
        <v>3321</v>
      </c>
      <c r="AF258" s="17"/>
      <c r="AG258" s="117">
        <v>4.500013245E9</v>
      </c>
      <c r="AH258" s="16" t="s">
        <v>3421</v>
      </c>
      <c r="AI258" s="11"/>
    </row>
    <row r="259">
      <c r="A259" s="105" t="str">
        <f t="shared" si="6"/>
        <v>#REF!</v>
      </c>
      <c r="B259" s="106" t="s">
        <v>2611</v>
      </c>
      <c r="C259" s="106">
        <v>6.0020619E7</v>
      </c>
      <c r="D259" s="106" t="s">
        <v>2612</v>
      </c>
      <c r="E259" s="106" t="s">
        <v>3106</v>
      </c>
      <c r="F259" s="106" t="s">
        <v>1960</v>
      </c>
      <c r="G259" s="127" t="s">
        <v>2613</v>
      </c>
      <c r="H259" s="107"/>
      <c r="I259" s="16" t="s">
        <v>12</v>
      </c>
      <c r="J259" s="128" t="s">
        <v>3396</v>
      </c>
      <c r="K259" s="16" t="s">
        <v>13</v>
      </c>
      <c r="L259" s="16" t="s">
        <v>3373</v>
      </c>
      <c r="M259" s="108">
        <v>45169.0</v>
      </c>
      <c r="N259" s="109">
        <f t="shared" si="5"/>
        <v>2.533333333</v>
      </c>
      <c r="O259" s="17"/>
      <c r="P259" s="16" t="s">
        <v>3136</v>
      </c>
      <c r="Q259" s="115">
        <v>45169.0</v>
      </c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6" t="s">
        <v>3422</v>
      </c>
      <c r="AE259" s="16" t="s">
        <v>3423</v>
      </c>
      <c r="AF259" s="17"/>
      <c r="AG259" s="117">
        <v>4.500013245E9</v>
      </c>
      <c r="AH259" s="16" t="s">
        <v>3424</v>
      </c>
      <c r="AI259" s="11"/>
    </row>
    <row r="260">
      <c r="A260" s="105" t="str">
        <f t="shared" si="6"/>
        <v>#REF!</v>
      </c>
      <c r="B260" s="106" t="s">
        <v>2614</v>
      </c>
      <c r="C260" s="106">
        <v>6.002062E7</v>
      </c>
      <c r="D260" s="106" t="s">
        <v>2615</v>
      </c>
      <c r="E260" s="106" t="s">
        <v>3106</v>
      </c>
      <c r="F260" s="106" t="s">
        <v>1960</v>
      </c>
      <c r="G260" s="127" t="s">
        <v>2613</v>
      </c>
      <c r="H260" s="107"/>
      <c r="I260" s="16" t="s">
        <v>2363</v>
      </c>
      <c r="J260" s="128" t="s">
        <v>3396</v>
      </c>
      <c r="K260" s="16" t="s">
        <v>13</v>
      </c>
      <c r="L260" s="16" t="s">
        <v>3373</v>
      </c>
      <c r="M260" s="108">
        <v>45169.0</v>
      </c>
      <c r="N260" s="109">
        <f t="shared" si="5"/>
        <v>2.533333333</v>
      </c>
      <c r="O260" s="16" t="s">
        <v>3136</v>
      </c>
      <c r="P260" s="16" t="s">
        <v>2557</v>
      </c>
      <c r="Q260" s="16" t="s">
        <v>3425</v>
      </c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6" t="s">
        <v>3426</v>
      </c>
      <c r="AD260" s="16" t="e">
        <v>#N/A</v>
      </c>
      <c r="AE260" s="16" t="s">
        <v>3423</v>
      </c>
      <c r="AF260" s="17"/>
      <c r="AG260" s="117">
        <v>4.500013245E9</v>
      </c>
      <c r="AH260" s="16" t="s">
        <v>3427</v>
      </c>
      <c r="AI260" s="11"/>
    </row>
    <row r="261">
      <c r="A261" s="105" t="str">
        <f t="shared" si="6"/>
        <v>#REF!</v>
      </c>
      <c r="B261" s="106" t="s">
        <v>2616</v>
      </c>
      <c r="C261" s="106">
        <v>6.0020621E7</v>
      </c>
      <c r="D261" s="106" t="s">
        <v>2617</v>
      </c>
      <c r="E261" s="106" t="s">
        <v>3106</v>
      </c>
      <c r="F261" s="106" t="s">
        <v>1960</v>
      </c>
      <c r="G261" s="127" t="s">
        <v>2613</v>
      </c>
      <c r="H261" s="107"/>
      <c r="I261" s="16" t="s">
        <v>12</v>
      </c>
      <c r="J261" s="128" t="s">
        <v>3396</v>
      </c>
      <c r="K261" s="16" t="s">
        <v>13</v>
      </c>
      <c r="L261" s="16" t="s">
        <v>3373</v>
      </c>
      <c r="M261" s="108">
        <v>45169.0</v>
      </c>
      <c r="N261" s="109">
        <f t="shared" si="5"/>
        <v>2.533333333</v>
      </c>
      <c r="O261" s="17"/>
      <c r="P261" s="16" t="s">
        <v>3136</v>
      </c>
      <c r="Q261" s="115">
        <v>45169.0</v>
      </c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6" t="s">
        <v>3428</v>
      </c>
      <c r="AE261" s="16" t="s">
        <v>3423</v>
      </c>
      <c r="AF261" s="17"/>
      <c r="AG261" s="117">
        <v>4.500013245E9</v>
      </c>
      <c r="AH261" s="16" t="s">
        <v>3429</v>
      </c>
      <c r="AI261" s="11"/>
    </row>
    <row r="262">
      <c r="A262" s="105" t="str">
        <f t="shared" si="6"/>
        <v>#REF!</v>
      </c>
      <c r="B262" s="106" t="s">
        <v>2618</v>
      </c>
      <c r="C262" s="106">
        <v>6.0020622E7</v>
      </c>
      <c r="D262" s="106" t="s">
        <v>2619</v>
      </c>
      <c r="E262" s="106" t="s">
        <v>3106</v>
      </c>
      <c r="F262" s="106" t="s">
        <v>1960</v>
      </c>
      <c r="G262" s="127" t="s">
        <v>2613</v>
      </c>
      <c r="H262" s="107"/>
      <c r="I262" s="16" t="s">
        <v>12</v>
      </c>
      <c r="J262" s="128" t="s">
        <v>3396</v>
      </c>
      <c r="K262" s="16" t="s">
        <v>13</v>
      </c>
      <c r="L262" s="16" t="s">
        <v>3373</v>
      </c>
      <c r="M262" s="108">
        <v>45169.0</v>
      </c>
      <c r="N262" s="109">
        <f t="shared" si="5"/>
        <v>2.533333333</v>
      </c>
      <c r="O262" s="17"/>
      <c r="P262" s="16" t="s">
        <v>2557</v>
      </c>
      <c r="Q262" s="115">
        <v>45169.0</v>
      </c>
      <c r="R262" s="17"/>
      <c r="S262" s="17"/>
      <c r="T262" s="16" t="s">
        <v>2618</v>
      </c>
      <c r="U262" s="17"/>
      <c r="V262" s="17"/>
      <c r="W262" s="17"/>
      <c r="X262" s="17"/>
      <c r="Y262" s="17"/>
      <c r="Z262" s="17"/>
      <c r="AA262" s="17"/>
      <c r="AB262" s="17"/>
      <c r="AC262" s="17"/>
      <c r="AD262" s="16" t="s">
        <v>2923</v>
      </c>
      <c r="AE262" s="16" t="s">
        <v>3430</v>
      </c>
      <c r="AF262" s="17"/>
      <c r="AG262" s="117">
        <v>4.500013245E9</v>
      </c>
      <c r="AH262" s="16" t="s">
        <v>2923</v>
      </c>
      <c r="AI262" s="11"/>
    </row>
    <row r="263">
      <c r="A263" s="105" t="str">
        <f t="shared" si="6"/>
        <v>#REF!</v>
      </c>
      <c r="B263" s="106" t="s">
        <v>2620</v>
      </c>
      <c r="C263" s="106">
        <v>6.0020244E7</v>
      </c>
      <c r="D263" s="106" t="s">
        <v>2621</v>
      </c>
      <c r="E263" s="106" t="s">
        <v>3106</v>
      </c>
      <c r="F263" s="106" t="s">
        <v>1960</v>
      </c>
      <c r="G263" s="106" t="s">
        <v>2622</v>
      </c>
      <c r="H263" s="107"/>
      <c r="I263" s="16" t="s">
        <v>12</v>
      </c>
      <c r="J263" s="17"/>
      <c r="K263" s="16" t="s">
        <v>13</v>
      </c>
      <c r="L263" s="16" t="s">
        <v>3373</v>
      </c>
      <c r="M263" s="108">
        <v>44997.0</v>
      </c>
      <c r="N263" s="109">
        <f t="shared" si="5"/>
        <v>3</v>
      </c>
      <c r="O263" s="16" t="s">
        <v>3431</v>
      </c>
      <c r="P263" s="16" t="s">
        <v>2557</v>
      </c>
      <c r="Q263" s="115">
        <v>45205.0</v>
      </c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6" t="s">
        <v>3432</v>
      </c>
      <c r="AE263" s="16" t="s">
        <v>2935</v>
      </c>
      <c r="AF263" s="17"/>
      <c r="AG263" s="16">
        <v>4.500006142E9</v>
      </c>
      <c r="AH263" s="16" t="s">
        <v>3433</v>
      </c>
      <c r="AI263" s="11"/>
    </row>
    <row r="264">
      <c r="A264" s="105" t="str">
        <f t="shared" si="6"/>
        <v>#REF!</v>
      </c>
      <c r="B264" s="106" t="s">
        <v>2623</v>
      </c>
      <c r="C264" s="106" t="s">
        <v>2624</v>
      </c>
      <c r="D264" s="106" t="s">
        <v>2625</v>
      </c>
      <c r="E264" s="106" t="s">
        <v>3106</v>
      </c>
      <c r="F264" s="106" t="s">
        <v>1960</v>
      </c>
      <c r="G264" s="106" t="s">
        <v>2626</v>
      </c>
      <c r="H264" s="107"/>
      <c r="I264" s="16" t="s">
        <v>12</v>
      </c>
      <c r="J264" s="17"/>
      <c r="K264" s="16" t="s">
        <v>36</v>
      </c>
      <c r="L264" s="130" t="s">
        <v>2187</v>
      </c>
      <c r="M264" s="108">
        <v>44543.0</v>
      </c>
      <c r="N264" s="109">
        <f t="shared" si="5"/>
        <v>4.247222222</v>
      </c>
      <c r="O264" s="16" t="s">
        <v>3136</v>
      </c>
      <c r="P264" s="16" t="s">
        <v>2557</v>
      </c>
      <c r="Q264" s="120">
        <v>45227.0</v>
      </c>
      <c r="R264" s="17"/>
      <c r="S264" s="17"/>
      <c r="T264" s="16" t="s">
        <v>2623</v>
      </c>
      <c r="U264" s="17"/>
      <c r="V264" s="17"/>
      <c r="W264" s="17"/>
      <c r="X264" s="17"/>
      <c r="Y264" s="17"/>
      <c r="Z264" s="17"/>
      <c r="AA264" s="17"/>
      <c r="AB264" s="16" t="s">
        <v>3434</v>
      </c>
      <c r="AC264" s="16" t="s">
        <v>3435</v>
      </c>
      <c r="AD264" s="16" t="s">
        <v>3436</v>
      </c>
      <c r="AE264" s="16" t="s">
        <v>3150</v>
      </c>
      <c r="AF264" s="17"/>
      <c r="AG264" s="16">
        <v>5.0004268E7</v>
      </c>
      <c r="AH264" s="17"/>
      <c r="AI264" s="11"/>
    </row>
    <row r="265">
      <c r="A265" s="105" t="str">
        <f t="shared" si="6"/>
        <v>#REF!</v>
      </c>
      <c r="B265" s="106" t="s">
        <v>2627</v>
      </c>
      <c r="C265" s="106" t="s">
        <v>2628</v>
      </c>
      <c r="D265" s="106" t="s">
        <v>2629</v>
      </c>
      <c r="E265" s="106" t="s">
        <v>3106</v>
      </c>
      <c r="F265" s="106" t="s">
        <v>1960</v>
      </c>
      <c r="G265" s="106" t="s">
        <v>2131</v>
      </c>
      <c r="H265" s="107"/>
      <c r="I265" s="16" t="s">
        <v>12</v>
      </c>
      <c r="J265" s="17"/>
      <c r="K265" s="16" t="s">
        <v>13</v>
      </c>
      <c r="L265" s="16" t="s">
        <v>2131</v>
      </c>
      <c r="M265" s="108">
        <v>44376.0</v>
      </c>
      <c r="N265" s="109">
        <f t="shared" si="5"/>
        <v>4.702777778</v>
      </c>
      <c r="O265" s="17"/>
      <c r="P265" s="16" t="s">
        <v>2557</v>
      </c>
      <c r="Q265" s="17"/>
      <c r="R265" s="17"/>
      <c r="S265" s="17"/>
      <c r="T265" s="16" t="s">
        <v>2627</v>
      </c>
      <c r="U265" s="17"/>
      <c r="V265" s="17"/>
      <c r="W265" s="17"/>
      <c r="X265" s="17"/>
      <c r="Y265" s="17"/>
      <c r="Z265" s="17"/>
      <c r="AA265" s="17"/>
      <c r="AB265" s="16" t="s">
        <v>3437</v>
      </c>
      <c r="AC265" s="131" t="s">
        <v>3438</v>
      </c>
      <c r="AD265" s="16" t="s">
        <v>3439</v>
      </c>
      <c r="AE265" s="16" t="s">
        <v>3150</v>
      </c>
      <c r="AF265" s="17"/>
      <c r="AG265" s="16">
        <v>5.0004153E7</v>
      </c>
      <c r="AH265" s="17"/>
      <c r="AI265" s="11"/>
    </row>
    <row r="266">
      <c r="A266" s="105" t="str">
        <f t="shared" si="6"/>
        <v>#REF!</v>
      </c>
      <c r="B266" s="106" t="s">
        <v>2630</v>
      </c>
      <c r="C266" s="106">
        <v>6.0019819E7</v>
      </c>
      <c r="D266" s="106" t="s">
        <v>2631</v>
      </c>
      <c r="E266" s="106" t="s">
        <v>3106</v>
      </c>
      <c r="F266" s="106" t="s">
        <v>1960</v>
      </c>
      <c r="G266" s="106" t="s">
        <v>2233</v>
      </c>
      <c r="H266" s="107"/>
      <c r="I266" s="16" t="s">
        <v>12</v>
      </c>
      <c r="J266" s="17"/>
      <c r="K266" s="16" t="s">
        <v>36</v>
      </c>
      <c r="L266" s="16" t="s">
        <v>3213</v>
      </c>
      <c r="M266" s="108">
        <v>44848.0</v>
      </c>
      <c r="N266" s="109">
        <f t="shared" si="5"/>
        <v>3.411111111</v>
      </c>
      <c r="O266" s="16" t="s">
        <v>3136</v>
      </c>
      <c r="P266" s="16" t="s">
        <v>2557</v>
      </c>
      <c r="Q266" s="16" t="s">
        <v>3440</v>
      </c>
      <c r="R266" s="17"/>
      <c r="S266" s="17"/>
      <c r="T266" s="16" t="s">
        <v>2630</v>
      </c>
      <c r="U266" s="17"/>
      <c r="V266" s="17"/>
      <c r="W266" s="17"/>
      <c r="X266" s="17"/>
      <c r="Y266" s="17"/>
      <c r="Z266" s="17"/>
      <c r="AA266" s="17"/>
      <c r="AB266" s="16" t="s">
        <v>3441</v>
      </c>
      <c r="AC266" s="16" t="s">
        <v>3442</v>
      </c>
      <c r="AD266" s="16" t="s">
        <v>3443</v>
      </c>
      <c r="AE266" s="16" t="s">
        <v>3290</v>
      </c>
      <c r="AF266" s="17"/>
      <c r="AG266" s="16">
        <v>4.500000469E9</v>
      </c>
      <c r="AH266" s="16" t="s">
        <v>3172</v>
      </c>
      <c r="AI266" s="11"/>
    </row>
    <row r="267">
      <c r="A267" s="105" t="str">
        <f t="shared" si="6"/>
        <v>#REF!</v>
      </c>
      <c r="B267" s="106" t="s">
        <v>2632</v>
      </c>
      <c r="C267" s="106">
        <v>6.0019817E7</v>
      </c>
      <c r="D267" s="106" t="s">
        <v>2633</v>
      </c>
      <c r="E267" s="106" t="s">
        <v>3106</v>
      </c>
      <c r="F267" s="106" t="s">
        <v>1960</v>
      </c>
      <c r="G267" s="106" t="s">
        <v>2233</v>
      </c>
      <c r="H267" s="107"/>
      <c r="I267" s="16" t="s">
        <v>12</v>
      </c>
      <c r="J267" s="17"/>
      <c r="K267" s="16" t="s">
        <v>36</v>
      </c>
      <c r="L267" s="16" t="s">
        <v>3213</v>
      </c>
      <c r="M267" s="108">
        <v>44848.0</v>
      </c>
      <c r="N267" s="109">
        <f t="shared" si="5"/>
        <v>3.411111111</v>
      </c>
      <c r="O267" s="16" t="s">
        <v>3136</v>
      </c>
      <c r="P267" s="16" t="s">
        <v>2557</v>
      </c>
      <c r="Q267" s="16" t="s">
        <v>3444</v>
      </c>
      <c r="R267" s="17"/>
      <c r="S267" s="17"/>
      <c r="T267" s="16" t="s">
        <v>2632</v>
      </c>
      <c r="U267" s="17"/>
      <c r="V267" s="17"/>
      <c r="W267" s="17"/>
      <c r="X267" s="17"/>
      <c r="Y267" s="17"/>
      <c r="Z267" s="17"/>
      <c r="AA267" s="17"/>
      <c r="AB267" s="16" t="s">
        <v>3445</v>
      </c>
      <c r="AC267" s="16" t="s">
        <v>3446</v>
      </c>
      <c r="AD267" s="16" t="s">
        <v>3447</v>
      </c>
      <c r="AE267" s="16" t="s">
        <v>3448</v>
      </c>
      <c r="AF267" s="17"/>
      <c r="AG267" s="16">
        <v>4.500000469E9</v>
      </c>
      <c r="AH267" s="16" t="s">
        <v>12</v>
      </c>
      <c r="AI267" s="11"/>
    </row>
    <row r="268">
      <c r="A268" s="105" t="str">
        <f t="shared" si="6"/>
        <v>#REF!</v>
      </c>
      <c r="B268" s="106" t="s">
        <v>2634</v>
      </c>
      <c r="C268" s="106">
        <v>6.0019822E7</v>
      </c>
      <c r="D268" s="106" t="s">
        <v>2635</v>
      </c>
      <c r="E268" s="106" t="s">
        <v>3106</v>
      </c>
      <c r="F268" s="106" t="s">
        <v>1960</v>
      </c>
      <c r="G268" s="106" t="s">
        <v>2227</v>
      </c>
      <c r="H268" s="107"/>
      <c r="I268" s="16" t="s">
        <v>12</v>
      </c>
      <c r="J268" s="17"/>
      <c r="K268" s="16" t="s">
        <v>36</v>
      </c>
      <c r="L268" s="16" t="s">
        <v>2818</v>
      </c>
      <c r="M268" s="108">
        <v>44848.0</v>
      </c>
      <c r="N268" s="109">
        <f t="shared" si="5"/>
        <v>3.411111111</v>
      </c>
      <c r="O268" s="16" t="s">
        <v>2557</v>
      </c>
      <c r="P268" s="16" t="s">
        <v>3136</v>
      </c>
      <c r="Q268" s="16" t="s">
        <v>3449</v>
      </c>
      <c r="R268" s="17"/>
      <c r="S268" s="17"/>
      <c r="T268" s="16" t="s">
        <v>2634</v>
      </c>
      <c r="U268" s="17"/>
      <c r="V268" s="17"/>
      <c r="W268" s="17"/>
      <c r="X268" s="17"/>
      <c r="Y268" s="17"/>
      <c r="Z268" s="17"/>
      <c r="AA268" s="17"/>
      <c r="AB268" s="16" t="s">
        <v>3450</v>
      </c>
      <c r="AC268" s="16" t="s">
        <v>3338</v>
      </c>
      <c r="AD268" s="16" t="s">
        <v>3451</v>
      </c>
      <c r="AE268" s="16" t="s">
        <v>3283</v>
      </c>
      <c r="AF268" s="17"/>
      <c r="AG268" s="16">
        <v>4.500000469E9</v>
      </c>
      <c r="AH268" s="17"/>
      <c r="AI268" s="11"/>
    </row>
    <row r="269">
      <c r="A269" s="105" t="str">
        <f t="shared" si="6"/>
        <v>#REF!</v>
      </c>
      <c r="B269" s="106" t="s">
        <v>2636</v>
      </c>
      <c r="C269" s="106">
        <v>6.0020454E7</v>
      </c>
      <c r="D269" s="106" t="s">
        <v>2637</v>
      </c>
      <c r="E269" s="106" t="s">
        <v>3106</v>
      </c>
      <c r="F269" s="106" t="s">
        <v>1960</v>
      </c>
      <c r="G269" s="127" t="s">
        <v>2572</v>
      </c>
      <c r="H269" s="107"/>
      <c r="I269" s="16" t="s">
        <v>12</v>
      </c>
      <c r="J269" s="128" t="s">
        <v>3396</v>
      </c>
      <c r="K269" s="16" t="s">
        <v>13</v>
      </c>
      <c r="L269" s="16" t="s">
        <v>3373</v>
      </c>
      <c r="M269" s="108">
        <v>45143.0</v>
      </c>
      <c r="N269" s="109">
        <f t="shared" si="5"/>
        <v>2.602777778</v>
      </c>
      <c r="O269" s="16" t="s">
        <v>2557</v>
      </c>
      <c r="P269" s="16" t="s">
        <v>3136</v>
      </c>
      <c r="Q269" s="120">
        <v>45216.0</v>
      </c>
      <c r="R269" s="17"/>
      <c r="S269" s="17"/>
      <c r="T269" s="16" t="s">
        <v>2636</v>
      </c>
      <c r="U269" s="17"/>
      <c r="V269" s="17"/>
      <c r="W269" s="17"/>
      <c r="X269" s="17"/>
      <c r="Y269" s="17"/>
      <c r="Z269" s="17"/>
      <c r="AA269" s="17"/>
      <c r="AB269" s="16" t="s">
        <v>3452</v>
      </c>
      <c r="AC269" s="16" t="e">
        <v>#N/A</v>
      </c>
      <c r="AD269" s="16" t="s">
        <v>3453</v>
      </c>
      <c r="AE269" s="17"/>
      <c r="AF269" s="17"/>
      <c r="AG269" s="117">
        <v>4.500013245E9</v>
      </c>
      <c r="AH269" s="17"/>
      <c r="AI269" s="11"/>
    </row>
    <row r="270">
      <c r="A270" s="105" t="str">
        <f t="shared" si="6"/>
        <v>#REF!</v>
      </c>
      <c r="B270" s="106" t="s">
        <v>2638</v>
      </c>
      <c r="C270" s="106">
        <v>6.0020467E7</v>
      </c>
      <c r="D270" s="106" t="s">
        <v>2639</v>
      </c>
      <c r="E270" s="106" t="s">
        <v>3106</v>
      </c>
      <c r="F270" s="106" t="s">
        <v>1960</v>
      </c>
      <c r="G270" s="127" t="s">
        <v>2572</v>
      </c>
      <c r="H270" s="107"/>
      <c r="I270" s="16" t="s">
        <v>12</v>
      </c>
      <c r="J270" s="128" t="s">
        <v>3396</v>
      </c>
      <c r="K270" s="16" t="s">
        <v>13</v>
      </c>
      <c r="L270" s="16" t="s">
        <v>3373</v>
      </c>
      <c r="M270" s="108">
        <v>45143.0</v>
      </c>
      <c r="N270" s="109">
        <f t="shared" si="5"/>
        <v>2.602777778</v>
      </c>
      <c r="O270" s="17"/>
      <c r="P270" s="16" t="s">
        <v>2557</v>
      </c>
      <c r="Q270" s="120">
        <v>45143.0</v>
      </c>
      <c r="R270" s="17"/>
      <c r="S270" s="16" t="s">
        <v>3454</v>
      </c>
      <c r="T270" s="16" t="s">
        <v>2638</v>
      </c>
      <c r="U270" s="17"/>
      <c r="V270" s="17"/>
      <c r="W270" s="17"/>
      <c r="X270" s="17"/>
      <c r="Y270" s="17"/>
      <c r="Z270" s="17"/>
      <c r="AA270" s="17"/>
      <c r="AB270" s="16" t="s">
        <v>3455</v>
      </c>
      <c r="AC270" s="16" t="e">
        <v>#N/A</v>
      </c>
      <c r="AD270" s="16" t="s">
        <v>3456</v>
      </c>
      <c r="AE270" s="17"/>
      <c r="AF270" s="17"/>
      <c r="AG270" s="117">
        <v>4.500013245E9</v>
      </c>
      <c r="AH270" s="17"/>
      <c r="AI270" s="11"/>
    </row>
    <row r="271">
      <c r="A271" s="105" t="str">
        <f t="shared" si="6"/>
        <v>#REF!</v>
      </c>
      <c r="B271" s="106" t="s">
        <v>2640</v>
      </c>
      <c r="C271" s="106">
        <v>6.0020617E7</v>
      </c>
      <c r="D271" s="106" t="s">
        <v>2641</v>
      </c>
      <c r="E271" s="106" t="s">
        <v>3106</v>
      </c>
      <c r="F271" s="106" t="s">
        <v>1960</v>
      </c>
      <c r="G271" s="127" t="s">
        <v>2613</v>
      </c>
      <c r="H271" s="107"/>
      <c r="I271" s="16" t="s">
        <v>12</v>
      </c>
      <c r="J271" s="128" t="s">
        <v>3396</v>
      </c>
      <c r="K271" s="16" t="s">
        <v>13</v>
      </c>
      <c r="L271" s="16" t="s">
        <v>3373</v>
      </c>
      <c r="M271" s="108">
        <v>45169.0</v>
      </c>
      <c r="N271" s="109">
        <f t="shared" si="5"/>
        <v>2.533333333</v>
      </c>
      <c r="O271" s="17"/>
      <c r="P271" s="16" t="s">
        <v>2557</v>
      </c>
      <c r="Q271" s="120">
        <v>45169.0</v>
      </c>
      <c r="R271" s="17"/>
      <c r="S271" s="17"/>
      <c r="T271" s="16" t="s">
        <v>2640</v>
      </c>
      <c r="U271" s="17"/>
      <c r="V271" s="17"/>
      <c r="W271" s="17"/>
      <c r="X271" s="17"/>
      <c r="Y271" s="17"/>
      <c r="Z271" s="17"/>
      <c r="AA271" s="17"/>
      <c r="AB271" s="16" t="s">
        <v>3457</v>
      </c>
      <c r="AC271" s="16" t="s">
        <v>3458</v>
      </c>
      <c r="AD271" s="16" t="s">
        <v>3459</v>
      </c>
      <c r="AE271" s="16" t="s">
        <v>3430</v>
      </c>
      <c r="AF271" s="17"/>
      <c r="AG271" s="117">
        <v>4.500013245E9</v>
      </c>
      <c r="AH271" s="17"/>
      <c r="AI271" s="11"/>
    </row>
    <row r="272">
      <c r="A272" s="105" t="str">
        <f t="shared" si="6"/>
        <v>#REF!</v>
      </c>
      <c r="B272" s="106" t="s">
        <v>2642</v>
      </c>
      <c r="C272" s="106">
        <v>6.0020618E7</v>
      </c>
      <c r="D272" s="106" t="s">
        <v>2643</v>
      </c>
      <c r="E272" s="106" t="s">
        <v>3106</v>
      </c>
      <c r="F272" s="106" t="s">
        <v>1960</v>
      </c>
      <c r="G272" s="127" t="s">
        <v>2613</v>
      </c>
      <c r="H272" s="107"/>
      <c r="I272" s="16" t="s">
        <v>12</v>
      </c>
      <c r="J272" s="128" t="s">
        <v>3396</v>
      </c>
      <c r="K272" s="16" t="s">
        <v>13</v>
      </c>
      <c r="L272" s="16" t="s">
        <v>3373</v>
      </c>
      <c r="M272" s="108">
        <v>45169.0</v>
      </c>
      <c r="N272" s="109">
        <f t="shared" si="5"/>
        <v>2.533333333</v>
      </c>
      <c r="O272" s="17"/>
      <c r="P272" s="16" t="s">
        <v>2557</v>
      </c>
      <c r="Q272" s="120">
        <v>45169.0</v>
      </c>
      <c r="R272" s="17"/>
      <c r="S272" s="17"/>
      <c r="T272" s="16" t="s">
        <v>2642</v>
      </c>
      <c r="U272" s="17"/>
      <c r="V272" s="17"/>
      <c r="W272" s="17"/>
      <c r="X272" s="17"/>
      <c r="Y272" s="17"/>
      <c r="Z272" s="17"/>
      <c r="AA272" s="17"/>
      <c r="AB272" s="16" t="s">
        <v>3460</v>
      </c>
      <c r="AC272" s="16" t="e">
        <v>#N/A</v>
      </c>
      <c r="AD272" s="16" t="s">
        <v>2934</v>
      </c>
      <c r="AE272" s="16" t="s">
        <v>3461</v>
      </c>
      <c r="AF272" s="17"/>
      <c r="AG272" s="117">
        <v>4.500013245E9</v>
      </c>
      <c r="AH272" s="17"/>
      <c r="AI272" s="11"/>
    </row>
    <row r="273">
      <c r="A273" s="105" t="str">
        <f t="shared" si="6"/>
        <v>#REF!</v>
      </c>
      <c r="B273" s="106" t="s">
        <v>2644</v>
      </c>
      <c r="C273" s="106" t="s">
        <v>2645</v>
      </c>
      <c r="D273" s="106" t="s">
        <v>2646</v>
      </c>
      <c r="E273" s="106" t="s">
        <v>3106</v>
      </c>
      <c r="F273" s="106" t="s">
        <v>1960</v>
      </c>
      <c r="G273" s="106" t="s">
        <v>2020</v>
      </c>
      <c r="H273" s="107"/>
      <c r="I273" s="16" t="s">
        <v>2169</v>
      </c>
      <c r="J273" s="17"/>
      <c r="K273" s="16" t="s">
        <v>79</v>
      </c>
      <c r="L273" s="16" t="s">
        <v>3120</v>
      </c>
      <c r="M273" s="108">
        <v>43138.0</v>
      </c>
      <c r="N273" s="109">
        <f t="shared" si="5"/>
        <v>8.097222222</v>
      </c>
      <c r="O273" s="16" t="s">
        <v>3136</v>
      </c>
      <c r="P273" s="16" t="s">
        <v>3121</v>
      </c>
      <c r="Q273" s="120">
        <v>45301.0</v>
      </c>
      <c r="R273" s="17"/>
      <c r="S273" s="17"/>
      <c r="T273" s="16" t="s">
        <v>2644</v>
      </c>
      <c r="U273" s="17"/>
      <c r="V273" s="17"/>
      <c r="W273" s="17"/>
      <c r="X273" s="17"/>
      <c r="Y273" s="17"/>
      <c r="Z273" s="17"/>
      <c r="AA273" s="17"/>
      <c r="AB273" s="17"/>
      <c r="AC273" s="16" t="s">
        <v>3224</v>
      </c>
      <c r="AD273" s="16" t="s">
        <v>3462</v>
      </c>
      <c r="AE273" s="16" t="s">
        <v>3183</v>
      </c>
      <c r="AF273" s="17"/>
      <c r="AG273" s="16">
        <v>5.0002378E7</v>
      </c>
      <c r="AH273" s="16" t="s">
        <v>3463</v>
      </c>
      <c r="AI273" s="11"/>
    </row>
    <row r="274">
      <c r="A274" s="105" t="str">
        <f t="shared" si="6"/>
        <v>#REF!</v>
      </c>
      <c r="B274" s="106" t="s">
        <v>2647</v>
      </c>
      <c r="C274" s="106" t="s">
        <v>2648</v>
      </c>
      <c r="D274" s="106" t="s">
        <v>2649</v>
      </c>
      <c r="E274" s="106" t="s">
        <v>3106</v>
      </c>
      <c r="F274" s="106" t="s">
        <v>1960</v>
      </c>
      <c r="G274" s="106" t="s">
        <v>2650</v>
      </c>
      <c r="H274" s="107"/>
      <c r="I274" s="16" t="s">
        <v>12</v>
      </c>
      <c r="J274" s="17"/>
      <c r="K274" s="16" t="s">
        <v>36</v>
      </c>
      <c r="L274" s="16" t="s">
        <v>2650</v>
      </c>
      <c r="M274" s="108">
        <v>43822.0</v>
      </c>
      <c r="N274" s="109">
        <f t="shared" si="5"/>
        <v>6.219444444</v>
      </c>
      <c r="O274" s="16" t="s">
        <v>3136</v>
      </c>
      <c r="P274" s="16" t="s">
        <v>3121</v>
      </c>
      <c r="Q274" s="111"/>
      <c r="R274" s="17"/>
      <c r="S274" s="17"/>
      <c r="T274" s="16" t="s">
        <v>2647</v>
      </c>
      <c r="U274" s="17"/>
      <c r="V274" s="17"/>
      <c r="W274" s="17"/>
      <c r="X274" s="17"/>
      <c r="Y274" s="17"/>
      <c r="Z274" s="17"/>
      <c r="AA274" s="17"/>
      <c r="AB274" s="17"/>
      <c r="AC274" s="16" t="s">
        <v>3361</v>
      </c>
      <c r="AD274" s="16" t="s">
        <v>3464</v>
      </c>
      <c r="AE274" s="16" t="s">
        <v>3465</v>
      </c>
      <c r="AF274" s="17"/>
      <c r="AG274" s="16">
        <v>5.0003356E7</v>
      </c>
      <c r="AH274" s="16" t="s">
        <v>3466</v>
      </c>
      <c r="AI274" s="11"/>
    </row>
    <row r="275">
      <c r="A275" s="105" t="str">
        <f t="shared" si="6"/>
        <v>#REF!</v>
      </c>
      <c r="B275" s="106" t="s">
        <v>2651</v>
      </c>
      <c r="C275" s="106" t="s">
        <v>2652</v>
      </c>
      <c r="D275" s="106" t="s">
        <v>2366</v>
      </c>
      <c r="E275" s="106" t="s">
        <v>3106</v>
      </c>
      <c r="F275" s="106" t="s">
        <v>1960</v>
      </c>
      <c r="G275" s="106" t="s">
        <v>2653</v>
      </c>
      <c r="H275" s="107"/>
      <c r="I275" s="16" t="s">
        <v>2169</v>
      </c>
      <c r="J275" s="17"/>
      <c r="K275" s="16" t="s">
        <v>13</v>
      </c>
      <c r="L275" s="16" t="s">
        <v>2653</v>
      </c>
      <c r="M275" s="108">
        <v>44217.0</v>
      </c>
      <c r="N275" s="109">
        <f t="shared" si="5"/>
        <v>5.141666667</v>
      </c>
      <c r="O275" s="16" t="s">
        <v>3136</v>
      </c>
      <c r="P275" s="16" t="s">
        <v>3121</v>
      </c>
      <c r="Q275" s="111"/>
      <c r="R275" s="17"/>
      <c r="S275" s="17"/>
      <c r="T275" s="16" t="s">
        <v>2651</v>
      </c>
      <c r="U275" s="17"/>
      <c r="V275" s="17"/>
      <c r="W275" s="17"/>
      <c r="X275" s="17"/>
      <c r="Y275" s="17"/>
      <c r="Z275" s="17"/>
      <c r="AA275" s="17"/>
      <c r="AB275" s="17"/>
      <c r="AC275" s="16" t="e">
        <v>#N/A</v>
      </c>
      <c r="AD275" s="16" t="s">
        <v>3324</v>
      </c>
      <c r="AE275" s="16" t="s">
        <v>3467</v>
      </c>
      <c r="AF275" s="17"/>
      <c r="AG275" s="16">
        <v>5.0003803E7</v>
      </c>
      <c r="AH275" s="16" t="s">
        <v>3468</v>
      </c>
      <c r="AI275" s="11"/>
    </row>
    <row r="276">
      <c r="A276" s="105" t="str">
        <f t="shared" si="6"/>
        <v>#REF!</v>
      </c>
      <c r="B276" s="106" t="s">
        <v>2654</v>
      </c>
      <c r="C276" s="106" t="s">
        <v>2655</v>
      </c>
      <c r="D276" s="106" t="s">
        <v>2656</v>
      </c>
      <c r="E276" s="106" t="s">
        <v>3106</v>
      </c>
      <c r="F276" s="106" t="s">
        <v>1960</v>
      </c>
      <c r="G276" s="106" t="s">
        <v>2657</v>
      </c>
      <c r="H276" s="107"/>
      <c r="I276" s="16" t="s">
        <v>12</v>
      </c>
      <c r="J276" s="17"/>
      <c r="K276" s="16" t="s">
        <v>36</v>
      </c>
      <c r="L276" s="16" t="s">
        <v>2650</v>
      </c>
      <c r="M276" s="108">
        <v>43717.0</v>
      </c>
      <c r="N276" s="109">
        <f t="shared" si="5"/>
        <v>6.508333333</v>
      </c>
      <c r="O276" s="16" t="s">
        <v>3136</v>
      </c>
      <c r="P276" s="16" t="s">
        <v>2557</v>
      </c>
      <c r="Q276" s="120">
        <v>45243.0</v>
      </c>
      <c r="R276" s="16" t="s">
        <v>2557</v>
      </c>
      <c r="S276" s="16" t="s">
        <v>3148</v>
      </c>
      <c r="T276" s="16" t="s">
        <v>2654</v>
      </c>
      <c r="U276" s="17"/>
      <c r="V276" s="17"/>
      <c r="W276" s="17"/>
      <c r="X276" s="17"/>
      <c r="Y276" s="17"/>
      <c r="Z276" s="17"/>
      <c r="AA276" s="17"/>
      <c r="AB276" s="17"/>
      <c r="AC276" s="16" t="s">
        <v>3469</v>
      </c>
      <c r="AD276" s="17"/>
      <c r="AE276" s="16" t="s">
        <v>3106</v>
      </c>
      <c r="AF276" s="17"/>
      <c r="AG276" s="16">
        <v>5.0002996E7</v>
      </c>
      <c r="AH276" s="16" t="s">
        <v>157</v>
      </c>
      <c r="AI276" s="11"/>
    </row>
    <row r="277">
      <c r="A277" s="105" t="str">
        <f t="shared" si="6"/>
        <v>#REF!</v>
      </c>
      <c r="B277" s="106" t="s">
        <v>2658</v>
      </c>
      <c r="C277" s="106" t="s">
        <v>2659</v>
      </c>
      <c r="D277" s="106" t="s">
        <v>2660</v>
      </c>
      <c r="E277" s="106" t="s">
        <v>3106</v>
      </c>
      <c r="F277" s="106" t="s">
        <v>1960</v>
      </c>
      <c r="G277" s="106" t="s">
        <v>2020</v>
      </c>
      <c r="H277" s="107"/>
      <c r="I277" s="16" t="s">
        <v>2169</v>
      </c>
      <c r="J277" s="17"/>
      <c r="K277" s="16" t="s">
        <v>79</v>
      </c>
      <c r="L277" s="16" t="s">
        <v>3120</v>
      </c>
      <c r="M277" s="108">
        <v>43359.0</v>
      </c>
      <c r="N277" s="109">
        <f t="shared" si="5"/>
        <v>7.488888889</v>
      </c>
      <c r="O277" s="16" t="s">
        <v>3136</v>
      </c>
      <c r="P277" s="16" t="s">
        <v>2557</v>
      </c>
      <c r="Q277" s="111"/>
      <c r="R277" s="17"/>
      <c r="S277" s="17"/>
      <c r="T277" s="16" t="s">
        <v>2658</v>
      </c>
      <c r="U277" s="17"/>
      <c r="V277" s="17"/>
      <c r="W277" s="17"/>
      <c r="X277" s="17"/>
      <c r="Y277" s="17"/>
      <c r="Z277" s="17"/>
      <c r="AA277" s="17"/>
      <c r="AB277" s="17"/>
      <c r="AC277" s="16" t="s">
        <v>3238</v>
      </c>
      <c r="AD277" s="16" t="e">
        <v>#N/A</v>
      </c>
      <c r="AE277" s="16" t="s">
        <v>3138</v>
      </c>
      <c r="AF277" s="17"/>
      <c r="AG277" s="16">
        <v>5.0002718E7</v>
      </c>
      <c r="AH277" s="16" t="s">
        <v>157</v>
      </c>
      <c r="AI277" s="11"/>
    </row>
    <row r="278">
      <c r="A278" s="105" t="str">
        <f t="shared" si="6"/>
        <v>#REF!</v>
      </c>
      <c r="B278" s="106" t="s">
        <v>2661</v>
      </c>
      <c r="C278" s="106">
        <v>6.0019861E7</v>
      </c>
      <c r="D278" s="106" t="s">
        <v>2662</v>
      </c>
      <c r="E278" s="106" t="s">
        <v>3106</v>
      </c>
      <c r="F278" s="106" t="s">
        <v>1960</v>
      </c>
      <c r="G278" s="106" t="s">
        <v>2227</v>
      </c>
      <c r="H278" s="107"/>
      <c r="I278" s="16" t="s">
        <v>12</v>
      </c>
      <c r="J278" s="17"/>
      <c r="K278" s="16" t="s">
        <v>36</v>
      </c>
      <c r="L278" s="16" t="s">
        <v>2818</v>
      </c>
      <c r="M278" s="108">
        <v>44848.0</v>
      </c>
      <c r="N278" s="109">
        <f t="shared" si="5"/>
        <v>3.411111111</v>
      </c>
      <c r="O278" s="16" t="s">
        <v>2557</v>
      </c>
      <c r="P278" s="16" t="s">
        <v>3136</v>
      </c>
      <c r="Q278" s="16" t="s">
        <v>3470</v>
      </c>
      <c r="R278" s="17"/>
      <c r="S278" s="17"/>
      <c r="T278" s="16" t="s">
        <v>2661</v>
      </c>
      <c r="U278" s="17"/>
      <c r="V278" s="17"/>
      <c r="W278" s="17"/>
      <c r="X278" s="17"/>
      <c r="Y278" s="17"/>
      <c r="Z278" s="17"/>
      <c r="AA278" s="17"/>
      <c r="AB278" s="17"/>
      <c r="AC278" s="16" t="s">
        <v>3469</v>
      </c>
      <c r="AD278" s="16" t="s">
        <v>3471</v>
      </c>
      <c r="AE278" s="16" t="s">
        <v>3472</v>
      </c>
      <c r="AF278" s="17"/>
      <c r="AG278" s="16">
        <v>4.500000469E9</v>
      </c>
      <c r="AH278" s="17"/>
      <c r="AI278" s="11"/>
    </row>
    <row r="279">
      <c r="A279" s="105" t="str">
        <f t="shared" si="6"/>
        <v>#REF!</v>
      </c>
      <c r="B279" s="106" t="s">
        <v>2663</v>
      </c>
      <c r="C279" s="106">
        <v>6.0019851E7</v>
      </c>
      <c r="D279" s="106" t="s">
        <v>2664</v>
      </c>
      <c r="E279" s="106" t="s">
        <v>3106</v>
      </c>
      <c r="F279" s="106" t="s">
        <v>1960</v>
      </c>
      <c r="G279" s="106" t="s">
        <v>2233</v>
      </c>
      <c r="H279" s="107"/>
      <c r="I279" s="16" t="s">
        <v>2173</v>
      </c>
      <c r="J279" s="17"/>
      <c r="K279" s="16" t="s">
        <v>36</v>
      </c>
      <c r="L279" s="16" t="s">
        <v>3213</v>
      </c>
      <c r="M279" s="108">
        <v>44848.0</v>
      </c>
      <c r="N279" s="109">
        <f t="shared" si="5"/>
        <v>3.411111111</v>
      </c>
      <c r="O279" s="16" t="s">
        <v>3136</v>
      </c>
      <c r="P279" s="16" t="s">
        <v>2557</v>
      </c>
      <c r="Q279" s="120">
        <v>45251.0</v>
      </c>
      <c r="R279" s="17"/>
      <c r="S279" s="16" t="s">
        <v>3148</v>
      </c>
      <c r="T279" s="16" t="s">
        <v>2663</v>
      </c>
      <c r="U279" s="17"/>
      <c r="V279" s="17"/>
      <c r="W279" s="17"/>
      <c r="X279" s="17"/>
      <c r="Y279" s="17"/>
      <c r="Z279" s="17"/>
      <c r="AA279" s="17"/>
      <c r="AB279" s="17"/>
      <c r="AC279" s="16" t="s">
        <v>3473</v>
      </c>
      <c r="AD279" s="16" t="e">
        <v>#N/A</v>
      </c>
      <c r="AE279" s="16" t="s">
        <v>3207</v>
      </c>
      <c r="AF279" s="17"/>
      <c r="AG279" s="16">
        <v>4.500000469E9</v>
      </c>
      <c r="AH279" s="16" t="s">
        <v>3474</v>
      </c>
      <c r="AI279" s="11"/>
    </row>
    <row r="280">
      <c r="A280" s="105" t="str">
        <f t="shared" si="6"/>
        <v>#REF!</v>
      </c>
      <c r="B280" s="106" t="s">
        <v>2665</v>
      </c>
      <c r="C280" s="106">
        <v>6.0020125E7</v>
      </c>
      <c r="D280" s="106" t="s">
        <v>2666</v>
      </c>
      <c r="E280" s="106" t="s">
        <v>3106</v>
      </c>
      <c r="F280" s="106" t="s">
        <v>1960</v>
      </c>
      <c r="G280" s="106" t="s">
        <v>2233</v>
      </c>
      <c r="H280" s="107"/>
      <c r="I280" s="16" t="s">
        <v>12</v>
      </c>
      <c r="J280" s="17"/>
      <c r="K280" s="16" t="s">
        <v>36</v>
      </c>
      <c r="L280" s="16" t="s">
        <v>3213</v>
      </c>
      <c r="M280" s="108">
        <v>44848.0</v>
      </c>
      <c r="N280" s="109">
        <f t="shared" si="5"/>
        <v>3.411111111</v>
      </c>
      <c r="O280" s="17"/>
      <c r="P280" s="16" t="s">
        <v>3136</v>
      </c>
      <c r="Q280" s="111"/>
      <c r="R280" s="17"/>
      <c r="S280" s="16" t="s">
        <v>3148</v>
      </c>
      <c r="T280" s="16" t="s">
        <v>3475</v>
      </c>
      <c r="U280" s="17"/>
      <c r="V280" s="17"/>
      <c r="W280" s="17"/>
      <c r="X280" s="17"/>
      <c r="Y280" s="17"/>
      <c r="Z280" s="17"/>
      <c r="AA280" s="17"/>
      <c r="AB280" s="17"/>
      <c r="AC280" s="16" t="e">
        <v>#N/A</v>
      </c>
      <c r="AD280" s="16" t="s">
        <v>3185</v>
      </c>
      <c r="AE280" s="17"/>
      <c r="AF280" s="17"/>
      <c r="AG280" s="16">
        <v>4.500000469E9</v>
      </c>
      <c r="AH280" s="17"/>
      <c r="AI280" s="11"/>
    </row>
    <row r="281">
      <c r="A281" s="105" t="str">
        <f t="shared" si="6"/>
        <v>#REF!</v>
      </c>
      <c r="B281" s="106" t="s">
        <v>2667</v>
      </c>
      <c r="C281" s="106">
        <v>6.0019885E7</v>
      </c>
      <c r="D281" s="106" t="s">
        <v>2668</v>
      </c>
      <c r="E281" s="106" t="s">
        <v>3106</v>
      </c>
      <c r="F281" s="106" t="s">
        <v>1960</v>
      </c>
      <c r="G281" s="106" t="s">
        <v>2349</v>
      </c>
      <c r="H281" s="107"/>
      <c r="I281" s="16" t="s">
        <v>2669</v>
      </c>
      <c r="J281" s="17"/>
      <c r="K281" s="16" t="s">
        <v>36</v>
      </c>
      <c r="L281" s="16" t="s">
        <v>3280</v>
      </c>
      <c r="M281" s="108">
        <v>44848.0</v>
      </c>
      <c r="N281" s="109">
        <f t="shared" si="5"/>
        <v>3.411111111</v>
      </c>
      <c r="O281" s="17"/>
      <c r="P281" s="16" t="s">
        <v>3136</v>
      </c>
      <c r="Q281" s="111"/>
      <c r="R281" s="17"/>
      <c r="S281" s="16" t="s">
        <v>3148</v>
      </c>
      <c r="T281" s="16" t="s">
        <v>2667</v>
      </c>
      <c r="U281" s="17"/>
      <c r="V281" s="17"/>
      <c r="W281" s="17"/>
      <c r="X281" s="17"/>
      <c r="Y281" s="17"/>
      <c r="Z281" s="17"/>
      <c r="AA281" s="17"/>
      <c r="AB281" s="17"/>
      <c r="AC281" s="16" t="e">
        <v>#N/A</v>
      </c>
      <c r="AD281" s="16" t="e">
        <v>#N/A</v>
      </c>
      <c r="AE281" s="16" t="e">
        <v>#N/A</v>
      </c>
      <c r="AF281" s="17"/>
      <c r="AG281" s="16">
        <v>4.500000469E9</v>
      </c>
      <c r="AH281" s="16" t="s">
        <v>157</v>
      </c>
      <c r="AI281" s="11"/>
    </row>
    <row r="282">
      <c r="A282" s="105" t="str">
        <f t="shared" si="6"/>
        <v>#REF!</v>
      </c>
      <c r="B282" s="106" t="s">
        <v>2670</v>
      </c>
      <c r="C282" s="106">
        <v>6.0019886E7</v>
      </c>
      <c r="D282" s="106" t="s">
        <v>2671</v>
      </c>
      <c r="E282" s="106" t="s">
        <v>3106</v>
      </c>
      <c r="F282" s="106" t="s">
        <v>1960</v>
      </c>
      <c r="G282" s="106" t="s">
        <v>2349</v>
      </c>
      <c r="H282" s="107"/>
      <c r="I282" s="16" t="s">
        <v>2669</v>
      </c>
      <c r="J282" s="17"/>
      <c r="K282" s="16" t="s">
        <v>36</v>
      </c>
      <c r="L282" s="16" t="s">
        <v>3280</v>
      </c>
      <c r="M282" s="108">
        <v>44848.0</v>
      </c>
      <c r="N282" s="109">
        <f t="shared" si="5"/>
        <v>3.411111111</v>
      </c>
      <c r="O282" s="17"/>
      <c r="P282" s="16" t="s">
        <v>3136</v>
      </c>
      <c r="Q282" s="111"/>
      <c r="R282" s="17"/>
      <c r="S282" s="16" t="s">
        <v>3148</v>
      </c>
      <c r="T282" s="16" t="s">
        <v>2670</v>
      </c>
      <c r="U282" s="17"/>
      <c r="V282" s="17"/>
      <c r="W282" s="17"/>
      <c r="X282" s="17"/>
      <c r="Y282" s="17"/>
      <c r="Z282" s="17"/>
      <c r="AA282" s="17"/>
      <c r="AB282" s="17"/>
      <c r="AC282" s="16" t="e">
        <v>#N/A</v>
      </c>
      <c r="AD282" s="16" t="e">
        <v>#N/A</v>
      </c>
      <c r="AE282" s="16" t="e">
        <v>#N/A</v>
      </c>
      <c r="AF282" s="17"/>
      <c r="AG282" s="16">
        <v>4.500000469E9</v>
      </c>
      <c r="AH282" s="17"/>
      <c r="AI282" s="11"/>
    </row>
    <row r="283">
      <c r="A283" s="105" t="str">
        <f t="shared" si="6"/>
        <v>#REF!</v>
      </c>
      <c r="B283" s="106" t="s">
        <v>2672</v>
      </c>
      <c r="C283" s="106" t="s">
        <v>2673</v>
      </c>
      <c r="D283" s="106" t="s">
        <v>2674</v>
      </c>
      <c r="E283" s="106" t="s">
        <v>3106</v>
      </c>
      <c r="F283" s="106" t="s">
        <v>1960</v>
      </c>
      <c r="G283" s="106" t="s">
        <v>2116</v>
      </c>
      <c r="H283" s="107"/>
      <c r="I283" s="16" t="s">
        <v>2169</v>
      </c>
      <c r="J283" s="17"/>
      <c r="K283" s="16" t="s">
        <v>79</v>
      </c>
      <c r="L283" s="16" t="s">
        <v>2051</v>
      </c>
      <c r="M283" s="108">
        <v>43571.0</v>
      </c>
      <c r="N283" s="109">
        <f t="shared" si="5"/>
        <v>6.905555556</v>
      </c>
      <c r="O283" s="16" t="s">
        <v>3121</v>
      </c>
      <c r="P283" s="16" t="s">
        <v>3121</v>
      </c>
      <c r="Q283" s="111"/>
      <c r="R283" s="17"/>
      <c r="S283" s="16" t="s">
        <v>3148</v>
      </c>
      <c r="T283" s="16" t="s">
        <v>2672</v>
      </c>
      <c r="U283" s="17"/>
      <c r="V283" s="17"/>
      <c r="W283" s="17"/>
      <c r="X283" s="17"/>
      <c r="Y283" s="17"/>
      <c r="Z283" s="17"/>
      <c r="AA283" s="17"/>
      <c r="AB283" s="17"/>
      <c r="AC283" s="16" t="s">
        <v>3476</v>
      </c>
      <c r="AD283" s="16" t="e">
        <v>#N/A</v>
      </c>
      <c r="AE283" s="16" t="s">
        <v>3106</v>
      </c>
      <c r="AF283" s="17"/>
      <c r="AG283" s="16">
        <v>5.0002844E7</v>
      </c>
      <c r="AH283" s="16" t="s">
        <v>3477</v>
      </c>
      <c r="AI283" s="11"/>
    </row>
    <row r="284">
      <c r="A284" s="105" t="str">
        <f t="shared" si="6"/>
        <v>#REF!</v>
      </c>
      <c r="B284" s="106" t="s">
        <v>2675</v>
      </c>
      <c r="C284" s="106" t="s">
        <v>2676</v>
      </c>
      <c r="D284" s="106" t="s">
        <v>2677</v>
      </c>
      <c r="E284" s="106" t="s">
        <v>3106</v>
      </c>
      <c r="F284" s="106" t="s">
        <v>1960</v>
      </c>
      <c r="G284" s="106" t="s">
        <v>2131</v>
      </c>
      <c r="H284" s="107"/>
      <c r="I284" s="16" t="s">
        <v>12</v>
      </c>
      <c r="J284" s="17"/>
      <c r="K284" s="16" t="s">
        <v>13</v>
      </c>
      <c r="L284" s="16" t="s">
        <v>2131</v>
      </c>
      <c r="M284" s="108">
        <v>44376.0</v>
      </c>
      <c r="N284" s="109">
        <f t="shared" si="5"/>
        <v>4.702777778</v>
      </c>
      <c r="O284" s="16" t="s">
        <v>2557</v>
      </c>
      <c r="P284" s="16" t="s">
        <v>3136</v>
      </c>
      <c r="Q284" s="16" t="s">
        <v>3478</v>
      </c>
      <c r="R284" s="17"/>
      <c r="S284" s="17"/>
      <c r="T284" s="16" t="s">
        <v>2675</v>
      </c>
      <c r="U284" s="17"/>
      <c r="V284" s="17"/>
      <c r="W284" s="17"/>
      <c r="X284" s="17"/>
      <c r="Y284" s="17"/>
      <c r="Z284" s="17"/>
      <c r="AA284" s="17"/>
      <c r="AB284" s="17"/>
      <c r="AC284" s="16" t="s">
        <v>3479</v>
      </c>
      <c r="AD284" s="16" t="s">
        <v>3480</v>
      </c>
      <c r="AE284" s="16" t="s">
        <v>3150</v>
      </c>
      <c r="AF284" s="17"/>
      <c r="AG284" s="16">
        <v>5.0004153E7</v>
      </c>
      <c r="AH284" s="17"/>
      <c r="AI284" s="11"/>
    </row>
    <row r="285">
      <c r="A285" s="105" t="str">
        <f t="shared" si="6"/>
        <v>#REF!</v>
      </c>
      <c r="B285" s="106" t="s">
        <v>2678</v>
      </c>
      <c r="C285" s="106" t="s">
        <v>2679</v>
      </c>
      <c r="D285" s="106" t="s">
        <v>2680</v>
      </c>
      <c r="E285" s="106" t="s">
        <v>3106</v>
      </c>
      <c r="F285" s="106" t="s">
        <v>1960</v>
      </c>
      <c r="G285" s="106" t="s">
        <v>2220</v>
      </c>
      <c r="H285" s="107"/>
      <c r="I285" s="16" t="s">
        <v>157</v>
      </c>
      <c r="J285" s="17"/>
      <c r="K285" s="16" t="s">
        <v>36</v>
      </c>
      <c r="L285" s="16" t="s">
        <v>2220</v>
      </c>
      <c r="M285" s="108">
        <v>44188.0</v>
      </c>
      <c r="N285" s="109">
        <f t="shared" si="5"/>
        <v>5.219444444</v>
      </c>
      <c r="O285" s="16" t="s">
        <v>3136</v>
      </c>
      <c r="P285" s="16" t="s">
        <v>2557</v>
      </c>
      <c r="Q285" s="111"/>
      <c r="R285" s="17"/>
      <c r="S285" s="17"/>
      <c r="T285" s="16" t="s">
        <v>2678</v>
      </c>
      <c r="U285" s="17"/>
      <c r="V285" s="17"/>
      <c r="W285" s="17"/>
      <c r="X285" s="17"/>
      <c r="Y285" s="17"/>
      <c r="Z285" s="17"/>
      <c r="AA285" s="17"/>
      <c r="AB285" s="17"/>
      <c r="AC285" s="119" t="s">
        <v>3481</v>
      </c>
      <c r="AD285" s="17"/>
      <c r="AE285" s="16" t="s">
        <v>3217</v>
      </c>
      <c r="AF285" s="17"/>
      <c r="AG285" s="16">
        <v>5.0036153E7</v>
      </c>
      <c r="AH285" s="16" t="s">
        <v>157</v>
      </c>
      <c r="AI285" s="11"/>
    </row>
    <row r="286">
      <c r="A286" s="105" t="str">
        <f t="shared" si="6"/>
        <v>#REF!</v>
      </c>
      <c r="B286" s="106" t="s">
        <v>2681</v>
      </c>
      <c r="C286" s="106" t="s">
        <v>2682</v>
      </c>
      <c r="D286" s="106" t="s">
        <v>2683</v>
      </c>
      <c r="E286" s="106" t="s">
        <v>3106</v>
      </c>
      <c r="F286" s="106" t="s">
        <v>1960</v>
      </c>
      <c r="G286" s="106" t="s">
        <v>2220</v>
      </c>
      <c r="H286" s="107"/>
      <c r="I286" s="16" t="s">
        <v>2169</v>
      </c>
      <c r="J286" s="17"/>
      <c r="K286" s="16" t="s">
        <v>36</v>
      </c>
      <c r="L286" s="16" t="s">
        <v>3202</v>
      </c>
      <c r="M286" s="108">
        <v>44188.0</v>
      </c>
      <c r="N286" s="109">
        <f t="shared" si="5"/>
        <v>5.219444444</v>
      </c>
      <c r="O286" s="16" t="s">
        <v>3136</v>
      </c>
      <c r="P286" s="16" t="s">
        <v>3121</v>
      </c>
      <c r="Q286" s="120">
        <v>45243.0</v>
      </c>
      <c r="R286" s="17"/>
      <c r="S286" s="17"/>
      <c r="T286" s="16" t="s">
        <v>2681</v>
      </c>
      <c r="U286" s="17"/>
      <c r="V286" s="17"/>
      <c r="W286" s="17"/>
      <c r="X286" s="17"/>
      <c r="Y286" s="17"/>
      <c r="Z286" s="17"/>
      <c r="AA286" s="17"/>
      <c r="AB286" s="17"/>
      <c r="AC286" s="16" t="s">
        <v>3482</v>
      </c>
      <c r="AD286" s="16" t="e">
        <v>#N/A</v>
      </c>
      <c r="AE286" s="16" t="s">
        <v>3243</v>
      </c>
      <c r="AF286" s="17"/>
      <c r="AG286" s="16">
        <v>5.0036153E7</v>
      </c>
      <c r="AH286" s="16" t="s">
        <v>3474</v>
      </c>
      <c r="AI286" s="11"/>
    </row>
    <row r="287">
      <c r="A287" s="105" t="str">
        <f t="shared" si="6"/>
        <v>#REF!</v>
      </c>
      <c r="B287" s="106" t="s">
        <v>2684</v>
      </c>
      <c r="C287" s="106" t="s">
        <v>2685</v>
      </c>
      <c r="D287" s="106" t="s">
        <v>2686</v>
      </c>
      <c r="E287" s="106" t="s">
        <v>3106</v>
      </c>
      <c r="F287" s="106" t="s">
        <v>1960</v>
      </c>
      <c r="G287" s="106" t="s">
        <v>2116</v>
      </c>
      <c r="H287" s="107"/>
      <c r="I287" s="16" t="s">
        <v>12</v>
      </c>
      <c r="J287" s="17"/>
      <c r="K287" s="16" t="s">
        <v>79</v>
      </c>
      <c r="L287" s="16" t="s">
        <v>2051</v>
      </c>
      <c r="M287" s="108">
        <v>43571.0</v>
      </c>
      <c r="N287" s="109">
        <f t="shared" si="5"/>
        <v>6.905555556</v>
      </c>
      <c r="O287" s="16" t="s">
        <v>3136</v>
      </c>
      <c r="P287" s="16" t="s">
        <v>3121</v>
      </c>
      <c r="Q287" s="111"/>
      <c r="R287" s="17"/>
      <c r="S287" s="17"/>
      <c r="T287" s="16" t="s">
        <v>2684</v>
      </c>
      <c r="U287" s="17"/>
      <c r="V287" s="17"/>
      <c r="W287" s="17"/>
      <c r="X287" s="17"/>
      <c r="Y287" s="17"/>
      <c r="Z287" s="17"/>
      <c r="AA287" s="17"/>
      <c r="AB287" s="17"/>
      <c r="AC287" s="16" t="s">
        <v>3483</v>
      </c>
      <c r="AD287" s="16" t="s">
        <v>3484</v>
      </c>
      <c r="AE287" s="16" t="s">
        <v>3106</v>
      </c>
      <c r="AF287" s="17"/>
      <c r="AG287" s="16">
        <v>5.0002996E7</v>
      </c>
      <c r="AH287" s="16" t="s">
        <v>3156</v>
      </c>
      <c r="AI287" s="11"/>
    </row>
    <row r="288">
      <c r="A288" s="105" t="str">
        <f t="shared" si="6"/>
        <v>#REF!</v>
      </c>
      <c r="B288" s="106" t="s">
        <v>2687</v>
      </c>
      <c r="C288" s="106">
        <v>6.0019848E7</v>
      </c>
      <c r="D288" s="106" t="s">
        <v>2688</v>
      </c>
      <c r="E288" s="106" t="s">
        <v>3106</v>
      </c>
      <c r="F288" s="106" t="s">
        <v>1960</v>
      </c>
      <c r="G288" s="106" t="s">
        <v>2233</v>
      </c>
      <c r="H288" s="107"/>
      <c r="I288" s="16" t="s">
        <v>157</v>
      </c>
      <c r="J288" s="17"/>
      <c r="K288" s="16" t="s">
        <v>36</v>
      </c>
      <c r="L288" s="16" t="s">
        <v>3213</v>
      </c>
      <c r="M288" s="108">
        <v>44848.0</v>
      </c>
      <c r="N288" s="109">
        <f t="shared" si="5"/>
        <v>3.411111111</v>
      </c>
      <c r="O288" s="16" t="s">
        <v>3136</v>
      </c>
      <c r="P288" s="16" t="s">
        <v>3121</v>
      </c>
      <c r="Q288" s="120">
        <v>45086.0</v>
      </c>
      <c r="R288" s="17"/>
      <c r="S288" s="17"/>
      <c r="T288" s="16" t="s">
        <v>2687</v>
      </c>
      <c r="U288" s="17"/>
      <c r="V288" s="17"/>
      <c r="W288" s="17"/>
      <c r="X288" s="17"/>
      <c r="Y288" s="17"/>
      <c r="Z288" s="17"/>
      <c r="AA288" s="17"/>
      <c r="AB288" s="17"/>
      <c r="AC288" s="16" t="s">
        <v>3485</v>
      </c>
      <c r="AD288" s="16" t="e">
        <v>#N/A</v>
      </c>
      <c r="AE288" s="16" t="s">
        <v>3211</v>
      </c>
      <c r="AF288" s="17"/>
      <c r="AG288" s="16">
        <v>4.500000469E9</v>
      </c>
      <c r="AH288" s="16" t="s">
        <v>157</v>
      </c>
      <c r="AI288" s="11"/>
    </row>
    <row r="289">
      <c r="A289" s="105" t="str">
        <f t="shared" si="6"/>
        <v>#REF!</v>
      </c>
      <c r="B289" s="106" t="s">
        <v>2689</v>
      </c>
      <c r="C289" s="106" t="s">
        <v>2690</v>
      </c>
      <c r="D289" s="106" t="s">
        <v>2691</v>
      </c>
      <c r="E289" s="106" t="s">
        <v>3106</v>
      </c>
      <c r="F289" s="106" t="s">
        <v>1960</v>
      </c>
      <c r="G289" s="106" t="s">
        <v>2131</v>
      </c>
      <c r="H289" s="107"/>
      <c r="I289" s="16" t="s">
        <v>12</v>
      </c>
      <c r="J289" s="17"/>
      <c r="K289" s="16" t="s">
        <v>13</v>
      </c>
      <c r="L289" s="16" t="s">
        <v>2131</v>
      </c>
      <c r="M289" s="108">
        <v>44376.0</v>
      </c>
      <c r="N289" s="109">
        <f t="shared" si="5"/>
        <v>4.702777778</v>
      </c>
      <c r="O289" s="16" t="s">
        <v>3121</v>
      </c>
      <c r="P289" s="16" t="s">
        <v>3136</v>
      </c>
      <c r="Q289" s="16" t="s">
        <v>3486</v>
      </c>
      <c r="R289" s="17"/>
      <c r="S289" s="17"/>
      <c r="T289" s="16" t="s">
        <v>2689</v>
      </c>
      <c r="U289" s="17"/>
      <c r="V289" s="17"/>
      <c r="W289" s="17"/>
      <c r="X289" s="17"/>
      <c r="Y289" s="17"/>
      <c r="Z289" s="17"/>
      <c r="AA289" s="17"/>
      <c r="AB289" s="17"/>
      <c r="AC289" s="16" t="s">
        <v>3487</v>
      </c>
      <c r="AD289" s="16" t="s">
        <v>3488</v>
      </c>
      <c r="AE289" s="16" t="s">
        <v>3150</v>
      </c>
      <c r="AF289" s="17"/>
      <c r="AG289" s="16">
        <v>5.0004153E7</v>
      </c>
      <c r="AH289" s="17"/>
      <c r="AI289" s="11"/>
    </row>
    <row r="290">
      <c r="A290" s="105" t="str">
        <f t="shared" si="6"/>
        <v>#REF!</v>
      </c>
      <c r="B290" s="106" t="s">
        <v>2692</v>
      </c>
      <c r="C290" s="106">
        <v>6.0019852E7</v>
      </c>
      <c r="D290" s="106" t="s">
        <v>2693</v>
      </c>
      <c r="E290" s="106" t="s">
        <v>3106</v>
      </c>
      <c r="F290" s="106" t="s">
        <v>1960</v>
      </c>
      <c r="G290" s="106" t="s">
        <v>2233</v>
      </c>
      <c r="H290" s="107"/>
      <c r="I290" s="16" t="s">
        <v>157</v>
      </c>
      <c r="J290" s="17"/>
      <c r="K290" s="16" t="s">
        <v>36</v>
      </c>
      <c r="L290" s="16" t="s">
        <v>3213</v>
      </c>
      <c r="M290" s="108">
        <v>44848.0</v>
      </c>
      <c r="N290" s="109">
        <f t="shared" si="5"/>
        <v>3.411111111</v>
      </c>
      <c r="O290" s="16" t="s">
        <v>3136</v>
      </c>
      <c r="P290" s="16" t="s">
        <v>3121</v>
      </c>
      <c r="Q290" s="120">
        <v>45424.0</v>
      </c>
      <c r="R290" s="17"/>
      <c r="S290" s="16" t="s">
        <v>3148</v>
      </c>
      <c r="T290" s="16" t="s">
        <v>2692</v>
      </c>
      <c r="U290" s="17"/>
      <c r="V290" s="17"/>
      <c r="W290" s="17"/>
      <c r="X290" s="17"/>
      <c r="Y290" s="17"/>
      <c r="Z290" s="17"/>
      <c r="AA290" s="17"/>
      <c r="AB290" s="17"/>
      <c r="AC290" s="16" t="s">
        <v>3489</v>
      </c>
      <c r="AD290" s="16" t="e">
        <v>#N/A</v>
      </c>
      <c r="AE290" s="16" t="s">
        <v>3226</v>
      </c>
      <c r="AF290" s="17"/>
      <c r="AG290" s="16">
        <v>4.500000469E9</v>
      </c>
      <c r="AH290" s="16" t="s">
        <v>3490</v>
      </c>
      <c r="AI290" s="11"/>
    </row>
    <row r="291">
      <c r="A291" s="105" t="str">
        <f t="shared" si="6"/>
        <v>#REF!</v>
      </c>
      <c r="B291" s="106" t="s">
        <v>2694</v>
      </c>
      <c r="C291" s="106">
        <v>6.0020151E7</v>
      </c>
      <c r="D291" s="106" t="s">
        <v>2695</v>
      </c>
      <c r="E291" s="106" t="s">
        <v>3106</v>
      </c>
      <c r="F291" s="106" t="s">
        <v>1960</v>
      </c>
      <c r="G291" s="106" t="s">
        <v>2540</v>
      </c>
      <c r="H291" s="107"/>
      <c r="I291" s="16" t="s">
        <v>157</v>
      </c>
      <c r="J291" s="17"/>
      <c r="K291" s="16" t="s">
        <v>13</v>
      </c>
      <c r="L291" s="16" t="s">
        <v>3373</v>
      </c>
      <c r="M291" s="108">
        <v>44922.0</v>
      </c>
      <c r="N291" s="109">
        <f t="shared" si="5"/>
        <v>3.208333333</v>
      </c>
      <c r="O291" s="16" t="s">
        <v>3136</v>
      </c>
      <c r="P291" s="16" t="s">
        <v>2557</v>
      </c>
      <c r="Q291" s="111"/>
      <c r="R291" s="17"/>
      <c r="S291" s="17"/>
      <c r="T291" s="16" t="s">
        <v>2694</v>
      </c>
      <c r="U291" s="17"/>
      <c r="V291" s="17"/>
      <c r="W291" s="17"/>
      <c r="X291" s="17"/>
      <c r="Y291" s="17"/>
      <c r="Z291" s="17"/>
      <c r="AA291" s="17"/>
      <c r="AB291" s="17"/>
      <c r="AC291" s="16" t="s">
        <v>3491</v>
      </c>
      <c r="AD291" s="16" t="e">
        <v>#N/A</v>
      </c>
      <c r="AE291" s="16" t="s">
        <v>2935</v>
      </c>
      <c r="AF291" s="17"/>
      <c r="AG291" s="17"/>
      <c r="AH291" s="16" t="s">
        <v>157</v>
      </c>
      <c r="AI291" s="11"/>
    </row>
    <row r="292">
      <c r="A292" s="105" t="str">
        <f t="shared" si="6"/>
        <v>#REF!</v>
      </c>
      <c r="B292" s="126" t="s">
        <v>2696</v>
      </c>
      <c r="C292" s="126">
        <v>6.0020259E7</v>
      </c>
      <c r="D292" s="106" t="s">
        <v>2697</v>
      </c>
      <c r="E292" s="106" t="s">
        <v>3106</v>
      </c>
      <c r="F292" s="106" t="s">
        <v>1960</v>
      </c>
      <c r="G292" s="106" t="s">
        <v>2540</v>
      </c>
      <c r="H292" s="107"/>
      <c r="I292" s="16" t="s">
        <v>157</v>
      </c>
      <c r="J292" s="17"/>
      <c r="K292" s="16" t="s">
        <v>13</v>
      </c>
      <c r="L292" s="16" t="s">
        <v>3373</v>
      </c>
      <c r="M292" s="108">
        <v>44998.0</v>
      </c>
      <c r="N292" s="109">
        <f t="shared" si="5"/>
        <v>2.997222222</v>
      </c>
      <c r="O292" s="16" t="s">
        <v>3136</v>
      </c>
      <c r="P292" s="16" t="s">
        <v>2557</v>
      </c>
      <c r="Q292" s="111"/>
      <c r="R292" s="17"/>
      <c r="S292" s="17"/>
      <c r="T292" s="119" t="s">
        <v>2696</v>
      </c>
      <c r="U292" s="17"/>
      <c r="V292" s="17"/>
      <c r="W292" s="17"/>
      <c r="X292" s="17"/>
      <c r="Y292" s="17"/>
      <c r="Z292" s="17"/>
      <c r="AA292" s="17"/>
      <c r="AB292" s="17"/>
      <c r="AC292" s="16" t="s">
        <v>3492</v>
      </c>
      <c r="AD292" s="16" t="s">
        <v>3492</v>
      </c>
      <c r="AE292" s="16" t="s">
        <v>2935</v>
      </c>
      <c r="AF292" s="17"/>
      <c r="AG292" s="17"/>
      <c r="AH292" s="16" t="s">
        <v>157</v>
      </c>
      <c r="AI292" s="11"/>
    </row>
    <row r="293">
      <c r="A293" s="105" t="str">
        <f t="shared" si="6"/>
        <v>#REF!</v>
      </c>
      <c r="B293" s="126" t="s">
        <v>2698</v>
      </c>
      <c r="C293" s="126">
        <v>6.002026E7</v>
      </c>
      <c r="D293" s="106" t="s">
        <v>2699</v>
      </c>
      <c r="E293" s="106" t="s">
        <v>3106</v>
      </c>
      <c r="F293" s="106" t="s">
        <v>1960</v>
      </c>
      <c r="G293" s="106" t="s">
        <v>2540</v>
      </c>
      <c r="H293" s="107"/>
      <c r="I293" s="16" t="s">
        <v>12</v>
      </c>
      <c r="J293" s="17"/>
      <c r="K293" s="16" t="s">
        <v>13</v>
      </c>
      <c r="L293" s="16" t="s">
        <v>3373</v>
      </c>
      <c r="M293" s="108">
        <v>44998.0</v>
      </c>
      <c r="N293" s="109">
        <f t="shared" si="5"/>
        <v>2.997222222</v>
      </c>
      <c r="O293" s="16" t="s">
        <v>2557</v>
      </c>
      <c r="P293" s="16" t="s">
        <v>3136</v>
      </c>
      <c r="Q293" s="120">
        <v>45993.0</v>
      </c>
      <c r="R293" s="17"/>
      <c r="S293" s="17"/>
      <c r="T293" s="119" t="s">
        <v>2698</v>
      </c>
      <c r="U293" s="17"/>
      <c r="V293" s="17"/>
      <c r="W293" s="17"/>
      <c r="X293" s="17"/>
      <c r="Y293" s="17"/>
      <c r="Z293" s="17"/>
      <c r="AA293" s="17"/>
      <c r="AB293" s="17"/>
      <c r="AC293" s="16" t="s">
        <v>3493</v>
      </c>
      <c r="AD293" s="16" t="s">
        <v>3494</v>
      </c>
      <c r="AE293" s="16" t="s">
        <v>3389</v>
      </c>
      <c r="AF293" s="17"/>
      <c r="AG293" s="17"/>
      <c r="AH293" s="17"/>
      <c r="AI293" s="11"/>
    </row>
    <row r="294">
      <c r="A294" s="105" t="str">
        <f t="shared" si="6"/>
        <v>#REF!</v>
      </c>
      <c r="B294" s="126" t="s">
        <v>2700</v>
      </c>
      <c r="C294" s="126">
        <v>6.0020261E7</v>
      </c>
      <c r="D294" s="106" t="s">
        <v>2701</v>
      </c>
      <c r="E294" s="106" t="s">
        <v>3106</v>
      </c>
      <c r="F294" s="106" t="s">
        <v>1960</v>
      </c>
      <c r="G294" s="106" t="s">
        <v>2540</v>
      </c>
      <c r="H294" s="107"/>
      <c r="I294" s="16" t="s">
        <v>157</v>
      </c>
      <c r="J294" s="17"/>
      <c r="K294" s="16" t="s">
        <v>13</v>
      </c>
      <c r="L294" s="16" t="s">
        <v>3373</v>
      </c>
      <c r="M294" s="108">
        <v>44998.0</v>
      </c>
      <c r="N294" s="109">
        <f t="shared" si="5"/>
        <v>2.997222222</v>
      </c>
      <c r="O294" s="16" t="s">
        <v>3136</v>
      </c>
      <c r="P294" s="16" t="s">
        <v>2557</v>
      </c>
      <c r="Q294" s="16" t="s">
        <v>3495</v>
      </c>
      <c r="R294" s="17"/>
      <c r="S294" s="17"/>
      <c r="T294" s="119" t="s">
        <v>2700</v>
      </c>
      <c r="U294" s="17"/>
      <c r="V294" s="17"/>
      <c r="W294" s="17"/>
      <c r="X294" s="17"/>
      <c r="Y294" s="17"/>
      <c r="Z294" s="17"/>
      <c r="AA294" s="17"/>
      <c r="AB294" s="17"/>
      <c r="AC294" s="16" t="e">
        <v>#N/A</v>
      </c>
      <c r="AD294" s="16" t="s">
        <v>3496</v>
      </c>
      <c r="AE294" s="16" t="s">
        <v>2935</v>
      </c>
      <c r="AF294" s="17"/>
      <c r="AG294" s="17"/>
      <c r="AH294" s="17"/>
      <c r="AI294" s="11"/>
    </row>
    <row r="295">
      <c r="A295" s="105" t="str">
        <f t="shared" si="6"/>
        <v>#REF!</v>
      </c>
      <c r="B295" s="126" t="s">
        <v>2702</v>
      </c>
      <c r="C295" s="126">
        <v>6.0020263E7</v>
      </c>
      <c r="D295" s="106" t="s">
        <v>2703</v>
      </c>
      <c r="E295" s="106" t="s">
        <v>3106</v>
      </c>
      <c r="F295" s="106" t="s">
        <v>1960</v>
      </c>
      <c r="G295" s="106" t="s">
        <v>2540</v>
      </c>
      <c r="H295" s="107"/>
      <c r="I295" s="16" t="s">
        <v>157</v>
      </c>
      <c r="J295" s="17"/>
      <c r="K295" s="16" t="s">
        <v>13</v>
      </c>
      <c r="L295" s="16" t="s">
        <v>3373</v>
      </c>
      <c r="M295" s="108">
        <v>44998.0</v>
      </c>
      <c r="N295" s="109">
        <f t="shared" si="5"/>
        <v>2.997222222</v>
      </c>
      <c r="O295" s="16" t="s">
        <v>3136</v>
      </c>
      <c r="P295" s="16" t="s">
        <v>2557</v>
      </c>
      <c r="Q295" s="120">
        <v>46025.0</v>
      </c>
      <c r="R295" s="17"/>
      <c r="S295" s="17"/>
      <c r="T295" s="119" t="s">
        <v>2702</v>
      </c>
      <c r="U295" s="17"/>
      <c r="V295" s="17"/>
      <c r="W295" s="17"/>
      <c r="X295" s="17"/>
      <c r="Y295" s="17"/>
      <c r="Z295" s="17"/>
      <c r="AA295" s="17"/>
      <c r="AB295" s="17"/>
      <c r="AC295" s="16" t="s">
        <v>2904</v>
      </c>
      <c r="AD295" s="16" t="e">
        <v>#N/A</v>
      </c>
      <c r="AE295" s="16" t="s">
        <v>2935</v>
      </c>
      <c r="AF295" s="17"/>
      <c r="AG295" s="16">
        <v>4.50006141E8</v>
      </c>
      <c r="AH295" s="16" t="s">
        <v>157</v>
      </c>
      <c r="AI295" s="11"/>
    </row>
    <row r="296">
      <c r="A296" s="105" t="str">
        <f t="shared" si="6"/>
        <v>#REF!</v>
      </c>
      <c r="B296" s="126" t="s">
        <v>2704</v>
      </c>
      <c r="C296" s="126">
        <v>6.0020265E7</v>
      </c>
      <c r="D296" s="106" t="s">
        <v>2705</v>
      </c>
      <c r="E296" s="106" t="s">
        <v>3106</v>
      </c>
      <c r="F296" s="106" t="s">
        <v>1960</v>
      </c>
      <c r="G296" s="106" t="s">
        <v>2540</v>
      </c>
      <c r="H296" s="107"/>
      <c r="I296" s="16" t="s">
        <v>157</v>
      </c>
      <c r="J296" s="17"/>
      <c r="K296" s="16" t="s">
        <v>13</v>
      </c>
      <c r="L296" s="16" t="s">
        <v>3373</v>
      </c>
      <c r="M296" s="108">
        <v>44998.0</v>
      </c>
      <c r="N296" s="109">
        <f t="shared" si="5"/>
        <v>2.997222222</v>
      </c>
      <c r="O296" s="16" t="s">
        <v>3136</v>
      </c>
      <c r="P296" s="16" t="s">
        <v>2557</v>
      </c>
      <c r="Q296" s="120">
        <v>45217.0</v>
      </c>
      <c r="R296" s="17"/>
      <c r="S296" s="17"/>
      <c r="T296" s="119" t="s">
        <v>2704</v>
      </c>
      <c r="U296" s="17"/>
      <c r="V296" s="17"/>
      <c r="W296" s="17"/>
      <c r="X296" s="17"/>
      <c r="Y296" s="17"/>
      <c r="Z296" s="17"/>
      <c r="AA296" s="17"/>
      <c r="AB296" s="17"/>
      <c r="AC296" s="16" t="s">
        <v>3497</v>
      </c>
      <c r="AD296" s="16" t="e">
        <v>#N/A</v>
      </c>
      <c r="AE296" s="16" t="s">
        <v>2935</v>
      </c>
      <c r="AF296" s="17"/>
      <c r="AG296" s="17"/>
      <c r="AH296" s="16" t="s">
        <v>157</v>
      </c>
      <c r="AI296" s="11"/>
    </row>
    <row r="297">
      <c r="A297" s="105" t="str">
        <f t="shared" si="6"/>
        <v>#REF!</v>
      </c>
      <c r="B297" s="106" t="s">
        <v>2706</v>
      </c>
      <c r="C297" s="106">
        <v>6.0020444E7</v>
      </c>
      <c r="D297" s="106" t="s">
        <v>2707</v>
      </c>
      <c r="E297" s="106" t="s">
        <v>3106</v>
      </c>
      <c r="F297" s="106" t="s">
        <v>1960</v>
      </c>
      <c r="G297" s="127" t="s">
        <v>2572</v>
      </c>
      <c r="H297" s="107"/>
      <c r="I297" s="16" t="s">
        <v>12</v>
      </c>
      <c r="J297" s="128" t="s">
        <v>3396</v>
      </c>
      <c r="K297" s="16" t="s">
        <v>13</v>
      </c>
      <c r="L297" s="16" t="s">
        <v>3373</v>
      </c>
      <c r="M297" s="108">
        <v>45143.0</v>
      </c>
      <c r="N297" s="109">
        <f t="shared" si="5"/>
        <v>2.602777778</v>
      </c>
      <c r="O297" s="16" t="s">
        <v>2557</v>
      </c>
      <c r="P297" s="16" t="s">
        <v>3136</v>
      </c>
      <c r="Q297" s="120">
        <v>45297.0</v>
      </c>
      <c r="R297" s="17"/>
      <c r="S297" s="17"/>
      <c r="T297" s="16" t="s">
        <v>2706</v>
      </c>
      <c r="U297" s="17"/>
      <c r="V297" s="17"/>
      <c r="W297" s="17"/>
      <c r="X297" s="17"/>
      <c r="Y297" s="17"/>
      <c r="Z297" s="17"/>
      <c r="AA297" s="17"/>
      <c r="AB297" s="17"/>
      <c r="AC297" s="16" t="s">
        <v>3498</v>
      </c>
      <c r="AD297" s="16" t="s">
        <v>3499</v>
      </c>
      <c r="AE297" s="16" t="s">
        <v>3411</v>
      </c>
      <c r="AF297" s="17"/>
      <c r="AG297" s="117">
        <v>4.500013245E9</v>
      </c>
      <c r="AH297" s="17"/>
      <c r="AI297" s="11"/>
    </row>
    <row r="298">
      <c r="A298" s="105" t="str">
        <f t="shared" si="6"/>
        <v>#REF!</v>
      </c>
      <c r="B298" s="106" t="s">
        <v>2708</v>
      </c>
      <c r="C298" s="106">
        <v>6.0020457E7</v>
      </c>
      <c r="D298" s="106" t="s">
        <v>2709</v>
      </c>
      <c r="E298" s="106" t="s">
        <v>3106</v>
      </c>
      <c r="F298" s="106" t="s">
        <v>1960</v>
      </c>
      <c r="G298" s="127" t="s">
        <v>2572</v>
      </c>
      <c r="H298" s="107"/>
      <c r="I298" s="16" t="s">
        <v>1836</v>
      </c>
      <c r="J298" s="128" t="s">
        <v>3396</v>
      </c>
      <c r="K298" s="16" t="s">
        <v>13</v>
      </c>
      <c r="L298" s="16" t="s">
        <v>3373</v>
      </c>
      <c r="M298" s="108">
        <v>45143.0</v>
      </c>
      <c r="N298" s="109">
        <f t="shared" si="5"/>
        <v>2.602777778</v>
      </c>
      <c r="O298" s="17"/>
      <c r="P298" s="16" t="s">
        <v>2557</v>
      </c>
      <c r="Q298" s="120">
        <v>45143.0</v>
      </c>
      <c r="R298" s="17"/>
      <c r="S298" s="16" t="s">
        <v>3148</v>
      </c>
      <c r="T298" s="16" t="s">
        <v>2708</v>
      </c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17">
        <v>4.500013245E9</v>
      </c>
      <c r="AH298" s="16" t="s">
        <v>3454</v>
      </c>
      <c r="AI298" s="11"/>
    </row>
    <row r="299">
      <c r="A299" s="105" t="str">
        <f t="shared" si="6"/>
        <v>#REF!</v>
      </c>
      <c r="B299" s="106" t="s">
        <v>2710</v>
      </c>
      <c r="C299" s="106">
        <v>6.0020458E7</v>
      </c>
      <c r="D299" s="106" t="s">
        <v>2711</v>
      </c>
      <c r="E299" s="106" t="s">
        <v>3106</v>
      </c>
      <c r="F299" s="106" t="s">
        <v>1960</v>
      </c>
      <c r="G299" s="127" t="s">
        <v>2572</v>
      </c>
      <c r="H299" s="107"/>
      <c r="I299" s="16" t="s">
        <v>1836</v>
      </c>
      <c r="J299" s="128" t="s">
        <v>3396</v>
      </c>
      <c r="K299" s="16" t="s">
        <v>13</v>
      </c>
      <c r="L299" s="16" t="s">
        <v>3373</v>
      </c>
      <c r="M299" s="108">
        <v>45143.0</v>
      </c>
      <c r="N299" s="109">
        <f t="shared" si="5"/>
        <v>2.602777778</v>
      </c>
      <c r="O299" s="17"/>
      <c r="P299" s="16" t="s">
        <v>2557</v>
      </c>
      <c r="Q299" s="120">
        <v>45143.0</v>
      </c>
      <c r="R299" s="17"/>
      <c r="S299" s="16" t="s">
        <v>3148</v>
      </c>
      <c r="T299" s="16" t="s">
        <v>2710</v>
      </c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17">
        <v>4.500013245E9</v>
      </c>
      <c r="AH299" s="16" t="s">
        <v>3454</v>
      </c>
      <c r="AI299" s="11"/>
    </row>
    <row r="300">
      <c r="A300" s="105" t="str">
        <f t="shared" si="6"/>
        <v>#REF!</v>
      </c>
      <c r="B300" s="106" t="s">
        <v>2712</v>
      </c>
      <c r="C300" s="106">
        <v>6.0020459E7</v>
      </c>
      <c r="D300" s="106" t="s">
        <v>2713</v>
      </c>
      <c r="E300" s="106" t="s">
        <v>3106</v>
      </c>
      <c r="F300" s="106" t="s">
        <v>1960</v>
      </c>
      <c r="G300" s="127" t="s">
        <v>2572</v>
      </c>
      <c r="H300" s="107"/>
      <c r="I300" s="16" t="s">
        <v>1836</v>
      </c>
      <c r="J300" s="128" t="s">
        <v>3396</v>
      </c>
      <c r="K300" s="16" t="s">
        <v>13</v>
      </c>
      <c r="L300" s="16" t="s">
        <v>3373</v>
      </c>
      <c r="M300" s="108">
        <v>45143.0</v>
      </c>
      <c r="N300" s="109">
        <f t="shared" si="5"/>
        <v>2.602777778</v>
      </c>
      <c r="O300" s="17"/>
      <c r="P300" s="16" t="s">
        <v>2557</v>
      </c>
      <c r="Q300" s="120">
        <v>45143.0</v>
      </c>
      <c r="R300" s="17"/>
      <c r="S300" s="16" t="s">
        <v>3148</v>
      </c>
      <c r="T300" s="16" t="s">
        <v>2712</v>
      </c>
      <c r="U300" s="17"/>
      <c r="V300" s="17"/>
      <c r="W300" s="17"/>
      <c r="X300" s="17"/>
      <c r="Y300" s="17"/>
      <c r="Z300" s="17"/>
      <c r="AA300" s="17"/>
      <c r="AB300" s="17"/>
      <c r="AC300" s="17"/>
      <c r="AD300" s="16" t="s">
        <v>3500</v>
      </c>
      <c r="AE300" s="16" t="s">
        <v>3501</v>
      </c>
      <c r="AF300" s="17"/>
      <c r="AG300" s="117">
        <v>4.500013245E9</v>
      </c>
      <c r="AH300" s="16" t="s">
        <v>3454</v>
      </c>
      <c r="AI300" s="11"/>
    </row>
    <row r="301">
      <c r="A301" s="105" t="str">
        <f t="shared" si="6"/>
        <v>#REF!</v>
      </c>
      <c r="B301" s="106" t="s">
        <v>2714</v>
      </c>
      <c r="C301" s="106">
        <v>6.002046E7</v>
      </c>
      <c r="D301" s="106" t="s">
        <v>2715</v>
      </c>
      <c r="E301" s="106" t="s">
        <v>3106</v>
      </c>
      <c r="F301" s="106" t="s">
        <v>1960</v>
      </c>
      <c r="G301" s="127" t="s">
        <v>2572</v>
      </c>
      <c r="H301" s="107"/>
      <c r="I301" s="16" t="s">
        <v>1836</v>
      </c>
      <c r="J301" s="128" t="s">
        <v>3396</v>
      </c>
      <c r="K301" s="16" t="s">
        <v>13</v>
      </c>
      <c r="L301" s="16" t="s">
        <v>3373</v>
      </c>
      <c r="M301" s="108">
        <v>45143.0</v>
      </c>
      <c r="N301" s="109">
        <f t="shared" si="5"/>
        <v>2.602777778</v>
      </c>
      <c r="O301" s="17"/>
      <c r="P301" s="16" t="s">
        <v>2557</v>
      </c>
      <c r="Q301" s="120">
        <v>45143.0</v>
      </c>
      <c r="R301" s="17"/>
      <c r="S301" s="16" t="s">
        <v>3148</v>
      </c>
      <c r="T301" s="16" t="s">
        <v>2714</v>
      </c>
      <c r="U301" s="17"/>
      <c r="V301" s="17"/>
      <c r="W301" s="17"/>
      <c r="X301" s="17"/>
      <c r="Y301" s="17"/>
      <c r="Z301" s="17"/>
      <c r="AA301" s="17"/>
      <c r="AB301" s="17"/>
      <c r="AC301" s="17"/>
      <c r="AD301" s="132" t="s">
        <v>3502</v>
      </c>
      <c r="AE301" s="16" t="s">
        <v>3165</v>
      </c>
      <c r="AF301" s="17"/>
      <c r="AG301" s="117">
        <v>4.500013245E9</v>
      </c>
      <c r="AH301" s="16" t="s">
        <v>3454</v>
      </c>
      <c r="AI301" s="11"/>
    </row>
    <row r="302">
      <c r="A302" s="105" t="str">
        <f t="shared" si="6"/>
        <v>#REF!</v>
      </c>
      <c r="B302" s="106" t="s">
        <v>2716</v>
      </c>
      <c r="C302" s="106">
        <v>6.0020461E7</v>
      </c>
      <c r="D302" s="106" t="s">
        <v>2717</v>
      </c>
      <c r="E302" s="106" t="s">
        <v>3106</v>
      </c>
      <c r="F302" s="106" t="s">
        <v>1960</v>
      </c>
      <c r="G302" s="127" t="s">
        <v>2572</v>
      </c>
      <c r="H302" s="107"/>
      <c r="I302" s="16" t="s">
        <v>1836</v>
      </c>
      <c r="J302" s="128" t="s">
        <v>3396</v>
      </c>
      <c r="K302" s="16" t="s">
        <v>13</v>
      </c>
      <c r="L302" s="16" t="s">
        <v>3373</v>
      </c>
      <c r="M302" s="108">
        <v>45143.0</v>
      </c>
      <c r="N302" s="109">
        <f t="shared" si="5"/>
        <v>2.602777778</v>
      </c>
      <c r="O302" s="17"/>
      <c r="P302" s="16" t="s">
        <v>2557</v>
      </c>
      <c r="Q302" s="120">
        <v>45143.0</v>
      </c>
      <c r="R302" s="17"/>
      <c r="S302" s="16" t="s">
        <v>3148</v>
      </c>
      <c r="T302" s="16" t="s">
        <v>2716</v>
      </c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17">
        <v>4.500013245E9</v>
      </c>
      <c r="AH302" s="16" t="s">
        <v>3454</v>
      </c>
      <c r="AI302" s="11"/>
    </row>
    <row r="303">
      <c r="A303" s="105" t="str">
        <f t="shared" si="6"/>
        <v>#REF!</v>
      </c>
      <c r="B303" s="106" t="s">
        <v>2718</v>
      </c>
      <c r="C303" s="106">
        <v>6.0020462E7</v>
      </c>
      <c r="D303" s="106" t="s">
        <v>2719</v>
      </c>
      <c r="E303" s="106" t="s">
        <v>3106</v>
      </c>
      <c r="F303" s="106" t="s">
        <v>1960</v>
      </c>
      <c r="G303" s="127" t="s">
        <v>2572</v>
      </c>
      <c r="H303" s="107"/>
      <c r="I303" s="16" t="s">
        <v>1836</v>
      </c>
      <c r="J303" s="128" t="s">
        <v>3396</v>
      </c>
      <c r="K303" s="16" t="s">
        <v>13</v>
      </c>
      <c r="L303" s="16" t="s">
        <v>3373</v>
      </c>
      <c r="M303" s="108">
        <v>45143.0</v>
      </c>
      <c r="N303" s="109">
        <f t="shared" si="5"/>
        <v>2.602777778</v>
      </c>
      <c r="O303" s="17"/>
      <c r="P303" s="16" t="s">
        <v>2557</v>
      </c>
      <c r="Q303" s="120">
        <v>45143.0</v>
      </c>
      <c r="R303" s="17"/>
      <c r="S303" s="16" t="s">
        <v>3148</v>
      </c>
      <c r="T303" s="16" t="s">
        <v>2718</v>
      </c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17">
        <v>4.500013245E9</v>
      </c>
      <c r="AH303" s="16" t="s">
        <v>3345</v>
      </c>
      <c r="AI303" s="11"/>
    </row>
    <row r="304">
      <c r="A304" s="105" t="str">
        <f t="shared" si="6"/>
        <v>#REF!</v>
      </c>
      <c r="B304" s="106" t="s">
        <v>2720</v>
      </c>
      <c r="C304" s="106">
        <v>6.0020463E7</v>
      </c>
      <c r="D304" s="106" t="s">
        <v>2721</v>
      </c>
      <c r="E304" s="106" t="s">
        <v>3106</v>
      </c>
      <c r="F304" s="106" t="s">
        <v>1960</v>
      </c>
      <c r="G304" s="127" t="s">
        <v>2572</v>
      </c>
      <c r="H304" s="107"/>
      <c r="I304" s="16" t="s">
        <v>12</v>
      </c>
      <c r="J304" s="128" t="s">
        <v>3396</v>
      </c>
      <c r="K304" s="16" t="s">
        <v>13</v>
      </c>
      <c r="L304" s="16" t="s">
        <v>3373</v>
      </c>
      <c r="M304" s="108">
        <v>45143.0</v>
      </c>
      <c r="N304" s="109">
        <f t="shared" si="5"/>
        <v>2.602777778</v>
      </c>
      <c r="O304" s="17"/>
      <c r="P304" s="16" t="s">
        <v>2557</v>
      </c>
      <c r="Q304" s="120">
        <v>45143.0</v>
      </c>
      <c r="R304" s="17"/>
      <c r="S304" s="16" t="s">
        <v>3148</v>
      </c>
      <c r="T304" s="16" t="s">
        <v>2720</v>
      </c>
      <c r="U304" s="17"/>
      <c r="V304" s="17"/>
      <c r="W304" s="17"/>
      <c r="X304" s="17"/>
      <c r="Y304" s="17"/>
      <c r="Z304" s="17"/>
      <c r="AA304" s="17"/>
      <c r="AB304" s="17"/>
      <c r="AC304" s="17"/>
      <c r="AD304" s="11" t="s">
        <v>3282</v>
      </c>
      <c r="AE304" s="16" t="s">
        <v>3236</v>
      </c>
      <c r="AF304" s="17"/>
      <c r="AG304" s="117">
        <v>4.500013245E9</v>
      </c>
      <c r="AH304" s="16" t="s">
        <v>3454</v>
      </c>
      <c r="AI304" s="11"/>
    </row>
    <row r="305">
      <c r="A305" s="105" t="str">
        <f t="shared" si="6"/>
        <v>#REF!</v>
      </c>
      <c r="B305" s="106" t="s">
        <v>2722</v>
      </c>
      <c r="C305" s="106">
        <v>6.0020464E7</v>
      </c>
      <c r="D305" s="106" t="s">
        <v>2723</v>
      </c>
      <c r="E305" s="106" t="s">
        <v>3106</v>
      </c>
      <c r="F305" s="106" t="s">
        <v>1960</v>
      </c>
      <c r="G305" s="127" t="s">
        <v>2572</v>
      </c>
      <c r="H305" s="107"/>
      <c r="I305" s="16" t="s">
        <v>1836</v>
      </c>
      <c r="J305" s="128" t="s">
        <v>3396</v>
      </c>
      <c r="K305" s="16" t="s">
        <v>13</v>
      </c>
      <c r="L305" s="16" t="s">
        <v>3373</v>
      </c>
      <c r="M305" s="108">
        <v>45143.0</v>
      </c>
      <c r="N305" s="109">
        <f t="shared" si="5"/>
        <v>2.602777778</v>
      </c>
      <c r="O305" s="17"/>
      <c r="P305" s="16" t="s">
        <v>2557</v>
      </c>
      <c r="Q305" s="120">
        <v>45143.0</v>
      </c>
      <c r="R305" s="17"/>
      <c r="S305" s="16" t="s">
        <v>3148</v>
      </c>
      <c r="T305" s="16" t="s">
        <v>2722</v>
      </c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17">
        <v>4.500013245E9</v>
      </c>
      <c r="AH305" s="16" t="s">
        <v>3454</v>
      </c>
      <c r="AI305" s="11"/>
    </row>
    <row r="306">
      <c r="A306" s="105" t="str">
        <f t="shared" si="6"/>
        <v>#REF!</v>
      </c>
      <c r="B306" s="106" t="s">
        <v>2724</v>
      </c>
      <c r="C306" s="106">
        <v>6.0020465E7</v>
      </c>
      <c r="D306" s="106" t="s">
        <v>2725</v>
      </c>
      <c r="E306" s="106" t="s">
        <v>3106</v>
      </c>
      <c r="F306" s="106" t="s">
        <v>1960</v>
      </c>
      <c r="G306" s="127" t="s">
        <v>2572</v>
      </c>
      <c r="H306" s="107"/>
      <c r="I306" s="16" t="s">
        <v>12</v>
      </c>
      <c r="J306" s="128" t="s">
        <v>3396</v>
      </c>
      <c r="K306" s="16" t="s">
        <v>13</v>
      </c>
      <c r="L306" s="16" t="s">
        <v>3373</v>
      </c>
      <c r="M306" s="108">
        <v>45143.0</v>
      </c>
      <c r="N306" s="109">
        <f t="shared" si="5"/>
        <v>2.602777778</v>
      </c>
      <c r="O306" s="16" t="s">
        <v>2557</v>
      </c>
      <c r="P306" s="16" t="s">
        <v>3136</v>
      </c>
      <c r="Q306" s="120">
        <v>45143.0</v>
      </c>
      <c r="R306" s="17"/>
      <c r="S306" s="16" t="s">
        <v>3148</v>
      </c>
      <c r="T306" s="16" t="s">
        <v>2724</v>
      </c>
      <c r="U306" s="17"/>
      <c r="V306" s="17"/>
      <c r="W306" s="17"/>
      <c r="X306" s="17"/>
      <c r="Y306" s="17"/>
      <c r="Z306" s="17"/>
      <c r="AA306" s="17"/>
      <c r="AB306" s="17"/>
      <c r="AC306" s="17"/>
      <c r="AD306" s="16" t="s">
        <v>3503</v>
      </c>
      <c r="AE306" s="16" t="s">
        <v>3171</v>
      </c>
      <c r="AF306" s="17"/>
      <c r="AG306" s="117">
        <v>4.500013245E9</v>
      </c>
      <c r="AH306" s="17"/>
      <c r="AI306" s="11"/>
    </row>
    <row r="307">
      <c r="A307" s="105" t="str">
        <f t="shared" si="6"/>
        <v>#REF!</v>
      </c>
      <c r="B307" s="106" t="s">
        <v>2726</v>
      </c>
      <c r="C307" s="106">
        <v>6.0020466E7</v>
      </c>
      <c r="D307" s="106" t="s">
        <v>2727</v>
      </c>
      <c r="E307" s="106" t="s">
        <v>3106</v>
      </c>
      <c r="F307" s="106" t="s">
        <v>1960</v>
      </c>
      <c r="G307" s="127" t="s">
        <v>2572</v>
      </c>
      <c r="H307" s="107"/>
      <c r="I307" s="16" t="s">
        <v>1836</v>
      </c>
      <c r="J307" s="128" t="s">
        <v>3396</v>
      </c>
      <c r="K307" s="16" t="s">
        <v>13</v>
      </c>
      <c r="L307" s="16" t="s">
        <v>3373</v>
      </c>
      <c r="M307" s="108">
        <v>45143.0</v>
      </c>
      <c r="N307" s="109">
        <f t="shared" si="5"/>
        <v>2.602777778</v>
      </c>
      <c r="O307" s="17"/>
      <c r="P307" s="16" t="s">
        <v>2557</v>
      </c>
      <c r="Q307" s="120">
        <v>45143.0</v>
      </c>
      <c r="R307" s="17"/>
      <c r="S307" s="16" t="s">
        <v>3148</v>
      </c>
      <c r="T307" s="16" t="s">
        <v>2726</v>
      </c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17">
        <v>4.500013245E9</v>
      </c>
      <c r="AH307" s="16" t="s">
        <v>3454</v>
      </c>
      <c r="AI307" s="11"/>
    </row>
    <row r="308">
      <c r="A308" s="105" t="str">
        <f t="shared" si="6"/>
        <v>#REF!</v>
      </c>
      <c r="B308" s="106" t="s">
        <v>2728</v>
      </c>
      <c r="C308" s="106">
        <v>6.0020623E7</v>
      </c>
      <c r="D308" s="106" t="s">
        <v>2729</v>
      </c>
      <c r="E308" s="106" t="s">
        <v>3106</v>
      </c>
      <c r="F308" s="106" t="s">
        <v>1960</v>
      </c>
      <c r="G308" s="127" t="s">
        <v>2613</v>
      </c>
      <c r="H308" s="107"/>
      <c r="I308" s="16" t="s">
        <v>1836</v>
      </c>
      <c r="J308" s="128" t="s">
        <v>3396</v>
      </c>
      <c r="K308" s="16" t="s">
        <v>13</v>
      </c>
      <c r="L308" s="16" t="s">
        <v>3373</v>
      </c>
      <c r="M308" s="108">
        <v>45169.0</v>
      </c>
      <c r="N308" s="109">
        <f t="shared" si="5"/>
        <v>2.533333333</v>
      </c>
      <c r="O308" s="17"/>
      <c r="P308" s="16" t="s">
        <v>2557</v>
      </c>
      <c r="Q308" s="120">
        <v>45169.0</v>
      </c>
      <c r="R308" s="17"/>
      <c r="S308" s="16" t="s">
        <v>3148</v>
      </c>
      <c r="T308" s="16" t="s">
        <v>2728</v>
      </c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17">
        <v>4.500013245E9</v>
      </c>
      <c r="AH308" s="16" t="s">
        <v>3454</v>
      </c>
      <c r="AI308" s="11"/>
    </row>
    <row r="309">
      <c r="A309" s="105" t="str">
        <f t="shared" si="6"/>
        <v>#REF!</v>
      </c>
      <c r="B309" s="106" t="s">
        <v>2730</v>
      </c>
      <c r="C309" s="106">
        <v>6.0020624E7</v>
      </c>
      <c r="D309" s="106" t="s">
        <v>2731</v>
      </c>
      <c r="E309" s="106" t="s">
        <v>3106</v>
      </c>
      <c r="F309" s="106" t="s">
        <v>1960</v>
      </c>
      <c r="G309" s="127" t="s">
        <v>2613</v>
      </c>
      <c r="H309" s="107"/>
      <c r="I309" s="16" t="s">
        <v>1836</v>
      </c>
      <c r="J309" s="128" t="s">
        <v>3396</v>
      </c>
      <c r="K309" s="16" t="s">
        <v>13</v>
      </c>
      <c r="L309" s="16" t="s">
        <v>3373</v>
      </c>
      <c r="M309" s="108">
        <v>45169.0</v>
      </c>
      <c r="N309" s="109">
        <f t="shared" si="5"/>
        <v>2.533333333</v>
      </c>
      <c r="O309" s="17"/>
      <c r="P309" s="16" t="s">
        <v>2557</v>
      </c>
      <c r="Q309" s="120">
        <v>45169.0</v>
      </c>
      <c r="R309" s="17"/>
      <c r="S309" s="16" t="s">
        <v>3148</v>
      </c>
      <c r="T309" s="16" t="s">
        <v>2730</v>
      </c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17">
        <v>4.500013245E9</v>
      </c>
      <c r="AH309" s="16" t="s">
        <v>3454</v>
      </c>
      <c r="AI309" s="11"/>
    </row>
    <row r="310">
      <c r="A310" s="105" t="str">
        <f t="shared" si="6"/>
        <v>#REF!</v>
      </c>
      <c r="B310" s="106" t="s">
        <v>2732</v>
      </c>
      <c r="C310" s="106" t="s">
        <v>2733</v>
      </c>
      <c r="D310" s="106" t="s">
        <v>2734</v>
      </c>
      <c r="E310" s="106" t="s">
        <v>3106</v>
      </c>
      <c r="F310" s="106" t="s">
        <v>1960</v>
      </c>
      <c r="G310" s="106" t="s">
        <v>2735</v>
      </c>
      <c r="H310" s="107"/>
      <c r="I310" s="16" t="s">
        <v>12</v>
      </c>
      <c r="J310" s="17"/>
      <c r="K310" s="16" t="s">
        <v>13</v>
      </c>
      <c r="L310" s="16" t="s">
        <v>3208</v>
      </c>
      <c r="M310" s="108">
        <v>44639.0</v>
      </c>
      <c r="N310" s="109">
        <f t="shared" si="5"/>
        <v>3.980555556</v>
      </c>
      <c r="O310" s="16" t="s">
        <v>2557</v>
      </c>
      <c r="P310" s="16" t="s">
        <v>3136</v>
      </c>
      <c r="Q310" s="115">
        <v>46000.0</v>
      </c>
      <c r="R310" s="17"/>
      <c r="S310" s="17"/>
      <c r="T310" s="16" t="s">
        <v>3029</v>
      </c>
      <c r="U310" s="17"/>
      <c r="V310" s="17"/>
      <c r="W310" s="17"/>
      <c r="X310" s="17"/>
      <c r="Y310" s="17"/>
      <c r="Z310" s="17"/>
      <c r="AA310" s="17"/>
      <c r="AB310" s="17"/>
      <c r="AC310" s="17"/>
      <c r="AD310" s="16" t="s">
        <v>3504</v>
      </c>
      <c r="AE310" s="16" t="s">
        <v>3165</v>
      </c>
      <c r="AF310" s="17"/>
      <c r="AG310" s="16">
        <v>5.0004528E7</v>
      </c>
      <c r="AH310" s="17"/>
      <c r="AI310" s="11"/>
    </row>
    <row r="311">
      <c r="A311" s="105" t="str">
        <f t="shared" si="6"/>
        <v>#REF!</v>
      </c>
      <c r="B311" s="106" t="s">
        <v>2736</v>
      </c>
      <c r="C311" s="106" t="s">
        <v>2737</v>
      </c>
      <c r="D311" s="106" t="s">
        <v>2738</v>
      </c>
      <c r="E311" s="106" t="s">
        <v>3106</v>
      </c>
      <c r="F311" s="106" t="s">
        <v>1960</v>
      </c>
      <c r="G311" s="106" t="s">
        <v>2739</v>
      </c>
      <c r="H311" s="107"/>
      <c r="I311" s="16" t="s">
        <v>1836</v>
      </c>
      <c r="J311" s="17"/>
      <c r="K311" s="16" t="s">
        <v>13</v>
      </c>
      <c r="L311" s="16" t="s">
        <v>3208</v>
      </c>
      <c r="M311" s="108">
        <v>44480.0</v>
      </c>
      <c r="N311" s="109">
        <f t="shared" si="5"/>
        <v>4.419444444</v>
      </c>
      <c r="O311" s="16" t="s">
        <v>3431</v>
      </c>
      <c r="P311" s="16" t="s">
        <v>2557</v>
      </c>
      <c r="Q311" s="115">
        <v>45205.0</v>
      </c>
      <c r="R311" s="17"/>
      <c r="S311" s="16" t="s">
        <v>3148</v>
      </c>
      <c r="T311" s="16" t="s">
        <v>2736</v>
      </c>
      <c r="U311" s="17"/>
      <c r="V311" s="17"/>
      <c r="W311" s="17"/>
      <c r="X311" s="17"/>
      <c r="Y311" s="17"/>
      <c r="Z311" s="17"/>
      <c r="AA311" s="17"/>
      <c r="AB311" s="17"/>
      <c r="AC311" s="17"/>
      <c r="AD311" s="16" t="s">
        <v>3505</v>
      </c>
      <c r="AE311" s="16" t="s">
        <v>2935</v>
      </c>
      <c r="AF311" s="17"/>
      <c r="AG311" s="16">
        <v>5.0004255E7</v>
      </c>
      <c r="AH311" s="16" t="s">
        <v>3433</v>
      </c>
      <c r="AI311" s="11"/>
    </row>
    <row r="312">
      <c r="A312" s="105" t="str">
        <f t="shared" si="6"/>
        <v>#REF!</v>
      </c>
      <c r="B312" s="106" t="s">
        <v>2740</v>
      </c>
      <c r="C312" s="106" t="s">
        <v>2741</v>
      </c>
      <c r="D312" s="106" t="s">
        <v>2742</v>
      </c>
      <c r="E312" s="106" t="s">
        <v>3106</v>
      </c>
      <c r="F312" s="106" t="s">
        <v>1960</v>
      </c>
      <c r="G312" s="106" t="s">
        <v>2739</v>
      </c>
      <c r="H312" s="107"/>
      <c r="I312" s="16" t="s">
        <v>2491</v>
      </c>
      <c r="J312" s="17"/>
      <c r="K312" s="16" t="s">
        <v>13</v>
      </c>
      <c r="L312" s="16" t="s">
        <v>3208</v>
      </c>
      <c r="M312" s="108">
        <v>44376.0</v>
      </c>
      <c r="N312" s="109">
        <f t="shared" si="5"/>
        <v>4.702777778</v>
      </c>
      <c r="O312" s="17"/>
      <c r="P312" s="16" t="s">
        <v>2557</v>
      </c>
      <c r="Q312" s="17"/>
      <c r="R312" s="17"/>
      <c r="S312" s="17"/>
      <c r="T312" s="16" t="s">
        <v>2740</v>
      </c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6">
        <v>5.0004153E7</v>
      </c>
      <c r="AH312" s="16" t="s">
        <v>157</v>
      </c>
      <c r="AI312" s="11"/>
    </row>
    <row r="313">
      <c r="A313" s="105" t="str">
        <f t="shared" si="6"/>
        <v>#REF!</v>
      </c>
      <c r="B313" s="106" t="s">
        <v>2743</v>
      </c>
      <c r="C313" s="106">
        <v>6.0021392E7</v>
      </c>
      <c r="D313" s="106" t="s">
        <v>2744</v>
      </c>
      <c r="E313" s="106" t="s">
        <v>3106</v>
      </c>
      <c r="F313" s="106" t="s">
        <v>1960</v>
      </c>
      <c r="G313" s="106" t="s">
        <v>2745</v>
      </c>
      <c r="H313" s="107"/>
      <c r="I313" s="16" t="s">
        <v>12</v>
      </c>
      <c r="J313" s="133" t="s">
        <v>3506</v>
      </c>
      <c r="K313" s="16" t="s">
        <v>36</v>
      </c>
      <c r="L313" s="16" t="s">
        <v>3507</v>
      </c>
      <c r="M313" s="108">
        <v>45406.0</v>
      </c>
      <c r="N313" s="109">
        <f t="shared" si="5"/>
        <v>1.883333333</v>
      </c>
      <c r="O313" s="16" t="s">
        <v>2557</v>
      </c>
      <c r="P313" s="16" t="s">
        <v>3136</v>
      </c>
      <c r="Q313" s="16" t="s">
        <v>3508</v>
      </c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6" t="s">
        <v>3509</v>
      </c>
      <c r="AE313" s="134" t="s">
        <v>3510</v>
      </c>
      <c r="AF313" s="17"/>
      <c r="AG313" s="135">
        <v>4.500014403E9</v>
      </c>
      <c r="AH313" s="17"/>
      <c r="AI313" s="11"/>
    </row>
    <row r="314">
      <c r="A314" s="105" t="str">
        <f t="shared" si="6"/>
        <v>#REF!</v>
      </c>
      <c r="B314" s="106" t="s">
        <v>2746</v>
      </c>
      <c r="C314" s="106">
        <v>6.0021393E7</v>
      </c>
      <c r="D314" s="106" t="s">
        <v>2747</v>
      </c>
      <c r="E314" s="106" t="s">
        <v>3106</v>
      </c>
      <c r="F314" s="106" t="s">
        <v>1960</v>
      </c>
      <c r="G314" s="106" t="s">
        <v>2745</v>
      </c>
      <c r="H314" s="107"/>
      <c r="I314" s="16" t="s">
        <v>12</v>
      </c>
      <c r="J314" s="133" t="s">
        <v>3506</v>
      </c>
      <c r="K314" s="16" t="s">
        <v>36</v>
      </c>
      <c r="L314" s="16" t="s">
        <v>3507</v>
      </c>
      <c r="M314" s="108">
        <v>45406.0</v>
      </c>
      <c r="N314" s="109">
        <f t="shared" si="5"/>
        <v>1.883333333</v>
      </c>
      <c r="O314" s="16" t="s">
        <v>2557</v>
      </c>
      <c r="P314" s="16" t="s">
        <v>3136</v>
      </c>
      <c r="Q314" s="16" t="s">
        <v>3508</v>
      </c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6" t="s">
        <v>3511</v>
      </c>
      <c r="AE314" s="134" t="s">
        <v>3510</v>
      </c>
      <c r="AF314" s="17"/>
      <c r="AG314" s="135">
        <v>4.500014403E9</v>
      </c>
      <c r="AH314" s="17"/>
      <c r="AI314" s="11"/>
    </row>
    <row r="315">
      <c r="A315" s="105" t="str">
        <f t="shared" si="6"/>
        <v>#REF!</v>
      </c>
      <c r="B315" s="106" t="s">
        <v>2748</v>
      </c>
      <c r="C315" s="106">
        <v>6.0021032E7</v>
      </c>
      <c r="D315" s="106" t="s">
        <v>2749</v>
      </c>
      <c r="E315" s="106" t="s">
        <v>3106</v>
      </c>
      <c r="F315" s="106" t="s">
        <v>1960</v>
      </c>
      <c r="G315" s="127" t="s">
        <v>2572</v>
      </c>
      <c r="H315" s="107"/>
      <c r="I315" s="16" t="s">
        <v>12</v>
      </c>
      <c r="J315" s="128" t="s">
        <v>3396</v>
      </c>
      <c r="K315" s="16" t="s">
        <v>36</v>
      </c>
      <c r="L315" s="16" t="s">
        <v>3512</v>
      </c>
      <c r="M315" s="108">
        <v>45274.0</v>
      </c>
      <c r="N315" s="109">
        <f t="shared" si="5"/>
        <v>2.244444444</v>
      </c>
      <c r="O315" s="16" t="s">
        <v>2557</v>
      </c>
      <c r="P315" s="16" t="s">
        <v>3136</v>
      </c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6" t="s">
        <v>3513</v>
      </c>
      <c r="AE315" s="16" t="s">
        <v>2968</v>
      </c>
      <c r="AF315" s="17"/>
      <c r="AG315" s="16">
        <v>4.500013908E9</v>
      </c>
      <c r="AH315" s="17"/>
      <c r="AI315" s="11"/>
    </row>
    <row r="316">
      <c r="A316" s="105" t="str">
        <f t="shared" si="6"/>
        <v>#REF!</v>
      </c>
      <c r="B316" s="106" t="s">
        <v>2750</v>
      </c>
      <c r="C316" s="106">
        <v>6.0021033E7</v>
      </c>
      <c r="D316" s="106" t="s">
        <v>2751</v>
      </c>
      <c r="E316" s="106" t="s">
        <v>3106</v>
      </c>
      <c r="F316" s="106" t="s">
        <v>1960</v>
      </c>
      <c r="G316" s="127" t="s">
        <v>2572</v>
      </c>
      <c r="H316" s="107"/>
      <c r="I316" s="16" t="s">
        <v>12</v>
      </c>
      <c r="J316" s="128" t="s">
        <v>3396</v>
      </c>
      <c r="K316" s="16" t="s">
        <v>36</v>
      </c>
      <c r="L316" s="16" t="s">
        <v>3512</v>
      </c>
      <c r="M316" s="108">
        <v>45274.0</v>
      </c>
      <c r="N316" s="109">
        <f t="shared" si="5"/>
        <v>2.244444444</v>
      </c>
      <c r="O316" s="16" t="s">
        <v>2557</v>
      </c>
      <c r="P316" s="16" t="s">
        <v>3136</v>
      </c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6" t="s">
        <v>3514</v>
      </c>
      <c r="AE316" s="16" t="s">
        <v>2968</v>
      </c>
      <c r="AF316" s="17"/>
      <c r="AG316" s="16">
        <v>4.500013908E9</v>
      </c>
      <c r="AH316" s="17"/>
      <c r="AI316" s="11"/>
    </row>
    <row r="317">
      <c r="A317" s="105" t="str">
        <f t="shared" si="6"/>
        <v>#REF!</v>
      </c>
      <c r="B317" s="106" t="s">
        <v>2752</v>
      </c>
      <c r="C317" s="106">
        <v>6.0021034E7</v>
      </c>
      <c r="D317" s="106" t="s">
        <v>2753</v>
      </c>
      <c r="E317" s="106" t="s">
        <v>3106</v>
      </c>
      <c r="F317" s="106" t="s">
        <v>1960</v>
      </c>
      <c r="G317" s="127" t="s">
        <v>2572</v>
      </c>
      <c r="H317" s="107"/>
      <c r="I317" s="16" t="s">
        <v>12</v>
      </c>
      <c r="J317" s="128" t="s">
        <v>3396</v>
      </c>
      <c r="K317" s="16" t="s">
        <v>36</v>
      </c>
      <c r="L317" s="16" t="s">
        <v>3512</v>
      </c>
      <c r="M317" s="108">
        <v>45274.0</v>
      </c>
      <c r="N317" s="109">
        <f t="shared" si="5"/>
        <v>2.244444444</v>
      </c>
      <c r="O317" s="16" t="s">
        <v>2557</v>
      </c>
      <c r="P317" s="16" t="s">
        <v>3136</v>
      </c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6" t="s">
        <v>3515</v>
      </c>
      <c r="AE317" s="16" t="s">
        <v>2968</v>
      </c>
      <c r="AF317" s="17"/>
      <c r="AG317" s="16">
        <v>4.500013908E9</v>
      </c>
      <c r="AH317" s="17"/>
      <c r="AI317" s="11"/>
    </row>
    <row r="318">
      <c r="A318" s="105" t="str">
        <f t="shared" si="6"/>
        <v>#REF!</v>
      </c>
      <c r="B318" s="106" t="s">
        <v>2754</v>
      </c>
      <c r="C318" s="106">
        <v>6.002137E7</v>
      </c>
      <c r="D318" s="106" t="s">
        <v>2755</v>
      </c>
      <c r="E318" s="106" t="s">
        <v>3106</v>
      </c>
      <c r="F318" s="106" t="s">
        <v>1960</v>
      </c>
      <c r="G318" s="106" t="s">
        <v>2745</v>
      </c>
      <c r="H318" s="107"/>
      <c r="I318" s="16" t="s">
        <v>12</v>
      </c>
      <c r="J318" s="133" t="s">
        <v>3506</v>
      </c>
      <c r="K318" s="16" t="s">
        <v>36</v>
      </c>
      <c r="L318" s="16" t="s">
        <v>3507</v>
      </c>
      <c r="M318" s="108">
        <v>45406.0</v>
      </c>
      <c r="N318" s="109">
        <f t="shared" si="5"/>
        <v>1.883333333</v>
      </c>
      <c r="O318" s="16" t="s">
        <v>2557</v>
      </c>
      <c r="P318" s="16" t="s">
        <v>3136</v>
      </c>
      <c r="Q318" s="16" t="s">
        <v>3516</v>
      </c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6" t="s">
        <v>3517</v>
      </c>
      <c r="AE318" s="16" t="s">
        <v>3283</v>
      </c>
      <c r="AF318" s="17"/>
      <c r="AG318" s="135">
        <v>4.500014402E9</v>
      </c>
      <c r="AH318" s="17"/>
      <c r="AI318" s="11"/>
    </row>
    <row r="319">
      <c r="A319" s="105" t="str">
        <f t="shared" si="6"/>
        <v>#REF!</v>
      </c>
      <c r="B319" s="106" t="s">
        <v>2756</v>
      </c>
      <c r="C319" s="106">
        <v>6.0021371E7</v>
      </c>
      <c r="D319" s="106" t="s">
        <v>2757</v>
      </c>
      <c r="E319" s="106" t="s">
        <v>3106</v>
      </c>
      <c r="F319" s="106" t="s">
        <v>1960</v>
      </c>
      <c r="G319" s="106" t="s">
        <v>2745</v>
      </c>
      <c r="H319" s="107"/>
      <c r="I319" s="16" t="s">
        <v>12</v>
      </c>
      <c r="J319" s="133" t="s">
        <v>3506</v>
      </c>
      <c r="K319" s="16" t="s">
        <v>36</v>
      </c>
      <c r="L319" s="16" t="s">
        <v>3507</v>
      </c>
      <c r="M319" s="108">
        <v>45406.0</v>
      </c>
      <c r="N319" s="109">
        <f t="shared" si="5"/>
        <v>1.883333333</v>
      </c>
      <c r="O319" s="16" t="s">
        <v>2557</v>
      </c>
      <c r="P319" s="16" t="s">
        <v>3136</v>
      </c>
      <c r="Q319" s="16" t="s">
        <v>3516</v>
      </c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6" t="s">
        <v>3518</v>
      </c>
      <c r="AE319" s="16" t="s">
        <v>3283</v>
      </c>
      <c r="AF319" s="17"/>
      <c r="AG319" s="135">
        <v>4.500014402E9</v>
      </c>
      <c r="AH319" s="17"/>
      <c r="AI319" s="11"/>
    </row>
    <row r="320">
      <c r="A320" s="105" t="str">
        <f t="shared" si="6"/>
        <v>#REF!</v>
      </c>
      <c r="B320" s="17" t="s">
        <v>2758</v>
      </c>
      <c r="C320" s="16" t="s">
        <v>2759</v>
      </c>
      <c r="D320" s="16" t="s">
        <v>2760</v>
      </c>
      <c r="E320" s="16" t="s">
        <v>3106</v>
      </c>
      <c r="F320" s="16" t="s">
        <v>1960</v>
      </c>
      <c r="G320" s="16" t="s">
        <v>2761</v>
      </c>
      <c r="H320" s="17"/>
      <c r="I320" s="16" t="s">
        <v>12</v>
      </c>
      <c r="J320" s="17"/>
      <c r="K320" s="17"/>
      <c r="L320" s="17"/>
      <c r="M320" s="136">
        <v>44483.0</v>
      </c>
      <c r="N320" s="109">
        <f t="shared" si="5"/>
        <v>4.411111111</v>
      </c>
      <c r="O320" s="16" t="s">
        <v>3431</v>
      </c>
      <c r="P320" s="16" t="s">
        <v>3519</v>
      </c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 t="s">
        <v>3236</v>
      </c>
      <c r="AF320" s="17"/>
      <c r="AG320" s="17"/>
      <c r="AH320" s="16" t="s">
        <v>3433</v>
      </c>
      <c r="AI320" s="11"/>
    </row>
    <row r="321">
      <c r="A321" s="105" t="str">
        <f t="shared" si="6"/>
        <v>#REF!</v>
      </c>
      <c r="B321" s="17" t="s">
        <v>2762</v>
      </c>
      <c r="C321" s="16" t="s">
        <v>2763</v>
      </c>
      <c r="D321" s="16" t="s">
        <v>2764</v>
      </c>
      <c r="E321" s="16" t="s">
        <v>3106</v>
      </c>
      <c r="F321" s="16" t="s">
        <v>1960</v>
      </c>
      <c r="G321" s="16" t="s">
        <v>2626</v>
      </c>
      <c r="H321" s="17"/>
      <c r="I321" s="16" t="s">
        <v>12</v>
      </c>
      <c r="J321" s="17"/>
      <c r="K321" s="17"/>
      <c r="L321" s="17"/>
      <c r="M321" s="136">
        <v>44543.0</v>
      </c>
      <c r="N321" s="109">
        <f t="shared" si="5"/>
        <v>4.247222222</v>
      </c>
      <c r="O321" s="16" t="s">
        <v>3431</v>
      </c>
      <c r="P321" s="16" t="s">
        <v>3519</v>
      </c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 t="s">
        <v>3236</v>
      </c>
      <c r="AF321" s="17"/>
      <c r="AG321" s="17"/>
      <c r="AH321" s="16" t="s">
        <v>3433</v>
      </c>
      <c r="AI321" s="11"/>
    </row>
    <row r="322">
      <c r="A322" s="105" t="str">
        <f t="shared" si="6"/>
        <v>#REF!</v>
      </c>
      <c r="B322" s="17"/>
      <c r="C322" s="16" t="s">
        <v>2765</v>
      </c>
      <c r="D322" s="16" t="s">
        <v>2766</v>
      </c>
      <c r="E322" s="16" t="s">
        <v>3106</v>
      </c>
      <c r="F322" s="16" t="s">
        <v>1960</v>
      </c>
      <c r="G322" s="16" t="s">
        <v>2626</v>
      </c>
      <c r="H322" s="17"/>
      <c r="I322" s="16" t="s">
        <v>12</v>
      </c>
      <c r="J322" s="17"/>
      <c r="K322" s="17"/>
      <c r="L322" s="17"/>
      <c r="M322" s="136">
        <v>45639.0</v>
      </c>
      <c r="N322" s="109">
        <f t="shared" si="5"/>
        <v>1.247222222</v>
      </c>
      <c r="O322" s="16" t="s">
        <v>3431</v>
      </c>
      <c r="P322" s="16" t="s">
        <v>3519</v>
      </c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 t="s">
        <v>3236</v>
      </c>
      <c r="AF322" s="17"/>
      <c r="AG322" s="17"/>
      <c r="AH322" s="16" t="s">
        <v>3433</v>
      </c>
      <c r="AI322" s="11"/>
    </row>
    <row r="323">
      <c r="A323" s="105" t="str">
        <f t="shared" si="6"/>
        <v>#REF!</v>
      </c>
      <c r="B323" s="17" t="s">
        <v>2767</v>
      </c>
      <c r="C323" s="16" t="s">
        <v>2768</v>
      </c>
      <c r="D323" s="16" t="s">
        <v>2769</v>
      </c>
      <c r="E323" s="16" t="s">
        <v>3106</v>
      </c>
      <c r="F323" s="16" t="s">
        <v>1960</v>
      </c>
      <c r="G323" s="16" t="s">
        <v>2761</v>
      </c>
      <c r="H323" s="17"/>
      <c r="I323" s="16" t="s">
        <v>12</v>
      </c>
      <c r="J323" s="17"/>
      <c r="K323" s="17"/>
      <c r="L323" s="17"/>
      <c r="M323" s="136">
        <v>44483.0</v>
      </c>
      <c r="N323" s="109">
        <f t="shared" si="5"/>
        <v>4.411111111</v>
      </c>
      <c r="O323" s="16" t="s">
        <v>3431</v>
      </c>
      <c r="P323" s="16" t="s">
        <v>3519</v>
      </c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 t="s">
        <v>3236</v>
      </c>
      <c r="AF323" s="17"/>
      <c r="AG323" s="17"/>
      <c r="AH323" s="16" t="s">
        <v>3433</v>
      </c>
      <c r="AI323" s="11"/>
    </row>
    <row r="324">
      <c r="A324" s="105" t="str">
        <f t="shared" si="6"/>
        <v>#REF!</v>
      </c>
      <c r="B324" s="16" t="s">
        <v>2770</v>
      </c>
      <c r="C324" s="124">
        <v>6.002286E7</v>
      </c>
      <c r="D324" s="16" t="s">
        <v>2771</v>
      </c>
      <c r="E324" s="16" t="s">
        <v>3106</v>
      </c>
      <c r="F324" s="16" t="s">
        <v>1960</v>
      </c>
      <c r="G324" s="16" t="s">
        <v>2772</v>
      </c>
      <c r="H324" s="11"/>
      <c r="I324" s="16" t="s">
        <v>12</v>
      </c>
      <c r="J324" s="11"/>
      <c r="K324" s="124" t="s">
        <v>13</v>
      </c>
      <c r="L324" s="11"/>
      <c r="M324" s="137">
        <v>45706.0</v>
      </c>
      <c r="N324" s="109">
        <f t="shared" si="5"/>
        <v>1.066666667</v>
      </c>
      <c r="O324" s="16" t="s">
        <v>2557</v>
      </c>
      <c r="P324" s="16" t="s">
        <v>3136</v>
      </c>
      <c r="Q324" s="118">
        <v>45722.0</v>
      </c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6" t="s">
        <v>3520</v>
      </c>
      <c r="AF324" s="17"/>
      <c r="AG324" s="138">
        <v>4.500020236E9</v>
      </c>
      <c r="AH324" s="17"/>
      <c r="AI324" s="11"/>
    </row>
    <row r="325">
      <c r="A325" s="105" t="str">
        <f t="shared" si="6"/>
        <v>#REF!</v>
      </c>
      <c r="B325" s="16" t="s">
        <v>2773</v>
      </c>
      <c r="C325" s="124">
        <v>6.0022861E7</v>
      </c>
      <c r="D325" s="16" t="s">
        <v>2774</v>
      </c>
      <c r="E325" s="16" t="s">
        <v>3106</v>
      </c>
      <c r="F325" s="16" t="s">
        <v>1960</v>
      </c>
      <c r="G325" s="16" t="s">
        <v>2772</v>
      </c>
      <c r="H325" s="11"/>
      <c r="I325" s="16" t="s">
        <v>12</v>
      </c>
      <c r="J325" s="11"/>
      <c r="K325" s="124" t="s">
        <v>13</v>
      </c>
      <c r="L325" s="11"/>
      <c r="M325" s="137">
        <v>45706.0</v>
      </c>
      <c r="N325" s="109">
        <f t="shared" si="5"/>
        <v>1.066666667</v>
      </c>
      <c r="O325" s="16" t="s">
        <v>2557</v>
      </c>
      <c r="P325" s="16" t="s">
        <v>3136</v>
      </c>
      <c r="Q325" s="118">
        <v>45722.0</v>
      </c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6" t="s">
        <v>3520</v>
      </c>
      <c r="AF325" s="17"/>
      <c r="AG325" s="138">
        <v>4.500020236E9</v>
      </c>
      <c r="AH325" s="17"/>
      <c r="AI325" s="11"/>
    </row>
    <row r="326">
      <c r="A326" s="105" t="str">
        <f t="shared" si="6"/>
        <v>#REF!</v>
      </c>
      <c r="B326" s="105" t="s">
        <v>2775</v>
      </c>
      <c r="C326" s="124">
        <v>6.0022862E7</v>
      </c>
      <c r="D326" s="16" t="s">
        <v>2776</v>
      </c>
      <c r="E326" s="16" t="s">
        <v>3106</v>
      </c>
      <c r="F326" s="16" t="s">
        <v>1960</v>
      </c>
      <c r="G326" s="16" t="s">
        <v>2772</v>
      </c>
      <c r="H326" s="11"/>
      <c r="I326" s="16" t="s">
        <v>12</v>
      </c>
      <c r="J326" s="11"/>
      <c r="K326" s="124" t="s">
        <v>13</v>
      </c>
      <c r="L326" s="11"/>
      <c r="M326" s="137">
        <v>45706.0</v>
      </c>
      <c r="N326" s="109">
        <f t="shared" si="5"/>
        <v>1.066666667</v>
      </c>
      <c r="O326" s="16" t="s">
        <v>2557</v>
      </c>
      <c r="P326" s="16" t="s">
        <v>3136</v>
      </c>
      <c r="Q326" s="118">
        <v>45722.0</v>
      </c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6" t="s">
        <v>3520</v>
      </c>
      <c r="AF326" s="17"/>
      <c r="AG326" s="138">
        <v>4.500020236E9</v>
      </c>
      <c r="AH326" s="17"/>
      <c r="AI326" s="11"/>
    </row>
    <row r="327">
      <c r="A327" s="105" t="str">
        <f t="shared" si="6"/>
        <v>#REF!</v>
      </c>
      <c r="B327" s="16" t="s">
        <v>2777</v>
      </c>
      <c r="C327" s="124">
        <v>6.0022962E7</v>
      </c>
      <c r="D327" s="16" t="s">
        <v>2778</v>
      </c>
      <c r="E327" s="16" t="s">
        <v>3106</v>
      </c>
      <c r="F327" s="16" t="s">
        <v>1960</v>
      </c>
      <c r="G327" s="134" t="s">
        <v>2779</v>
      </c>
      <c r="H327" s="11"/>
      <c r="I327" s="11"/>
      <c r="J327" s="11"/>
      <c r="K327" s="124" t="s">
        <v>13</v>
      </c>
      <c r="L327" s="11"/>
      <c r="M327" s="139">
        <v>45783.0</v>
      </c>
      <c r="N327" s="109">
        <f t="shared" si="5"/>
        <v>0.85</v>
      </c>
      <c r="O327" s="11"/>
      <c r="P327" s="11"/>
      <c r="Q327" s="140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>
      <c r="A328" s="105" t="str">
        <f t="shared" si="6"/>
        <v>#REF!</v>
      </c>
      <c r="B328" s="16" t="s">
        <v>2780</v>
      </c>
      <c r="C328" s="124">
        <v>6.0022963E7</v>
      </c>
      <c r="D328" s="16" t="s">
        <v>2781</v>
      </c>
      <c r="E328" s="16" t="s">
        <v>3106</v>
      </c>
      <c r="F328" s="16" t="s">
        <v>1960</v>
      </c>
      <c r="G328" s="134" t="s">
        <v>2779</v>
      </c>
      <c r="H328" s="11"/>
      <c r="I328" s="11"/>
      <c r="J328" s="11"/>
      <c r="K328" s="124" t="s">
        <v>13</v>
      </c>
      <c r="L328" s="11"/>
      <c r="M328" s="139">
        <v>45783.0</v>
      </c>
      <c r="N328" s="109">
        <f t="shared" si="5"/>
        <v>0.85</v>
      </c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>
      <c r="A329" s="105" t="str">
        <f t="shared" si="6"/>
        <v>#REF!</v>
      </c>
      <c r="B329" s="134" t="s">
        <v>2782</v>
      </c>
      <c r="C329" s="134">
        <v>6.0022816E7</v>
      </c>
      <c r="D329" s="134" t="s">
        <v>2783</v>
      </c>
      <c r="E329" s="16" t="s">
        <v>3106</v>
      </c>
      <c r="F329" s="16" t="s">
        <v>1960</v>
      </c>
      <c r="G329" s="134" t="s">
        <v>2779</v>
      </c>
      <c r="H329" s="11"/>
      <c r="I329" s="11"/>
      <c r="J329" s="11"/>
      <c r="K329" s="124" t="s">
        <v>13</v>
      </c>
      <c r="L329" s="11"/>
      <c r="M329" s="141">
        <v>45701.0</v>
      </c>
      <c r="N329" s="109">
        <f t="shared" si="5"/>
        <v>1.080555556</v>
      </c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>
      <c r="A330" s="105" t="str">
        <f t="shared" si="6"/>
        <v>#REF!</v>
      </c>
      <c r="B330" s="134" t="s">
        <v>2784</v>
      </c>
      <c r="C330" s="134">
        <v>6.0022817E7</v>
      </c>
      <c r="D330" s="134" t="s">
        <v>2785</v>
      </c>
      <c r="E330" s="16" t="s">
        <v>3106</v>
      </c>
      <c r="F330" s="16" t="s">
        <v>1960</v>
      </c>
      <c r="G330" s="134" t="s">
        <v>2779</v>
      </c>
      <c r="H330" s="11"/>
      <c r="I330" s="11"/>
      <c r="J330" s="11"/>
      <c r="K330" s="124" t="s">
        <v>13</v>
      </c>
      <c r="L330" s="11"/>
      <c r="M330" s="141">
        <v>45701.0</v>
      </c>
      <c r="N330" s="109">
        <f t="shared" si="5"/>
        <v>1.080555556</v>
      </c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>
      <c r="A331" s="105" t="str">
        <f t="shared" si="6"/>
        <v>#REF!</v>
      </c>
      <c r="B331" s="134" t="s">
        <v>2786</v>
      </c>
      <c r="C331" s="134">
        <v>6.0022818E7</v>
      </c>
      <c r="D331" s="134" t="s">
        <v>2787</v>
      </c>
      <c r="E331" s="16" t="s">
        <v>3106</v>
      </c>
      <c r="F331" s="16" t="s">
        <v>1960</v>
      </c>
      <c r="G331" s="134" t="s">
        <v>2779</v>
      </c>
      <c r="H331" s="11"/>
      <c r="I331" s="11"/>
      <c r="J331" s="11"/>
      <c r="K331" s="124" t="s">
        <v>13</v>
      </c>
      <c r="L331" s="11"/>
      <c r="M331" s="141">
        <v>45701.0</v>
      </c>
      <c r="N331" s="109">
        <f t="shared" si="5"/>
        <v>1.080555556</v>
      </c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>
      <c r="A332" s="105" t="str">
        <f t="shared" si="6"/>
        <v>#REF!</v>
      </c>
      <c r="B332" s="134" t="s">
        <v>2788</v>
      </c>
      <c r="C332" s="134">
        <v>6.0022819E7</v>
      </c>
      <c r="D332" s="134" t="s">
        <v>2789</v>
      </c>
      <c r="E332" s="16" t="s">
        <v>3106</v>
      </c>
      <c r="F332" s="16" t="s">
        <v>1960</v>
      </c>
      <c r="G332" s="134" t="s">
        <v>2779</v>
      </c>
      <c r="H332" s="11"/>
      <c r="I332" s="11"/>
      <c r="J332" s="11"/>
      <c r="K332" s="124" t="s">
        <v>13</v>
      </c>
      <c r="L332" s="11"/>
      <c r="M332" s="141">
        <v>45701.0</v>
      </c>
      <c r="N332" s="109">
        <f t="shared" si="5"/>
        <v>1.080555556</v>
      </c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>
      <c r="A333" s="105" t="str">
        <f t="shared" si="6"/>
        <v>#REF!</v>
      </c>
      <c r="B333" s="134" t="s">
        <v>2790</v>
      </c>
      <c r="C333" s="134">
        <v>6.002282E7</v>
      </c>
      <c r="D333" s="134" t="s">
        <v>2791</v>
      </c>
      <c r="E333" s="16" t="s">
        <v>3106</v>
      </c>
      <c r="F333" s="16" t="s">
        <v>1960</v>
      </c>
      <c r="G333" s="134" t="s">
        <v>2779</v>
      </c>
      <c r="H333" s="11"/>
      <c r="I333" s="11"/>
      <c r="J333" s="11"/>
      <c r="K333" s="124" t="s">
        <v>13</v>
      </c>
      <c r="L333" s="11"/>
      <c r="M333" s="141">
        <v>45701.0</v>
      </c>
      <c r="N333" s="109">
        <f t="shared" si="5"/>
        <v>1.080555556</v>
      </c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>
      <c r="A334" s="105" t="str">
        <f t="shared" si="6"/>
        <v>#REF!</v>
      </c>
      <c r="B334" s="134" t="s">
        <v>2792</v>
      </c>
      <c r="C334" s="134">
        <v>6.0022821E7</v>
      </c>
      <c r="D334" s="134" t="s">
        <v>2793</v>
      </c>
      <c r="E334" s="16" t="s">
        <v>3106</v>
      </c>
      <c r="F334" s="16" t="s">
        <v>1960</v>
      </c>
      <c r="G334" s="134" t="s">
        <v>2779</v>
      </c>
      <c r="H334" s="11"/>
      <c r="I334" s="11"/>
      <c r="J334" s="11"/>
      <c r="K334" s="124" t="s">
        <v>13</v>
      </c>
      <c r="L334" s="11"/>
      <c r="M334" s="141">
        <v>45701.0</v>
      </c>
      <c r="N334" s="109">
        <f t="shared" si="5"/>
        <v>1.080555556</v>
      </c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>
      <c r="A335" s="105" t="str">
        <f t="shared" si="6"/>
        <v>#REF!</v>
      </c>
      <c r="B335" s="134" t="s">
        <v>2794</v>
      </c>
      <c r="C335" s="134">
        <v>6.0022822E7</v>
      </c>
      <c r="D335" s="134" t="s">
        <v>2795</v>
      </c>
      <c r="E335" s="16" t="s">
        <v>3106</v>
      </c>
      <c r="F335" s="16" t="s">
        <v>1960</v>
      </c>
      <c r="G335" s="134" t="s">
        <v>2779</v>
      </c>
      <c r="H335" s="11"/>
      <c r="I335" s="11"/>
      <c r="J335" s="11"/>
      <c r="K335" s="124" t="s">
        <v>13</v>
      </c>
      <c r="L335" s="11"/>
      <c r="M335" s="141">
        <v>45701.0</v>
      </c>
      <c r="N335" s="109">
        <f t="shared" si="5"/>
        <v>1.080555556</v>
      </c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>
      <c r="A336" s="105" t="str">
        <f t="shared" si="6"/>
        <v>#REF!</v>
      </c>
      <c r="B336" s="134" t="s">
        <v>2796</v>
      </c>
      <c r="C336" s="134">
        <v>6.0022823E7</v>
      </c>
      <c r="D336" s="134" t="s">
        <v>2797</v>
      </c>
      <c r="E336" s="16" t="s">
        <v>3106</v>
      </c>
      <c r="F336" s="16" t="s">
        <v>1960</v>
      </c>
      <c r="G336" s="134" t="s">
        <v>2779</v>
      </c>
      <c r="H336" s="11"/>
      <c r="I336" s="11"/>
      <c r="J336" s="11"/>
      <c r="K336" s="124" t="s">
        <v>13</v>
      </c>
      <c r="L336" s="11"/>
      <c r="M336" s="141">
        <v>45701.0</v>
      </c>
      <c r="N336" s="109">
        <f t="shared" si="5"/>
        <v>1.080555556</v>
      </c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>
      <c r="A337" s="105" t="str">
        <f t="shared" si="6"/>
        <v>#REF!</v>
      </c>
      <c r="B337" s="134" t="s">
        <v>2798</v>
      </c>
      <c r="C337" s="134">
        <v>6.0022824E7</v>
      </c>
      <c r="D337" s="134" t="s">
        <v>2799</v>
      </c>
      <c r="E337" s="16" t="s">
        <v>3106</v>
      </c>
      <c r="F337" s="16" t="s">
        <v>1960</v>
      </c>
      <c r="G337" s="134" t="s">
        <v>2779</v>
      </c>
      <c r="H337" s="11"/>
      <c r="I337" s="11"/>
      <c r="J337" s="11"/>
      <c r="K337" s="124" t="s">
        <v>13</v>
      </c>
      <c r="L337" s="11"/>
      <c r="M337" s="141">
        <v>45701.0</v>
      </c>
      <c r="N337" s="109">
        <f t="shared" si="5"/>
        <v>1.080555556</v>
      </c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>
      <c r="A338" s="105" t="str">
        <f t="shared" si="6"/>
        <v>#REF!</v>
      </c>
      <c r="B338" s="134" t="s">
        <v>2800</v>
      </c>
      <c r="C338" s="134">
        <v>6.0022825E7</v>
      </c>
      <c r="D338" s="134" t="s">
        <v>2801</v>
      </c>
      <c r="E338" s="16" t="s">
        <v>3106</v>
      </c>
      <c r="F338" s="16" t="s">
        <v>1960</v>
      </c>
      <c r="G338" s="134" t="s">
        <v>2779</v>
      </c>
      <c r="H338" s="11"/>
      <c r="I338" s="11"/>
      <c r="J338" s="11"/>
      <c r="K338" s="124" t="s">
        <v>13</v>
      </c>
      <c r="L338" s="11"/>
      <c r="M338" s="141">
        <v>45701.0</v>
      </c>
      <c r="N338" s="109">
        <f t="shared" si="5"/>
        <v>1.080555556</v>
      </c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>
      <c r="A339" s="105" t="str">
        <f t="shared" si="6"/>
        <v>#REF!</v>
      </c>
      <c r="B339" s="134" t="s">
        <v>2802</v>
      </c>
      <c r="C339" s="134">
        <v>6.0022826E7</v>
      </c>
      <c r="D339" s="134" t="s">
        <v>2803</v>
      </c>
      <c r="E339" s="16" t="s">
        <v>3106</v>
      </c>
      <c r="F339" s="16" t="s">
        <v>1960</v>
      </c>
      <c r="G339" s="134" t="s">
        <v>2779</v>
      </c>
      <c r="H339" s="11"/>
      <c r="I339" s="11"/>
      <c r="J339" s="11"/>
      <c r="K339" s="124" t="s">
        <v>13</v>
      </c>
      <c r="L339" s="11"/>
      <c r="M339" s="141">
        <v>45701.0</v>
      </c>
      <c r="N339" s="109">
        <f t="shared" si="5"/>
        <v>1.080555556</v>
      </c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>
      <c r="A340" s="105" t="str">
        <f t="shared" si="6"/>
        <v>#REF!</v>
      </c>
      <c r="B340" s="134" t="s">
        <v>2804</v>
      </c>
      <c r="C340" s="134">
        <v>6.0022827E7</v>
      </c>
      <c r="D340" s="134" t="s">
        <v>2805</v>
      </c>
      <c r="E340" s="16" t="s">
        <v>3106</v>
      </c>
      <c r="F340" s="16" t="s">
        <v>1960</v>
      </c>
      <c r="G340" s="134" t="s">
        <v>2779</v>
      </c>
      <c r="H340" s="11"/>
      <c r="I340" s="11"/>
      <c r="J340" s="11"/>
      <c r="K340" s="124" t="s">
        <v>13</v>
      </c>
      <c r="L340" s="11"/>
      <c r="M340" s="141">
        <v>45701.0</v>
      </c>
      <c r="N340" s="109">
        <f t="shared" si="5"/>
        <v>1.080555556</v>
      </c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>
      <c r="A341" s="105" t="str">
        <f t="shared" si="6"/>
        <v>#REF!</v>
      </c>
      <c r="B341" s="134" t="s">
        <v>2806</v>
      </c>
      <c r="C341" s="134">
        <v>6.0022828E7</v>
      </c>
      <c r="D341" s="134" t="s">
        <v>2807</v>
      </c>
      <c r="E341" s="16" t="s">
        <v>3106</v>
      </c>
      <c r="F341" s="16" t="s">
        <v>1960</v>
      </c>
      <c r="G341" s="134" t="s">
        <v>2779</v>
      </c>
      <c r="H341" s="11"/>
      <c r="I341" s="11"/>
      <c r="J341" s="11"/>
      <c r="K341" s="124" t="s">
        <v>13</v>
      </c>
      <c r="L341" s="11"/>
      <c r="M341" s="141">
        <v>45701.0</v>
      </c>
      <c r="N341" s="109">
        <f t="shared" si="5"/>
        <v>1.080555556</v>
      </c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>
      <c r="A342" s="105" t="str">
        <f t="shared" si="6"/>
        <v>#REF!</v>
      </c>
      <c r="B342" s="134" t="s">
        <v>2808</v>
      </c>
      <c r="C342" s="134">
        <v>6.0022829E7</v>
      </c>
      <c r="D342" s="134" t="s">
        <v>2809</v>
      </c>
      <c r="E342" s="16" t="s">
        <v>3106</v>
      </c>
      <c r="F342" s="16" t="s">
        <v>1960</v>
      </c>
      <c r="G342" s="134" t="s">
        <v>2779</v>
      </c>
      <c r="H342" s="11"/>
      <c r="I342" s="11"/>
      <c r="J342" s="11"/>
      <c r="K342" s="124" t="s">
        <v>13</v>
      </c>
      <c r="L342" s="11"/>
      <c r="M342" s="141">
        <v>45701.0</v>
      </c>
      <c r="N342" s="109">
        <f t="shared" si="5"/>
        <v>1.080555556</v>
      </c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>
      <c r="A343" s="105" t="str">
        <f t="shared" si="6"/>
        <v>#REF!</v>
      </c>
      <c r="B343" s="134" t="s">
        <v>2810</v>
      </c>
      <c r="C343" s="134">
        <v>6.002283E7</v>
      </c>
      <c r="D343" s="16" t="s">
        <v>2811</v>
      </c>
      <c r="E343" s="16" t="s">
        <v>3106</v>
      </c>
      <c r="F343" s="16" t="s">
        <v>1960</v>
      </c>
      <c r="G343" s="134" t="s">
        <v>2779</v>
      </c>
      <c r="H343" s="11"/>
      <c r="I343" s="11"/>
      <c r="J343" s="11"/>
      <c r="K343" s="124" t="s">
        <v>13</v>
      </c>
      <c r="L343" s="11"/>
      <c r="M343" s="141">
        <v>45701.0</v>
      </c>
      <c r="N343" s="109">
        <f t="shared" si="5"/>
        <v>1.080555556</v>
      </c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>
      <c r="A344" s="105" t="str">
        <f t="shared" si="6"/>
        <v>#REF!</v>
      </c>
      <c r="B344" s="16" t="s">
        <v>2812</v>
      </c>
      <c r="C344" s="16">
        <v>6.0022894E7</v>
      </c>
      <c r="D344" s="16" t="s">
        <v>2813</v>
      </c>
      <c r="E344" s="16" t="s">
        <v>3106</v>
      </c>
      <c r="F344" s="16" t="s">
        <v>1960</v>
      </c>
      <c r="G344" s="142" t="s">
        <v>2216</v>
      </c>
      <c r="H344" s="11"/>
      <c r="I344" s="11"/>
      <c r="J344" s="11"/>
      <c r="K344" s="124" t="s">
        <v>13</v>
      </c>
      <c r="L344" s="11"/>
      <c r="M344" s="108">
        <v>45729.0</v>
      </c>
      <c r="N344" s="109">
        <f t="shared" si="5"/>
        <v>0.9972222222</v>
      </c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>
      <c r="A345" s="105" t="str">
        <f t="shared" si="6"/>
        <v>#REF!</v>
      </c>
      <c r="B345" s="16" t="s">
        <v>2814</v>
      </c>
      <c r="C345" s="16">
        <v>6.0022893E7</v>
      </c>
      <c r="D345" s="16" t="s">
        <v>2815</v>
      </c>
      <c r="E345" s="16" t="s">
        <v>3106</v>
      </c>
      <c r="F345" s="16" t="s">
        <v>1960</v>
      </c>
      <c r="G345" s="142" t="s">
        <v>2216</v>
      </c>
      <c r="H345" s="11"/>
      <c r="I345" s="11"/>
      <c r="J345" s="11"/>
      <c r="K345" s="124" t="s">
        <v>13</v>
      </c>
      <c r="L345" s="11"/>
      <c r="M345" s="108">
        <v>45729.0</v>
      </c>
      <c r="N345" s="109">
        <f t="shared" si="5"/>
        <v>0.9972222222</v>
      </c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>
      <c r="A346" s="105" t="str">
        <f t="shared" si="6"/>
        <v>#REF!</v>
      </c>
      <c r="B346" s="16" t="s">
        <v>2816</v>
      </c>
      <c r="C346" s="16">
        <v>6.0022895E7</v>
      </c>
      <c r="D346" s="16" t="s">
        <v>2817</v>
      </c>
      <c r="E346" s="16" t="s">
        <v>3106</v>
      </c>
      <c r="F346" s="16" t="s">
        <v>1960</v>
      </c>
      <c r="G346" s="142" t="s">
        <v>2216</v>
      </c>
      <c r="H346" s="11"/>
      <c r="I346" s="11"/>
      <c r="J346" s="11"/>
      <c r="K346" s="124" t="s">
        <v>13</v>
      </c>
      <c r="L346" s="11"/>
      <c r="M346" s="108">
        <v>45729.0</v>
      </c>
      <c r="N346" s="109">
        <f t="shared" si="5"/>
        <v>0.9972222222</v>
      </c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>
      <c r="A347" s="16" t="str">
        <f t="shared" si="6"/>
        <v>#REF!</v>
      </c>
      <c r="B347" s="17"/>
      <c r="C347" s="143">
        <v>6.0019589E7</v>
      </c>
      <c r="D347" s="17"/>
      <c r="E347" s="16" t="s">
        <v>3106</v>
      </c>
      <c r="F347" s="16" t="s">
        <v>1960</v>
      </c>
      <c r="G347" s="143" t="s">
        <v>2818</v>
      </c>
      <c r="H347" s="17"/>
      <c r="I347" s="16" t="s">
        <v>2819</v>
      </c>
      <c r="J347" s="17"/>
      <c r="K347" s="16" t="s">
        <v>36</v>
      </c>
      <c r="L347" s="143" t="s">
        <v>2818</v>
      </c>
      <c r="M347" s="144">
        <v>44848.0</v>
      </c>
      <c r="N347" s="109">
        <f t="shared" si="5"/>
        <v>3.411111111</v>
      </c>
      <c r="O347" s="16" t="s">
        <v>2557</v>
      </c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43">
        <v>4.500000467E9</v>
      </c>
      <c r="AH347" s="16" t="s">
        <v>3433</v>
      </c>
      <c r="AI347" s="17"/>
    </row>
    <row r="348">
      <c r="A348" s="16" t="str">
        <f t="shared" si="6"/>
        <v>#REF!</v>
      </c>
      <c r="B348" s="17"/>
      <c r="C348" s="16" t="s">
        <v>2820</v>
      </c>
      <c r="D348" s="17"/>
      <c r="E348" s="16" t="s">
        <v>3106</v>
      </c>
      <c r="F348" s="16" t="s">
        <v>1960</v>
      </c>
      <c r="G348" s="16" t="s">
        <v>2772</v>
      </c>
      <c r="H348" s="17"/>
      <c r="I348" s="16" t="s">
        <v>2819</v>
      </c>
      <c r="J348" s="17"/>
      <c r="K348" s="16" t="s">
        <v>13</v>
      </c>
      <c r="L348" s="16" t="s">
        <v>2772</v>
      </c>
      <c r="M348" s="108">
        <v>44607.0</v>
      </c>
      <c r="N348" s="109">
        <f t="shared" si="5"/>
        <v>4.075</v>
      </c>
      <c r="O348" s="16" t="s">
        <v>2557</v>
      </c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6">
        <v>5.0004468E7</v>
      </c>
      <c r="AH348" s="16" t="s">
        <v>3433</v>
      </c>
      <c r="AI348" s="17"/>
    </row>
    <row r="349">
      <c r="A349" s="16" t="str">
        <f t="shared" si="6"/>
        <v>#REF!</v>
      </c>
      <c r="B349" s="17"/>
      <c r="C349" s="16" t="s">
        <v>2821</v>
      </c>
      <c r="D349" s="17"/>
      <c r="E349" s="16" t="s">
        <v>3106</v>
      </c>
      <c r="F349" s="16" t="s">
        <v>1960</v>
      </c>
      <c r="G349" s="16" t="s">
        <v>2772</v>
      </c>
      <c r="H349" s="17"/>
      <c r="I349" s="16" t="s">
        <v>2819</v>
      </c>
      <c r="J349" s="17"/>
      <c r="K349" s="16" t="s">
        <v>13</v>
      </c>
      <c r="L349" s="16" t="s">
        <v>2772</v>
      </c>
      <c r="M349" s="108">
        <v>44467.0</v>
      </c>
      <c r="N349" s="109">
        <f t="shared" si="5"/>
        <v>4.455555556</v>
      </c>
      <c r="O349" s="16" t="s">
        <v>2557</v>
      </c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6">
        <v>5.0004256E7</v>
      </c>
      <c r="AH349" s="16" t="s">
        <v>3433</v>
      </c>
      <c r="AI349" s="17"/>
    </row>
    <row r="350">
      <c r="A350" s="16" t="str">
        <f t="shared" si="6"/>
        <v>#REF!</v>
      </c>
      <c r="B350" s="17"/>
      <c r="C350" s="16" t="s">
        <v>2822</v>
      </c>
      <c r="D350" s="17"/>
      <c r="E350" s="16" t="s">
        <v>3106</v>
      </c>
      <c r="F350" s="16" t="s">
        <v>1960</v>
      </c>
      <c r="G350" s="16" t="s">
        <v>2650</v>
      </c>
      <c r="H350" s="17"/>
      <c r="I350" s="16" t="s">
        <v>2819</v>
      </c>
      <c r="J350" s="17"/>
      <c r="K350" s="16" t="s">
        <v>36</v>
      </c>
      <c r="L350" s="16" t="s">
        <v>2650</v>
      </c>
      <c r="M350" s="108">
        <v>43909.0</v>
      </c>
      <c r="N350" s="109">
        <f t="shared" si="5"/>
        <v>5.980555556</v>
      </c>
      <c r="O350" s="16" t="s">
        <v>2557</v>
      </c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6" t="s">
        <v>3521</v>
      </c>
      <c r="AH350" s="16" t="s">
        <v>3433</v>
      </c>
      <c r="AI350" s="17"/>
    </row>
    <row r="351">
      <c r="A351" s="124">
        <v>355.0</v>
      </c>
      <c r="B351" s="145" t="s">
        <v>2823</v>
      </c>
      <c r="C351" s="124">
        <v>6.0019558E7</v>
      </c>
      <c r="D351" s="11"/>
      <c r="E351" s="16" t="s">
        <v>3106</v>
      </c>
      <c r="F351" s="16" t="s">
        <v>1960</v>
      </c>
      <c r="G351" s="146" t="s">
        <v>2818</v>
      </c>
      <c r="H351" s="11"/>
      <c r="I351" s="11"/>
      <c r="J351" s="11"/>
      <c r="K351" s="16" t="s">
        <v>36</v>
      </c>
      <c r="L351" s="11"/>
      <c r="M351" s="147"/>
      <c r="N351" s="124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>
      <c r="A352" s="11"/>
      <c r="B352" s="16" t="s">
        <v>2824</v>
      </c>
      <c r="C352" s="16">
        <v>6.0020159E7</v>
      </c>
      <c r="D352" s="16" t="s">
        <v>2825</v>
      </c>
      <c r="E352" s="16" t="s">
        <v>3106</v>
      </c>
      <c r="F352" s="16" t="s">
        <v>1960</v>
      </c>
      <c r="G352" s="16" t="s">
        <v>2826</v>
      </c>
      <c r="H352" s="11"/>
      <c r="I352" s="16" t="s">
        <v>12</v>
      </c>
      <c r="J352" s="11"/>
      <c r="K352" s="124" t="s">
        <v>13</v>
      </c>
      <c r="L352" s="16" t="s">
        <v>2826</v>
      </c>
      <c r="M352" s="108">
        <v>44922.0</v>
      </c>
      <c r="N352" s="124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>
      <c r="M353" s="148"/>
      <c r="N353" s="77"/>
    </row>
    <row r="354">
      <c r="M354" s="148"/>
      <c r="N354" s="77"/>
    </row>
    <row r="355">
      <c r="M355" s="148"/>
      <c r="N355" s="77"/>
    </row>
    <row r="356">
      <c r="M356" s="148"/>
      <c r="N356" s="77"/>
    </row>
    <row r="357">
      <c r="M357" s="148"/>
      <c r="N357" s="77"/>
    </row>
    <row r="358">
      <c r="M358" s="148"/>
      <c r="N358" s="77"/>
    </row>
    <row r="359">
      <c r="M359" s="148"/>
      <c r="N359" s="77"/>
    </row>
    <row r="360">
      <c r="M360" s="148"/>
      <c r="N360" s="77"/>
    </row>
    <row r="361">
      <c r="M361" s="148"/>
      <c r="N361" s="77"/>
    </row>
    <row r="362">
      <c r="M362" s="148"/>
      <c r="N362" s="77"/>
    </row>
    <row r="363">
      <c r="M363" s="148"/>
      <c r="N363" s="77"/>
    </row>
    <row r="364">
      <c r="M364" s="148"/>
      <c r="N364" s="77"/>
    </row>
    <row r="365">
      <c r="M365" s="148"/>
      <c r="N365" s="77"/>
    </row>
    <row r="366">
      <c r="M366" s="148"/>
      <c r="N366" s="77"/>
    </row>
    <row r="367">
      <c r="M367" s="148"/>
      <c r="N367" s="77"/>
    </row>
    <row r="368">
      <c r="M368" s="148"/>
      <c r="N368" s="77"/>
    </row>
    <row r="369">
      <c r="M369" s="148"/>
      <c r="N369" s="77"/>
    </row>
    <row r="370">
      <c r="M370" s="148"/>
      <c r="N370" s="77"/>
    </row>
    <row r="371">
      <c r="M371" s="148"/>
      <c r="N371" s="77"/>
    </row>
    <row r="372">
      <c r="M372" s="148"/>
      <c r="N372" s="77"/>
    </row>
    <row r="373">
      <c r="M373" s="148"/>
      <c r="N373" s="77"/>
    </row>
    <row r="374">
      <c r="M374" s="148"/>
      <c r="N374" s="77"/>
    </row>
    <row r="375">
      <c r="M375" s="148"/>
      <c r="N375" s="77"/>
    </row>
    <row r="376">
      <c r="M376" s="148"/>
      <c r="N376" s="77"/>
    </row>
    <row r="377">
      <c r="M377" s="148"/>
      <c r="N377" s="77"/>
    </row>
    <row r="378">
      <c r="M378" s="148"/>
      <c r="N378" s="77"/>
    </row>
    <row r="379">
      <c r="M379" s="148"/>
      <c r="N379" s="77"/>
    </row>
    <row r="380">
      <c r="M380" s="148"/>
      <c r="N380" s="77"/>
    </row>
    <row r="381">
      <c r="M381" s="148"/>
      <c r="N381" s="77"/>
    </row>
    <row r="382">
      <c r="M382" s="148"/>
      <c r="N382" s="77"/>
    </row>
    <row r="383">
      <c r="M383" s="148"/>
      <c r="N383" s="77"/>
    </row>
    <row r="384">
      <c r="M384" s="148"/>
      <c r="N384" s="77"/>
    </row>
    <row r="385">
      <c r="M385" s="148"/>
      <c r="N385" s="77"/>
    </row>
    <row r="386">
      <c r="M386" s="148"/>
      <c r="N386" s="77"/>
    </row>
    <row r="387">
      <c r="M387" s="148"/>
      <c r="N387" s="77"/>
    </row>
    <row r="388">
      <c r="M388" s="148"/>
      <c r="N388" s="77"/>
    </row>
    <row r="389">
      <c r="M389" s="148"/>
      <c r="N389" s="77"/>
    </row>
    <row r="390">
      <c r="M390" s="148"/>
      <c r="N390" s="77"/>
    </row>
    <row r="391">
      <c r="M391" s="148"/>
      <c r="N391" s="77"/>
    </row>
    <row r="392">
      <c r="M392" s="148"/>
      <c r="N392" s="77"/>
    </row>
    <row r="393">
      <c r="M393" s="148"/>
      <c r="N393" s="77"/>
    </row>
    <row r="394">
      <c r="M394" s="148"/>
      <c r="N394" s="77"/>
    </row>
    <row r="395">
      <c r="M395" s="148"/>
      <c r="N395" s="77"/>
    </row>
    <row r="396">
      <c r="M396" s="148"/>
      <c r="N396" s="77"/>
    </row>
    <row r="397">
      <c r="M397" s="148"/>
      <c r="N397" s="77"/>
    </row>
    <row r="398">
      <c r="M398" s="148"/>
      <c r="N398" s="77"/>
    </row>
    <row r="399">
      <c r="M399" s="148"/>
      <c r="N399" s="77"/>
    </row>
    <row r="400">
      <c r="M400" s="148"/>
      <c r="N400" s="77"/>
    </row>
    <row r="401">
      <c r="M401" s="148"/>
      <c r="N401" s="77"/>
    </row>
    <row r="402">
      <c r="M402" s="148"/>
      <c r="N402" s="77"/>
    </row>
    <row r="403">
      <c r="M403" s="148"/>
      <c r="N403" s="77"/>
    </row>
    <row r="404">
      <c r="M404" s="148"/>
      <c r="N404" s="77"/>
    </row>
    <row r="405">
      <c r="M405" s="148"/>
      <c r="N405" s="77"/>
    </row>
    <row r="406">
      <c r="M406" s="148"/>
      <c r="N406" s="77"/>
    </row>
    <row r="407">
      <c r="M407" s="148"/>
      <c r="N407" s="77"/>
    </row>
    <row r="408">
      <c r="M408" s="148"/>
      <c r="N408" s="77"/>
    </row>
    <row r="409">
      <c r="M409" s="148"/>
      <c r="N409" s="77"/>
    </row>
    <row r="410">
      <c r="M410" s="148"/>
      <c r="N410" s="77"/>
    </row>
    <row r="411">
      <c r="M411" s="148"/>
      <c r="N411" s="77"/>
    </row>
    <row r="412">
      <c r="M412" s="148"/>
      <c r="N412" s="77"/>
    </row>
    <row r="413">
      <c r="M413" s="148"/>
      <c r="N413" s="77"/>
    </row>
    <row r="414">
      <c r="M414" s="148"/>
      <c r="N414" s="77"/>
    </row>
    <row r="415">
      <c r="M415" s="148"/>
      <c r="N415" s="77"/>
    </row>
    <row r="416">
      <c r="M416" s="148"/>
      <c r="N416" s="77"/>
    </row>
    <row r="417">
      <c r="M417" s="148"/>
      <c r="N417" s="77"/>
    </row>
    <row r="418">
      <c r="M418" s="148"/>
      <c r="N418" s="77"/>
    </row>
    <row r="419">
      <c r="M419" s="148"/>
      <c r="N419" s="77"/>
    </row>
    <row r="420">
      <c r="M420" s="148"/>
      <c r="N420" s="77"/>
    </row>
    <row r="421">
      <c r="M421" s="148"/>
      <c r="N421" s="77"/>
    </row>
    <row r="422">
      <c r="M422" s="148"/>
      <c r="N422" s="77"/>
    </row>
    <row r="423">
      <c r="M423" s="148"/>
      <c r="N423" s="77"/>
    </row>
    <row r="424">
      <c r="M424" s="148"/>
      <c r="N424" s="77"/>
    </row>
    <row r="425">
      <c r="M425" s="148"/>
      <c r="N425" s="77"/>
    </row>
    <row r="426">
      <c r="M426" s="148"/>
      <c r="N426" s="77"/>
    </row>
    <row r="427">
      <c r="M427" s="148"/>
      <c r="N427" s="77"/>
    </row>
    <row r="428">
      <c r="M428" s="148"/>
      <c r="N428" s="77"/>
    </row>
    <row r="429">
      <c r="M429" s="148"/>
      <c r="N429" s="77"/>
    </row>
    <row r="430">
      <c r="M430" s="148"/>
      <c r="N430" s="77"/>
    </row>
    <row r="431">
      <c r="M431" s="148"/>
      <c r="N431" s="77"/>
    </row>
    <row r="432">
      <c r="M432" s="148"/>
      <c r="N432" s="77"/>
    </row>
    <row r="433">
      <c r="M433" s="148"/>
      <c r="N433" s="77"/>
    </row>
    <row r="434">
      <c r="M434" s="148"/>
      <c r="N434" s="77"/>
    </row>
    <row r="435">
      <c r="M435" s="148"/>
      <c r="N435" s="77"/>
    </row>
    <row r="436">
      <c r="M436" s="148"/>
      <c r="N436" s="77"/>
    </row>
    <row r="437">
      <c r="M437" s="148"/>
      <c r="N437" s="77"/>
    </row>
    <row r="438">
      <c r="M438" s="148"/>
      <c r="N438" s="77"/>
    </row>
    <row r="439">
      <c r="M439" s="148"/>
      <c r="N439" s="77"/>
    </row>
    <row r="440">
      <c r="M440" s="148"/>
      <c r="N440" s="77"/>
    </row>
    <row r="441">
      <c r="M441" s="148"/>
      <c r="N441" s="77"/>
    </row>
    <row r="442">
      <c r="M442" s="148"/>
      <c r="N442" s="77"/>
    </row>
    <row r="443">
      <c r="M443" s="148"/>
      <c r="N443" s="77"/>
    </row>
    <row r="444">
      <c r="M444" s="148"/>
      <c r="N444" s="77"/>
    </row>
    <row r="445">
      <c r="M445" s="148"/>
      <c r="N445" s="77"/>
    </row>
    <row r="446">
      <c r="M446" s="148"/>
      <c r="N446" s="77"/>
    </row>
    <row r="447">
      <c r="M447" s="148"/>
      <c r="N447" s="77"/>
    </row>
    <row r="448">
      <c r="M448" s="148"/>
      <c r="N448" s="77"/>
    </row>
    <row r="449">
      <c r="M449" s="148"/>
      <c r="N449" s="77"/>
    </row>
    <row r="450">
      <c r="M450" s="148"/>
      <c r="N450" s="77"/>
    </row>
    <row r="451">
      <c r="M451" s="148"/>
      <c r="N451" s="77"/>
    </row>
    <row r="452">
      <c r="M452" s="148"/>
      <c r="N452" s="77"/>
    </row>
    <row r="453">
      <c r="M453" s="148"/>
      <c r="N453" s="77"/>
    </row>
    <row r="454">
      <c r="M454" s="148"/>
      <c r="N454" s="77"/>
    </row>
    <row r="455">
      <c r="M455" s="148"/>
      <c r="N455" s="77"/>
    </row>
    <row r="456">
      <c r="M456" s="148"/>
      <c r="N456" s="77"/>
    </row>
    <row r="457">
      <c r="M457" s="148"/>
      <c r="N457" s="77"/>
    </row>
    <row r="458">
      <c r="M458" s="148"/>
      <c r="N458" s="77"/>
    </row>
    <row r="459">
      <c r="M459" s="148"/>
      <c r="N459" s="77"/>
    </row>
    <row r="460">
      <c r="M460" s="148"/>
      <c r="N460" s="77"/>
    </row>
    <row r="461">
      <c r="M461" s="148"/>
      <c r="N461" s="77"/>
    </row>
    <row r="462">
      <c r="M462" s="148"/>
      <c r="N462" s="77"/>
    </row>
    <row r="463">
      <c r="M463" s="148"/>
      <c r="N463" s="77"/>
    </row>
    <row r="464">
      <c r="M464" s="148"/>
      <c r="N464" s="77"/>
    </row>
    <row r="465">
      <c r="M465" s="148"/>
      <c r="N465" s="77"/>
    </row>
    <row r="466">
      <c r="M466" s="148"/>
      <c r="N466" s="77"/>
    </row>
    <row r="467">
      <c r="M467" s="148"/>
      <c r="N467" s="77"/>
    </row>
    <row r="468">
      <c r="M468" s="148"/>
      <c r="N468" s="77"/>
    </row>
    <row r="469">
      <c r="M469" s="148"/>
      <c r="N469" s="77"/>
    </row>
    <row r="470">
      <c r="M470" s="148"/>
      <c r="N470" s="77"/>
    </row>
    <row r="471">
      <c r="M471" s="148"/>
      <c r="N471" s="77"/>
    </row>
    <row r="472">
      <c r="M472" s="148"/>
      <c r="N472" s="77"/>
    </row>
    <row r="473">
      <c r="M473" s="148"/>
      <c r="N473" s="77"/>
    </row>
    <row r="474">
      <c r="M474" s="148"/>
      <c r="N474" s="77"/>
    </row>
    <row r="475">
      <c r="M475" s="148"/>
      <c r="N475" s="77"/>
    </row>
    <row r="476">
      <c r="M476" s="148"/>
      <c r="N476" s="77"/>
    </row>
    <row r="477">
      <c r="M477" s="148"/>
      <c r="N477" s="77"/>
    </row>
    <row r="478">
      <c r="M478" s="148"/>
      <c r="N478" s="77"/>
    </row>
    <row r="479">
      <c r="M479" s="148"/>
      <c r="N479" s="77"/>
    </row>
    <row r="480">
      <c r="M480" s="148"/>
      <c r="N480" s="77"/>
    </row>
    <row r="481">
      <c r="M481" s="148"/>
      <c r="N481" s="77"/>
    </row>
    <row r="482">
      <c r="M482" s="148"/>
      <c r="N482" s="77"/>
    </row>
    <row r="483">
      <c r="M483" s="148"/>
      <c r="N483" s="77"/>
    </row>
    <row r="484">
      <c r="M484" s="148"/>
      <c r="N484" s="77"/>
    </row>
    <row r="485">
      <c r="M485" s="148"/>
      <c r="N485" s="77"/>
    </row>
    <row r="486">
      <c r="M486" s="148"/>
      <c r="N486" s="77"/>
    </row>
    <row r="487">
      <c r="M487" s="148"/>
      <c r="N487" s="77"/>
    </row>
    <row r="488">
      <c r="M488" s="148"/>
      <c r="N488" s="77"/>
    </row>
    <row r="489">
      <c r="M489" s="148"/>
      <c r="N489" s="77"/>
    </row>
    <row r="490">
      <c r="M490" s="148"/>
      <c r="N490" s="77"/>
    </row>
    <row r="491">
      <c r="M491" s="148"/>
      <c r="N491" s="77"/>
    </row>
    <row r="492">
      <c r="M492" s="148"/>
      <c r="N492" s="77"/>
    </row>
    <row r="493">
      <c r="M493" s="148"/>
      <c r="N493" s="77"/>
    </row>
    <row r="494">
      <c r="M494" s="148"/>
      <c r="N494" s="77"/>
    </row>
    <row r="495">
      <c r="M495" s="148"/>
      <c r="N495" s="77"/>
    </row>
    <row r="496">
      <c r="M496" s="148"/>
      <c r="N496" s="77"/>
    </row>
    <row r="497">
      <c r="M497" s="148"/>
      <c r="N497" s="77"/>
    </row>
    <row r="498">
      <c r="M498" s="148"/>
      <c r="N498" s="77"/>
    </row>
    <row r="499">
      <c r="M499" s="148"/>
      <c r="N499" s="77"/>
    </row>
    <row r="500">
      <c r="M500" s="148"/>
      <c r="N500" s="77"/>
    </row>
    <row r="501">
      <c r="M501" s="148"/>
      <c r="N501" s="77"/>
    </row>
    <row r="502">
      <c r="M502" s="148"/>
      <c r="N502" s="77"/>
    </row>
    <row r="503">
      <c r="M503" s="148"/>
      <c r="N503" s="77"/>
    </row>
    <row r="504">
      <c r="M504" s="148"/>
      <c r="N504" s="77"/>
    </row>
    <row r="505">
      <c r="M505" s="148"/>
      <c r="N505" s="77"/>
    </row>
    <row r="506">
      <c r="M506" s="148"/>
      <c r="N506" s="77"/>
    </row>
    <row r="507">
      <c r="M507" s="148"/>
      <c r="N507" s="77"/>
    </row>
    <row r="508">
      <c r="M508" s="148"/>
      <c r="N508" s="77"/>
    </row>
    <row r="509">
      <c r="M509" s="148"/>
      <c r="N509" s="77"/>
    </row>
    <row r="510">
      <c r="M510" s="148"/>
      <c r="N510" s="77"/>
    </row>
    <row r="511">
      <c r="M511" s="148"/>
      <c r="N511" s="77"/>
    </row>
    <row r="512">
      <c r="M512" s="148"/>
      <c r="N512" s="77"/>
    </row>
    <row r="513">
      <c r="M513" s="148"/>
      <c r="N513" s="77"/>
    </row>
    <row r="514">
      <c r="M514" s="148"/>
      <c r="N514" s="77"/>
    </row>
    <row r="515">
      <c r="M515" s="148"/>
      <c r="N515" s="77"/>
    </row>
    <row r="516">
      <c r="M516" s="148"/>
      <c r="N516" s="77"/>
    </row>
    <row r="517">
      <c r="M517" s="148"/>
      <c r="N517" s="77"/>
    </row>
    <row r="518">
      <c r="M518" s="148"/>
      <c r="N518" s="77"/>
    </row>
    <row r="519">
      <c r="M519" s="148"/>
      <c r="N519" s="77"/>
    </row>
    <row r="520">
      <c r="M520" s="148"/>
      <c r="N520" s="77"/>
    </row>
    <row r="521">
      <c r="M521" s="148"/>
      <c r="N521" s="77"/>
    </row>
    <row r="522">
      <c r="M522" s="148"/>
      <c r="N522" s="77"/>
    </row>
    <row r="523">
      <c r="M523" s="148"/>
      <c r="N523" s="77"/>
    </row>
    <row r="524">
      <c r="M524" s="148"/>
      <c r="N524" s="77"/>
    </row>
    <row r="525">
      <c r="M525" s="148"/>
      <c r="N525" s="77"/>
    </row>
    <row r="526">
      <c r="M526" s="148"/>
      <c r="N526" s="77"/>
    </row>
    <row r="527">
      <c r="M527" s="148"/>
      <c r="N527" s="77"/>
    </row>
    <row r="528">
      <c r="M528" s="148"/>
      <c r="N528" s="77"/>
    </row>
    <row r="529">
      <c r="M529" s="148"/>
      <c r="N529" s="77"/>
    </row>
    <row r="530">
      <c r="M530" s="148"/>
      <c r="N530" s="77"/>
    </row>
    <row r="531">
      <c r="M531" s="148"/>
      <c r="N531" s="77"/>
    </row>
    <row r="532">
      <c r="M532" s="148"/>
      <c r="N532" s="77"/>
    </row>
    <row r="533">
      <c r="M533" s="148"/>
      <c r="N533" s="77"/>
    </row>
    <row r="534">
      <c r="M534" s="148"/>
      <c r="N534" s="77"/>
    </row>
    <row r="535">
      <c r="M535" s="148"/>
      <c r="N535" s="77"/>
    </row>
    <row r="536">
      <c r="M536" s="148"/>
      <c r="N536" s="77"/>
    </row>
    <row r="537">
      <c r="M537" s="148"/>
      <c r="N537" s="77"/>
    </row>
    <row r="538">
      <c r="M538" s="148"/>
      <c r="N538" s="77"/>
    </row>
    <row r="539">
      <c r="M539" s="148"/>
      <c r="N539" s="77"/>
    </row>
    <row r="540">
      <c r="M540" s="148"/>
      <c r="N540" s="77"/>
    </row>
    <row r="541">
      <c r="M541" s="148"/>
      <c r="N541" s="77"/>
    </row>
    <row r="542">
      <c r="M542" s="148"/>
      <c r="N542" s="77"/>
    </row>
    <row r="543">
      <c r="M543" s="148"/>
      <c r="N543" s="77"/>
    </row>
    <row r="544">
      <c r="M544" s="148"/>
      <c r="N544" s="77"/>
    </row>
    <row r="545">
      <c r="M545" s="148"/>
      <c r="N545" s="77"/>
    </row>
    <row r="546">
      <c r="M546" s="148"/>
      <c r="N546" s="77"/>
    </row>
    <row r="547">
      <c r="M547" s="148"/>
      <c r="N547" s="77"/>
    </row>
    <row r="548">
      <c r="M548" s="148"/>
      <c r="N548" s="77"/>
    </row>
    <row r="549">
      <c r="M549" s="148"/>
      <c r="N549" s="77"/>
    </row>
    <row r="550">
      <c r="M550" s="148"/>
      <c r="N550" s="77"/>
    </row>
    <row r="551">
      <c r="M551" s="148"/>
      <c r="N551" s="77"/>
    </row>
    <row r="552">
      <c r="M552" s="148"/>
      <c r="N552" s="77"/>
    </row>
    <row r="553">
      <c r="M553" s="148"/>
      <c r="N553" s="77"/>
    </row>
    <row r="554">
      <c r="M554" s="148"/>
      <c r="N554" s="77"/>
    </row>
    <row r="555">
      <c r="M555" s="148"/>
      <c r="N555" s="77"/>
    </row>
    <row r="556">
      <c r="M556" s="148"/>
      <c r="N556" s="77"/>
    </row>
    <row r="557">
      <c r="M557" s="148"/>
      <c r="N557" s="77"/>
    </row>
    <row r="558">
      <c r="M558" s="148"/>
      <c r="N558" s="77"/>
    </row>
    <row r="559">
      <c r="M559" s="148"/>
      <c r="N559" s="77"/>
    </row>
    <row r="560">
      <c r="M560" s="148"/>
      <c r="N560" s="77"/>
    </row>
    <row r="561">
      <c r="M561" s="148"/>
      <c r="N561" s="77"/>
    </row>
    <row r="562">
      <c r="M562" s="148"/>
      <c r="N562" s="77"/>
    </row>
    <row r="563">
      <c r="M563" s="148"/>
      <c r="N563" s="77"/>
    </row>
    <row r="564">
      <c r="M564" s="148"/>
      <c r="N564" s="77"/>
    </row>
    <row r="565">
      <c r="M565" s="148"/>
      <c r="N565" s="77"/>
    </row>
    <row r="566">
      <c r="M566" s="148"/>
      <c r="N566" s="77"/>
    </row>
    <row r="567">
      <c r="M567" s="148"/>
      <c r="N567" s="77"/>
    </row>
    <row r="568">
      <c r="M568" s="148"/>
      <c r="N568" s="77"/>
    </row>
    <row r="569">
      <c r="M569" s="148"/>
      <c r="N569" s="77"/>
    </row>
    <row r="570">
      <c r="M570" s="148"/>
      <c r="N570" s="77"/>
    </row>
    <row r="571">
      <c r="M571" s="148"/>
      <c r="N571" s="77"/>
    </row>
    <row r="572">
      <c r="M572" s="148"/>
      <c r="N572" s="77"/>
    </row>
    <row r="573">
      <c r="M573" s="148"/>
      <c r="N573" s="77"/>
    </row>
    <row r="574">
      <c r="M574" s="148"/>
      <c r="N574" s="77"/>
    </row>
    <row r="575">
      <c r="M575" s="148"/>
      <c r="N575" s="77"/>
    </row>
    <row r="576">
      <c r="M576" s="148"/>
      <c r="N576" s="77"/>
    </row>
    <row r="577">
      <c r="M577" s="148"/>
      <c r="N577" s="77"/>
    </row>
    <row r="578">
      <c r="M578" s="148"/>
      <c r="N578" s="77"/>
    </row>
    <row r="579">
      <c r="M579" s="148"/>
      <c r="N579" s="77"/>
    </row>
    <row r="580">
      <c r="M580" s="148"/>
      <c r="N580" s="77"/>
    </row>
    <row r="581">
      <c r="M581" s="148"/>
      <c r="N581" s="77"/>
    </row>
    <row r="582">
      <c r="M582" s="148"/>
      <c r="N582" s="77"/>
    </row>
    <row r="583">
      <c r="M583" s="148"/>
      <c r="N583" s="77"/>
    </row>
    <row r="584">
      <c r="M584" s="148"/>
      <c r="N584" s="77"/>
    </row>
    <row r="585">
      <c r="M585" s="148"/>
      <c r="N585" s="77"/>
    </row>
    <row r="586">
      <c r="M586" s="148"/>
      <c r="N586" s="77"/>
    </row>
    <row r="587">
      <c r="M587" s="148"/>
      <c r="N587" s="77"/>
    </row>
    <row r="588">
      <c r="M588" s="148"/>
      <c r="N588" s="77"/>
    </row>
    <row r="589">
      <c r="M589" s="148"/>
      <c r="N589" s="77"/>
    </row>
    <row r="590">
      <c r="M590" s="148"/>
      <c r="N590" s="77"/>
    </row>
    <row r="591">
      <c r="M591" s="148"/>
      <c r="N591" s="77"/>
    </row>
    <row r="592">
      <c r="M592" s="148"/>
      <c r="N592" s="77"/>
    </row>
    <row r="593">
      <c r="M593" s="148"/>
      <c r="N593" s="77"/>
    </row>
    <row r="594">
      <c r="M594" s="148"/>
      <c r="N594" s="77"/>
    </row>
    <row r="595">
      <c r="M595" s="148"/>
      <c r="N595" s="77"/>
    </row>
    <row r="596">
      <c r="M596" s="148"/>
      <c r="N596" s="77"/>
    </row>
    <row r="597">
      <c r="M597" s="148"/>
      <c r="N597" s="77"/>
    </row>
    <row r="598">
      <c r="M598" s="148"/>
      <c r="N598" s="77"/>
    </row>
    <row r="599">
      <c r="M599" s="148"/>
      <c r="N599" s="77"/>
    </row>
    <row r="600">
      <c r="M600" s="148"/>
      <c r="N600" s="77"/>
    </row>
    <row r="601">
      <c r="M601" s="148"/>
      <c r="N601" s="77"/>
    </row>
    <row r="602">
      <c r="M602" s="148"/>
      <c r="N602" s="77"/>
    </row>
    <row r="603">
      <c r="M603" s="148"/>
      <c r="N603" s="77"/>
    </row>
    <row r="604">
      <c r="M604" s="148"/>
      <c r="N604" s="77"/>
    </row>
    <row r="605">
      <c r="M605" s="148"/>
      <c r="N605" s="77"/>
    </row>
    <row r="606">
      <c r="M606" s="148"/>
      <c r="N606" s="77"/>
    </row>
    <row r="607">
      <c r="M607" s="148"/>
      <c r="N607" s="77"/>
    </row>
    <row r="608">
      <c r="M608" s="148"/>
      <c r="N608" s="77"/>
    </row>
    <row r="609">
      <c r="M609" s="148"/>
      <c r="N609" s="77"/>
    </row>
    <row r="610">
      <c r="M610" s="148"/>
      <c r="N610" s="77"/>
    </row>
    <row r="611">
      <c r="M611" s="148"/>
      <c r="N611" s="77"/>
    </row>
    <row r="612">
      <c r="M612" s="148"/>
      <c r="N612" s="77"/>
    </row>
    <row r="613">
      <c r="M613" s="148"/>
      <c r="N613" s="77"/>
    </row>
    <row r="614">
      <c r="M614" s="148"/>
      <c r="N614" s="77"/>
    </row>
    <row r="615">
      <c r="M615" s="148"/>
      <c r="N615" s="77"/>
    </row>
    <row r="616">
      <c r="M616" s="148"/>
      <c r="N616" s="77"/>
    </row>
    <row r="617">
      <c r="M617" s="148"/>
      <c r="N617" s="77"/>
    </row>
    <row r="618">
      <c r="M618" s="148"/>
      <c r="N618" s="77"/>
    </row>
    <row r="619">
      <c r="M619" s="148"/>
      <c r="N619" s="77"/>
    </row>
    <row r="620">
      <c r="M620" s="148"/>
      <c r="N620" s="77"/>
    </row>
    <row r="621">
      <c r="M621" s="148"/>
      <c r="N621" s="77"/>
    </row>
    <row r="622">
      <c r="M622" s="148"/>
      <c r="N622" s="77"/>
    </row>
    <row r="623">
      <c r="M623" s="148"/>
      <c r="N623" s="77"/>
    </row>
    <row r="624">
      <c r="M624" s="148"/>
      <c r="N624" s="77"/>
    </row>
    <row r="625">
      <c r="M625" s="148"/>
      <c r="N625" s="77"/>
    </row>
    <row r="626">
      <c r="M626" s="148"/>
      <c r="N626" s="77"/>
    </row>
    <row r="627">
      <c r="M627" s="148"/>
      <c r="N627" s="77"/>
    </row>
    <row r="628">
      <c r="M628" s="148"/>
      <c r="N628" s="77"/>
    </row>
    <row r="629">
      <c r="M629" s="148"/>
      <c r="N629" s="77"/>
    </row>
    <row r="630">
      <c r="M630" s="148"/>
      <c r="N630" s="77"/>
    </row>
    <row r="631">
      <c r="M631" s="148"/>
      <c r="N631" s="77"/>
    </row>
    <row r="632">
      <c r="M632" s="148"/>
      <c r="N632" s="77"/>
    </row>
    <row r="633">
      <c r="M633" s="148"/>
      <c r="N633" s="77"/>
    </row>
    <row r="634">
      <c r="M634" s="148"/>
      <c r="N634" s="77"/>
    </row>
    <row r="635">
      <c r="M635" s="148"/>
      <c r="N635" s="77"/>
    </row>
    <row r="636">
      <c r="M636" s="148"/>
      <c r="N636" s="77"/>
    </row>
    <row r="637">
      <c r="M637" s="148"/>
      <c r="N637" s="77"/>
    </row>
    <row r="638">
      <c r="M638" s="148"/>
      <c r="N638" s="77"/>
    </row>
    <row r="639">
      <c r="M639" s="148"/>
      <c r="N639" s="77"/>
    </row>
    <row r="640">
      <c r="M640" s="148"/>
      <c r="N640" s="77"/>
    </row>
    <row r="641">
      <c r="M641" s="148"/>
      <c r="N641" s="77"/>
    </row>
    <row r="642">
      <c r="M642" s="148"/>
      <c r="N642" s="77"/>
    </row>
    <row r="643">
      <c r="M643" s="148"/>
      <c r="N643" s="77"/>
    </row>
    <row r="644">
      <c r="M644" s="148"/>
      <c r="N644" s="77"/>
    </row>
    <row r="645">
      <c r="M645" s="148"/>
      <c r="N645" s="77"/>
    </row>
    <row r="646">
      <c r="M646" s="148"/>
      <c r="N646" s="77"/>
    </row>
    <row r="647">
      <c r="M647" s="148"/>
      <c r="N647" s="77"/>
    </row>
    <row r="648">
      <c r="M648" s="148"/>
      <c r="N648" s="77"/>
    </row>
    <row r="649">
      <c r="M649" s="148"/>
      <c r="N649" s="77"/>
    </row>
    <row r="650">
      <c r="M650" s="148"/>
      <c r="N650" s="77"/>
    </row>
    <row r="651">
      <c r="M651" s="148"/>
      <c r="N651" s="77"/>
    </row>
    <row r="652">
      <c r="M652" s="148"/>
      <c r="N652" s="77"/>
    </row>
    <row r="653">
      <c r="M653" s="148"/>
      <c r="N653" s="77"/>
    </row>
    <row r="654">
      <c r="M654" s="148"/>
      <c r="N654" s="77"/>
    </row>
    <row r="655">
      <c r="M655" s="148"/>
      <c r="N655" s="77"/>
    </row>
    <row r="656">
      <c r="M656" s="148"/>
      <c r="N656" s="77"/>
    </row>
    <row r="657">
      <c r="M657" s="148"/>
      <c r="N657" s="77"/>
    </row>
    <row r="658">
      <c r="M658" s="148"/>
      <c r="N658" s="77"/>
    </row>
    <row r="659">
      <c r="M659" s="148"/>
      <c r="N659" s="77"/>
    </row>
    <row r="660">
      <c r="M660" s="148"/>
      <c r="N660" s="77"/>
    </row>
    <row r="661">
      <c r="M661" s="148"/>
      <c r="N661" s="77"/>
    </row>
    <row r="662">
      <c r="M662" s="148"/>
      <c r="N662" s="77"/>
    </row>
    <row r="663">
      <c r="M663" s="148"/>
      <c r="N663" s="77"/>
    </row>
    <row r="664">
      <c r="M664" s="148"/>
      <c r="N664" s="77"/>
    </row>
    <row r="665">
      <c r="M665" s="148"/>
      <c r="N665" s="77"/>
    </row>
    <row r="666">
      <c r="M666" s="148"/>
      <c r="N666" s="77"/>
    </row>
    <row r="667">
      <c r="M667" s="148"/>
      <c r="N667" s="77"/>
    </row>
    <row r="668">
      <c r="M668" s="148"/>
      <c r="N668" s="77"/>
    </row>
    <row r="669">
      <c r="M669" s="148"/>
      <c r="N669" s="77"/>
    </row>
    <row r="670">
      <c r="M670" s="148"/>
      <c r="N670" s="77"/>
    </row>
    <row r="671">
      <c r="M671" s="148"/>
      <c r="N671" s="77"/>
    </row>
    <row r="672">
      <c r="M672" s="148"/>
      <c r="N672" s="77"/>
    </row>
    <row r="673">
      <c r="M673" s="148"/>
      <c r="N673" s="77"/>
    </row>
    <row r="674">
      <c r="M674" s="148"/>
      <c r="N674" s="77"/>
    </row>
    <row r="675">
      <c r="M675" s="148"/>
      <c r="N675" s="77"/>
    </row>
    <row r="676">
      <c r="M676" s="148"/>
      <c r="N676" s="77"/>
    </row>
    <row r="677">
      <c r="M677" s="148"/>
      <c r="N677" s="77"/>
    </row>
    <row r="678">
      <c r="M678" s="148"/>
      <c r="N678" s="77"/>
    </row>
    <row r="679">
      <c r="M679" s="148"/>
      <c r="N679" s="77"/>
    </row>
    <row r="680">
      <c r="M680" s="148"/>
      <c r="N680" s="77"/>
    </row>
    <row r="681">
      <c r="M681" s="148"/>
      <c r="N681" s="77"/>
    </row>
    <row r="682">
      <c r="M682" s="148"/>
      <c r="N682" s="77"/>
    </row>
    <row r="683">
      <c r="M683" s="148"/>
      <c r="N683" s="77"/>
    </row>
    <row r="684">
      <c r="M684" s="148"/>
      <c r="N684" s="77"/>
    </row>
    <row r="685">
      <c r="M685" s="148"/>
      <c r="N685" s="77"/>
    </row>
    <row r="686">
      <c r="M686" s="148"/>
      <c r="N686" s="77"/>
    </row>
    <row r="687">
      <c r="M687" s="148"/>
      <c r="N687" s="77"/>
    </row>
    <row r="688">
      <c r="M688" s="148"/>
      <c r="N688" s="77"/>
    </row>
    <row r="689">
      <c r="M689" s="148"/>
      <c r="N689" s="77"/>
    </row>
    <row r="690">
      <c r="M690" s="148"/>
      <c r="N690" s="77"/>
    </row>
    <row r="691">
      <c r="M691" s="148"/>
      <c r="N691" s="77"/>
    </row>
    <row r="692">
      <c r="M692" s="148"/>
      <c r="N692" s="77"/>
    </row>
    <row r="693">
      <c r="M693" s="148"/>
      <c r="N693" s="77"/>
    </row>
    <row r="694">
      <c r="M694" s="148"/>
      <c r="N694" s="77"/>
    </row>
    <row r="695">
      <c r="M695" s="148"/>
      <c r="N695" s="77"/>
    </row>
    <row r="696">
      <c r="M696" s="148"/>
      <c r="N696" s="77"/>
    </row>
    <row r="697">
      <c r="M697" s="148"/>
      <c r="N697" s="77"/>
    </row>
    <row r="698">
      <c r="M698" s="148"/>
      <c r="N698" s="77"/>
    </row>
    <row r="699">
      <c r="M699" s="148"/>
      <c r="N699" s="77"/>
    </row>
    <row r="700">
      <c r="M700" s="148"/>
      <c r="N700" s="77"/>
    </row>
    <row r="701">
      <c r="M701" s="148"/>
      <c r="N701" s="77"/>
    </row>
    <row r="702">
      <c r="M702" s="148"/>
      <c r="N702" s="77"/>
    </row>
    <row r="703">
      <c r="M703" s="148"/>
      <c r="N703" s="77"/>
    </row>
    <row r="704">
      <c r="M704" s="148"/>
      <c r="N704" s="77"/>
    </row>
    <row r="705">
      <c r="M705" s="148"/>
      <c r="N705" s="77"/>
    </row>
    <row r="706">
      <c r="M706" s="148"/>
      <c r="N706" s="77"/>
    </row>
    <row r="707">
      <c r="M707" s="148"/>
      <c r="N707" s="77"/>
    </row>
    <row r="708">
      <c r="M708" s="148"/>
      <c r="N708" s="77"/>
    </row>
    <row r="709">
      <c r="M709" s="148"/>
      <c r="N709" s="77"/>
    </row>
    <row r="710">
      <c r="M710" s="148"/>
      <c r="N710" s="77"/>
    </row>
    <row r="711">
      <c r="M711" s="148"/>
      <c r="N711" s="77"/>
    </row>
    <row r="712">
      <c r="M712" s="148"/>
      <c r="N712" s="77"/>
    </row>
    <row r="713">
      <c r="M713" s="148"/>
      <c r="N713" s="77"/>
    </row>
    <row r="714">
      <c r="M714" s="148"/>
      <c r="N714" s="77"/>
    </row>
    <row r="715">
      <c r="M715" s="148"/>
      <c r="N715" s="77"/>
    </row>
    <row r="716">
      <c r="M716" s="148"/>
      <c r="N716" s="77"/>
    </row>
    <row r="717">
      <c r="M717" s="148"/>
      <c r="N717" s="77"/>
    </row>
    <row r="718">
      <c r="M718" s="148"/>
      <c r="N718" s="77"/>
    </row>
    <row r="719">
      <c r="M719" s="148"/>
      <c r="N719" s="77"/>
    </row>
    <row r="720">
      <c r="M720" s="148"/>
      <c r="N720" s="77"/>
    </row>
    <row r="721">
      <c r="M721" s="148"/>
      <c r="N721" s="77"/>
    </row>
    <row r="722">
      <c r="M722" s="148"/>
      <c r="N722" s="77"/>
    </row>
    <row r="723">
      <c r="M723" s="148"/>
      <c r="N723" s="77"/>
    </row>
    <row r="724">
      <c r="M724" s="148"/>
      <c r="N724" s="77"/>
    </row>
    <row r="725">
      <c r="M725" s="148"/>
      <c r="N725" s="77"/>
    </row>
    <row r="726">
      <c r="M726" s="148"/>
      <c r="N726" s="77"/>
    </row>
    <row r="727">
      <c r="M727" s="148"/>
      <c r="N727" s="77"/>
    </row>
    <row r="728">
      <c r="M728" s="148"/>
      <c r="N728" s="77"/>
    </row>
    <row r="729">
      <c r="M729" s="148"/>
      <c r="N729" s="77"/>
    </row>
    <row r="730">
      <c r="M730" s="148"/>
      <c r="N730" s="77"/>
    </row>
    <row r="731">
      <c r="M731" s="148"/>
      <c r="N731" s="77"/>
    </row>
    <row r="732">
      <c r="M732" s="148"/>
      <c r="N732" s="77"/>
    </row>
    <row r="733">
      <c r="M733" s="148"/>
      <c r="N733" s="77"/>
    </row>
    <row r="734">
      <c r="M734" s="148"/>
      <c r="N734" s="77"/>
    </row>
    <row r="735">
      <c r="M735" s="148"/>
      <c r="N735" s="77"/>
    </row>
    <row r="736">
      <c r="M736" s="148"/>
      <c r="N736" s="77"/>
    </row>
    <row r="737">
      <c r="M737" s="148"/>
      <c r="N737" s="77"/>
    </row>
    <row r="738">
      <c r="M738" s="148"/>
      <c r="N738" s="77"/>
    </row>
    <row r="739">
      <c r="M739" s="148"/>
      <c r="N739" s="77"/>
    </row>
    <row r="740">
      <c r="M740" s="148"/>
      <c r="N740" s="77"/>
    </row>
    <row r="741">
      <c r="M741" s="148"/>
      <c r="N741" s="77"/>
    </row>
    <row r="742">
      <c r="M742" s="148"/>
      <c r="N742" s="77"/>
    </row>
    <row r="743">
      <c r="M743" s="148"/>
      <c r="N743" s="77"/>
    </row>
    <row r="744">
      <c r="M744" s="148"/>
      <c r="N744" s="77"/>
    </row>
    <row r="745">
      <c r="M745" s="148"/>
      <c r="N745" s="77"/>
    </row>
    <row r="746">
      <c r="M746" s="148"/>
      <c r="N746" s="77"/>
    </row>
    <row r="747">
      <c r="M747" s="148"/>
      <c r="N747" s="77"/>
    </row>
    <row r="748">
      <c r="M748" s="148"/>
      <c r="N748" s="77"/>
    </row>
    <row r="749">
      <c r="M749" s="148"/>
      <c r="N749" s="77"/>
    </row>
    <row r="750">
      <c r="M750" s="148"/>
      <c r="N750" s="77"/>
    </row>
    <row r="751">
      <c r="M751" s="148"/>
      <c r="N751" s="77"/>
    </row>
    <row r="752">
      <c r="M752" s="148"/>
      <c r="N752" s="77"/>
    </row>
    <row r="753">
      <c r="M753" s="148"/>
      <c r="N753" s="77"/>
    </row>
    <row r="754">
      <c r="M754" s="148"/>
      <c r="N754" s="77"/>
    </row>
    <row r="755">
      <c r="M755" s="148"/>
      <c r="N755" s="77"/>
    </row>
    <row r="756">
      <c r="M756" s="148"/>
      <c r="N756" s="77"/>
    </row>
    <row r="757">
      <c r="M757" s="148"/>
      <c r="N757" s="77"/>
    </row>
    <row r="758">
      <c r="M758" s="148"/>
      <c r="N758" s="77"/>
    </row>
    <row r="759">
      <c r="M759" s="148"/>
      <c r="N759" s="77"/>
    </row>
    <row r="760">
      <c r="M760" s="148"/>
      <c r="N760" s="77"/>
    </row>
    <row r="761">
      <c r="M761" s="148"/>
      <c r="N761" s="77"/>
    </row>
    <row r="762">
      <c r="M762" s="148"/>
      <c r="N762" s="77"/>
    </row>
    <row r="763">
      <c r="M763" s="148"/>
      <c r="N763" s="77"/>
    </row>
    <row r="764">
      <c r="M764" s="148"/>
      <c r="N764" s="77"/>
    </row>
    <row r="765">
      <c r="M765" s="148"/>
      <c r="N765" s="77"/>
    </row>
    <row r="766">
      <c r="M766" s="148"/>
      <c r="N766" s="77"/>
    </row>
    <row r="767">
      <c r="M767" s="148"/>
      <c r="N767" s="77"/>
    </row>
    <row r="768">
      <c r="M768" s="148"/>
      <c r="N768" s="77"/>
    </row>
    <row r="769">
      <c r="M769" s="148"/>
      <c r="N769" s="77"/>
    </row>
    <row r="770">
      <c r="M770" s="148"/>
      <c r="N770" s="77"/>
    </row>
    <row r="771">
      <c r="M771" s="148"/>
      <c r="N771" s="77"/>
    </row>
    <row r="772">
      <c r="M772" s="148"/>
      <c r="N772" s="77"/>
    </row>
    <row r="773">
      <c r="M773" s="148"/>
      <c r="N773" s="77"/>
    </row>
    <row r="774">
      <c r="M774" s="148"/>
      <c r="N774" s="77"/>
    </row>
    <row r="775">
      <c r="M775" s="148"/>
      <c r="N775" s="77"/>
    </row>
    <row r="776">
      <c r="M776" s="148"/>
      <c r="N776" s="77"/>
    </row>
    <row r="777">
      <c r="M777" s="148"/>
      <c r="N777" s="77"/>
    </row>
    <row r="778">
      <c r="M778" s="148"/>
      <c r="N778" s="77"/>
    </row>
    <row r="779">
      <c r="M779" s="148"/>
      <c r="N779" s="77"/>
    </row>
    <row r="780">
      <c r="M780" s="148"/>
      <c r="N780" s="77"/>
    </row>
    <row r="781">
      <c r="M781" s="148"/>
      <c r="N781" s="77"/>
    </row>
    <row r="782">
      <c r="M782" s="148"/>
      <c r="N782" s="77"/>
    </row>
    <row r="783">
      <c r="M783" s="148"/>
      <c r="N783" s="77"/>
    </row>
    <row r="784">
      <c r="M784" s="148"/>
      <c r="N784" s="77"/>
    </row>
    <row r="785">
      <c r="M785" s="148"/>
      <c r="N785" s="77"/>
    </row>
    <row r="786">
      <c r="M786" s="148"/>
      <c r="N786" s="77"/>
    </row>
    <row r="787">
      <c r="M787" s="148"/>
      <c r="N787" s="77"/>
    </row>
    <row r="788">
      <c r="M788" s="148"/>
      <c r="N788" s="77"/>
    </row>
    <row r="789">
      <c r="M789" s="148"/>
      <c r="N789" s="77"/>
    </row>
    <row r="790">
      <c r="M790" s="148"/>
      <c r="N790" s="77"/>
    </row>
    <row r="791">
      <c r="M791" s="148"/>
      <c r="N791" s="77"/>
    </row>
    <row r="792">
      <c r="M792" s="148"/>
      <c r="N792" s="77"/>
    </row>
    <row r="793">
      <c r="M793" s="148"/>
      <c r="N793" s="77"/>
    </row>
    <row r="794">
      <c r="M794" s="148"/>
      <c r="N794" s="77"/>
    </row>
    <row r="795">
      <c r="M795" s="148"/>
      <c r="N795" s="77"/>
    </row>
    <row r="796">
      <c r="M796" s="148"/>
      <c r="N796" s="77"/>
    </row>
    <row r="797">
      <c r="M797" s="148"/>
      <c r="N797" s="77"/>
    </row>
    <row r="798">
      <c r="M798" s="148"/>
      <c r="N798" s="77"/>
    </row>
    <row r="799">
      <c r="M799" s="148"/>
      <c r="N799" s="77"/>
    </row>
    <row r="800">
      <c r="M800" s="148"/>
      <c r="N800" s="77"/>
    </row>
    <row r="801">
      <c r="M801" s="148"/>
      <c r="N801" s="77"/>
    </row>
    <row r="802">
      <c r="M802" s="148"/>
      <c r="N802" s="77"/>
    </row>
    <row r="803">
      <c r="M803" s="148"/>
      <c r="N803" s="77"/>
    </row>
    <row r="804">
      <c r="M804" s="148"/>
      <c r="N804" s="77"/>
    </row>
    <row r="805">
      <c r="M805" s="148"/>
      <c r="N805" s="77"/>
    </row>
    <row r="806">
      <c r="M806" s="148"/>
      <c r="N806" s="77"/>
    </row>
    <row r="807">
      <c r="M807" s="148"/>
      <c r="N807" s="77"/>
    </row>
    <row r="808">
      <c r="M808" s="148"/>
      <c r="N808" s="77"/>
    </row>
    <row r="809">
      <c r="M809" s="148"/>
      <c r="N809" s="77"/>
    </row>
    <row r="810">
      <c r="M810" s="148"/>
      <c r="N810" s="77"/>
    </row>
    <row r="811">
      <c r="M811" s="148"/>
      <c r="N811" s="77"/>
    </row>
    <row r="812">
      <c r="M812" s="148"/>
      <c r="N812" s="77"/>
    </row>
    <row r="813">
      <c r="M813" s="148"/>
      <c r="N813" s="77"/>
    </row>
    <row r="814">
      <c r="M814" s="148"/>
      <c r="N814" s="77"/>
    </row>
    <row r="815">
      <c r="M815" s="148"/>
      <c r="N815" s="77"/>
    </row>
    <row r="816">
      <c r="M816" s="148"/>
      <c r="N816" s="77"/>
    </row>
    <row r="817">
      <c r="M817" s="148"/>
      <c r="N817" s="77"/>
    </row>
    <row r="818">
      <c r="M818" s="148"/>
      <c r="N818" s="77"/>
    </row>
    <row r="819">
      <c r="M819" s="148"/>
      <c r="N819" s="77"/>
    </row>
    <row r="820">
      <c r="M820" s="148"/>
      <c r="N820" s="77"/>
    </row>
    <row r="821">
      <c r="M821" s="148"/>
      <c r="N821" s="77"/>
    </row>
    <row r="822">
      <c r="M822" s="148"/>
      <c r="N822" s="77"/>
    </row>
    <row r="823">
      <c r="M823" s="148"/>
      <c r="N823" s="77"/>
    </row>
    <row r="824">
      <c r="M824" s="148"/>
      <c r="N824" s="77"/>
    </row>
    <row r="825">
      <c r="M825" s="148"/>
      <c r="N825" s="77"/>
    </row>
    <row r="826">
      <c r="M826" s="148"/>
      <c r="N826" s="77"/>
    </row>
    <row r="827">
      <c r="M827" s="148"/>
      <c r="N827" s="77"/>
    </row>
    <row r="828">
      <c r="M828" s="148"/>
      <c r="N828" s="77"/>
    </row>
    <row r="829">
      <c r="M829" s="148"/>
      <c r="N829" s="77"/>
    </row>
    <row r="830">
      <c r="M830" s="148"/>
      <c r="N830" s="77"/>
    </row>
    <row r="831">
      <c r="M831" s="148"/>
      <c r="N831" s="77"/>
    </row>
    <row r="832">
      <c r="M832" s="148"/>
      <c r="N832" s="77"/>
    </row>
    <row r="833">
      <c r="M833" s="148"/>
      <c r="N833" s="77"/>
    </row>
    <row r="834">
      <c r="M834" s="148"/>
      <c r="N834" s="77"/>
    </row>
    <row r="835">
      <c r="M835" s="148"/>
      <c r="N835" s="77"/>
    </row>
    <row r="836">
      <c r="M836" s="148"/>
      <c r="N836" s="77"/>
    </row>
    <row r="837">
      <c r="M837" s="148"/>
      <c r="N837" s="77"/>
    </row>
    <row r="838">
      <c r="M838" s="148"/>
      <c r="N838" s="77"/>
    </row>
    <row r="839">
      <c r="M839" s="148"/>
      <c r="N839" s="77"/>
    </row>
    <row r="840">
      <c r="M840" s="148"/>
      <c r="N840" s="77"/>
    </row>
    <row r="841">
      <c r="M841" s="148"/>
      <c r="N841" s="77"/>
    </row>
    <row r="842">
      <c r="M842" s="148"/>
      <c r="N842" s="77"/>
    </row>
    <row r="843">
      <c r="M843" s="148"/>
      <c r="N843" s="77"/>
    </row>
    <row r="844">
      <c r="M844" s="148"/>
      <c r="N844" s="77"/>
    </row>
    <row r="845">
      <c r="M845" s="148"/>
      <c r="N845" s="77"/>
    </row>
    <row r="846">
      <c r="M846" s="148"/>
      <c r="N846" s="77"/>
    </row>
    <row r="847">
      <c r="M847" s="148"/>
      <c r="N847" s="77"/>
    </row>
    <row r="848">
      <c r="M848" s="148"/>
      <c r="N848" s="77"/>
    </row>
    <row r="849">
      <c r="M849" s="148"/>
      <c r="N849" s="77"/>
    </row>
    <row r="850">
      <c r="M850" s="148"/>
      <c r="N850" s="77"/>
    </row>
    <row r="851">
      <c r="M851" s="148"/>
      <c r="N851" s="77"/>
    </row>
    <row r="852">
      <c r="M852" s="148"/>
      <c r="N852" s="77"/>
    </row>
    <row r="853">
      <c r="M853" s="148"/>
      <c r="N853" s="77"/>
    </row>
    <row r="854">
      <c r="M854" s="148"/>
      <c r="N854" s="77"/>
    </row>
    <row r="855">
      <c r="M855" s="148"/>
      <c r="N855" s="77"/>
    </row>
    <row r="856">
      <c r="M856" s="148"/>
      <c r="N856" s="77"/>
    </row>
    <row r="857">
      <c r="M857" s="148"/>
      <c r="N857" s="77"/>
    </row>
    <row r="858">
      <c r="M858" s="148"/>
      <c r="N858" s="77"/>
    </row>
    <row r="859">
      <c r="M859" s="148"/>
      <c r="N859" s="77"/>
    </row>
    <row r="860">
      <c r="M860" s="148"/>
      <c r="N860" s="77"/>
    </row>
    <row r="861">
      <c r="M861" s="148"/>
      <c r="N861" s="77"/>
    </row>
    <row r="862">
      <c r="M862" s="148"/>
      <c r="N862" s="77"/>
    </row>
    <row r="863">
      <c r="M863" s="148"/>
      <c r="N863" s="77"/>
    </row>
    <row r="864">
      <c r="M864" s="148"/>
      <c r="N864" s="77"/>
    </row>
    <row r="865">
      <c r="M865" s="148"/>
      <c r="N865" s="77"/>
    </row>
    <row r="866">
      <c r="M866" s="148"/>
      <c r="N866" s="77"/>
    </row>
    <row r="867">
      <c r="M867" s="148"/>
      <c r="N867" s="77"/>
    </row>
    <row r="868">
      <c r="M868" s="148"/>
      <c r="N868" s="77"/>
    </row>
    <row r="869">
      <c r="M869" s="148"/>
      <c r="N869" s="77"/>
    </row>
    <row r="870">
      <c r="M870" s="148"/>
      <c r="N870" s="77"/>
    </row>
    <row r="871">
      <c r="M871" s="148"/>
      <c r="N871" s="77"/>
    </row>
    <row r="872">
      <c r="M872" s="148"/>
      <c r="N872" s="77"/>
    </row>
    <row r="873">
      <c r="M873" s="148"/>
      <c r="N873" s="77"/>
    </row>
    <row r="874">
      <c r="M874" s="148"/>
      <c r="N874" s="77"/>
    </row>
    <row r="875">
      <c r="M875" s="148"/>
      <c r="N875" s="77"/>
    </row>
    <row r="876">
      <c r="M876" s="148"/>
      <c r="N876" s="77"/>
    </row>
    <row r="877">
      <c r="M877" s="148"/>
      <c r="N877" s="77"/>
    </row>
    <row r="878">
      <c r="M878" s="148"/>
      <c r="N878" s="77"/>
    </row>
    <row r="879">
      <c r="M879" s="148"/>
      <c r="N879" s="77"/>
    </row>
    <row r="880">
      <c r="M880" s="148"/>
      <c r="N880" s="77"/>
    </row>
    <row r="881">
      <c r="M881" s="148"/>
      <c r="N881" s="77"/>
    </row>
    <row r="882">
      <c r="M882" s="148"/>
      <c r="N882" s="77"/>
    </row>
    <row r="883">
      <c r="M883" s="148"/>
      <c r="N883" s="77"/>
    </row>
    <row r="884">
      <c r="M884" s="148"/>
      <c r="N884" s="77"/>
    </row>
    <row r="885">
      <c r="M885" s="148"/>
      <c r="N885" s="77"/>
    </row>
    <row r="886">
      <c r="M886" s="148"/>
      <c r="N886" s="77"/>
    </row>
    <row r="887">
      <c r="M887" s="148"/>
      <c r="N887" s="77"/>
    </row>
    <row r="888">
      <c r="M888" s="148"/>
      <c r="N888" s="77"/>
    </row>
    <row r="889">
      <c r="M889" s="148"/>
      <c r="N889" s="77"/>
    </row>
    <row r="890">
      <c r="M890" s="148"/>
      <c r="N890" s="77"/>
    </row>
    <row r="891">
      <c r="M891" s="148"/>
      <c r="N891" s="77"/>
    </row>
    <row r="892">
      <c r="M892" s="148"/>
      <c r="N892" s="77"/>
    </row>
    <row r="893">
      <c r="M893" s="148"/>
      <c r="N893" s="77"/>
    </row>
    <row r="894">
      <c r="M894" s="148"/>
      <c r="N894" s="77"/>
    </row>
    <row r="895">
      <c r="M895" s="148"/>
      <c r="N895" s="77"/>
    </row>
    <row r="896">
      <c r="M896" s="148"/>
      <c r="N896" s="77"/>
    </row>
    <row r="897">
      <c r="M897" s="148"/>
      <c r="N897" s="77"/>
    </row>
    <row r="898">
      <c r="M898" s="148"/>
      <c r="N898" s="77"/>
    </row>
    <row r="899">
      <c r="M899" s="148"/>
      <c r="N899" s="77"/>
    </row>
    <row r="900">
      <c r="M900" s="148"/>
      <c r="N900" s="77"/>
    </row>
    <row r="901">
      <c r="M901" s="148"/>
      <c r="N901" s="77"/>
    </row>
    <row r="902">
      <c r="M902" s="148"/>
      <c r="N902" s="77"/>
    </row>
    <row r="903">
      <c r="M903" s="148"/>
      <c r="N903" s="77"/>
    </row>
    <row r="904">
      <c r="M904" s="148"/>
      <c r="N904" s="77"/>
    </row>
    <row r="905">
      <c r="M905" s="148"/>
      <c r="N905" s="77"/>
    </row>
    <row r="906">
      <c r="M906" s="148"/>
      <c r="N906" s="77"/>
    </row>
    <row r="907">
      <c r="M907" s="148"/>
      <c r="N907" s="77"/>
    </row>
    <row r="908">
      <c r="M908" s="148"/>
      <c r="N908" s="77"/>
    </row>
    <row r="909">
      <c r="M909" s="148"/>
      <c r="N909" s="77"/>
    </row>
    <row r="910">
      <c r="M910" s="148"/>
      <c r="N910" s="77"/>
    </row>
    <row r="911">
      <c r="M911" s="148"/>
      <c r="N911" s="77"/>
    </row>
    <row r="912">
      <c r="M912" s="148"/>
      <c r="N912" s="77"/>
    </row>
    <row r="913">
      <c r="M913" s="148"/>
      <c r="N913" s="77"/>
    </row>
    <row r="914">
      <c r="M914" s="148"/>
      <c r="N914" s="77"/>
    </row>
    <row r="915">
      <c r="M915" s="148"/>
      <c r="N915" s="77"/>
    </row>
    <row r="916">
      <c r="M916" s="148"/>
      <c r="N916" s="77"/>
    </row>
    <row r="917">
      <c r="M917" s="148"/>
      <c r="N917" s="77"/>
    </row>
    <row r="918">
      <c r="M918" s="148"/>
      <c r="N918" s="77"/>
    </row>
    <row r="919">
      <c r="M919" s="148"/>
      <c r="N919" s="77"/>
    </row>
    <row r="920">
      <c r="M920" s="148"/>
      <c r="N920" s="77"/>
    </row>
    <row r="921">
      <c r="M921" s="148"/>
      <c r="N921" s="77"/>
    </row>
    <row r="922">
      <c r="M922" s="148"/>
      <c r="N922" s="77"/>
    </row>
    <row r="923">
      <c r="M923" s="148"/>
      <c r="N923" s="77"/>
    </row>
    <row r="924">
      <c r="M924" s="148"/>
      <c r="N924" s="77"/>
    </row>
    <row r="925">
      <c r="M925" s="148"/>
      <c r="N925" s="77"/>
    </row>
    <row r="926">
      <c r="M926" s="148"/>
      <c r="N926" s="77"/>
    </row>
    <row r="927">
      <c r="M927" s="148"/>
      <c r="N927" s="77"/>
    </row>
    <row r="928">
      <c r="M928" s="148"/>
      <c r="N928" s="77"/>
    </row>
    <row r="929">
      <c r="M929" s="148"/>
      <c r="N929" s="77"/>
    </row>
    <row r="930">
      <c r="M930" s="148"/>
      <c r="N930" s="77"/>
    </row>
    <row r="931">
      <c r="M931" s="148"/>
      <c r="N931" s="77"/>
    </row>
    <row r="932">
      <c r="M932" s="148"/>
      <c r="N932" s="77"/>
    </row>
    <row r="933">
      <c r="M933" s="148"/>
      <c r="N933" s="77"/>
    </row>
    <row r="934">
      <c r="M934" s="148"/>
      <c r="N934" s="77"/>
    </row>
    <row r="935">
      <c r="M935" s="148"/>
      <c r="N935" s="77"/>
    </row>
    <row r="936">
      <c r="M936" s="148"/>
      <c r="N936" s="77"/>
    </row>
    <row r="937">
      <c r="M937" s="148"/>
      <c r="N937" s="77"/>
    </row>
    <row r="938">
      <c r="M938" s="148"/>
      <c r="N938" s="77"/>
    </row>
    <row r="939">
      <c r="M939" s="148"/>
      <c r="N939" s="77"/>
    </row>
    <row r="940">
      <c r="M940" s="148"/>
      <c r="N940" s="77"/>
    </row>
    <row r="941">
      <c r="M941" s="148"/>
      <c r="N941" s="77"/>
    </row>
    <row r="942">
      <c r="M942" s="148"/>
      <c r="N942" s="77"/>
    </row>
    <row r="943">
      <c r="M943" s="148"/>
      <c r="N943" s="77"/>
    </row>
    <row r="944">
      <c r="M944" s="148"/>
      <c r="N944" s="77"/>
    </row>
    <row r="945">
      <c r="M945" s="148"/>
      <c r="N945" s="77"/>
    </row>
    <row r="946">
      <c r="M946" s="148"/>
      <c r="N946" s="77"/>
    </row>
    <row r="947">
      <c r="M947" s="148"/>
      <c r="N947" s="77"/>
    </row>
    <row r="948">
      <c r="M948" s="148"/>
      <c r="N948" s="77"/>
    </row>
    <row r="949">
      <c r="M949" s="148"/>
      <c r="N949" s="77"/>
    </row>
    <row r="950">
      <c r="M950" s="148"/>
      <c r="N950" s="77"/>
    </row>
    <row r="951">
      <c r="M951" s="148"/>
      <c r="N951" s="77"/>
    </row>
    <row r="952">
      <c r="M952" s="148"/>
      <c r="N952" s="77"/>
    </row>
    <row r="953">
      <c r="M953" s="148"/>
      <c r="N953" s="77"/>
    </row>
    <row r="954">
      <c r="M954" s="148"/>
      <c r="N954" s="77"/>
    </row>
    <row r="955">
      <c r="M955" s="148"/>
      <c r="N955" s="77"/>
    </row>
    <row r="956">
      <c r="M956" s="148"/>
      <c r="N956" s="77"/>
    </row>
    <row r="957">
      <c r="M957" s="148"/>
      <c r="N957" s="77"/>
    </row>
    <row r="958">
      <c r="M958" s="148"/>
      <c r="N958" s="77"/>
    </row>
    <row r="959">
      <c r="M959" s="148"/>
      <c r="N959" s="77"/>
    </row>
    <row r="960">
      <c r="M960" s="148"/>
      <c r="N960" s="77"/>
    </row>
    <row r="961">
      <c r="M961" s="148"/>
      <c r="N961" s="77"/>
    </row>
    <row r="962">
      <c r="M962" s="148"/>
      <c r="N962" s="77"/>
    </row>
    <row r="963">
      <c r="M963" s="148"/>
      <c r="N963" s="77"/>
    </row>
    <row r="964">
      <c r="M964" s="148"/>
      <c r="N964" s="77"/>
    </row>
    <row r="965">
      <c r="M965" s="148"/>
      <c r="N965" s="77"/>
    </row>
    <row r="966">
      <c r="M966" s="148"/>
      <c r="N966" s="77"/>
    </row>
    <row r="967">
      <c r="M967" s="148"/>
      <c r="N967" s="77"/>
    </row>
    <row r="968">
      <c r="M968" s="148"/>
      <c r="N968" s="77"/>
    </row>
    <row r="969">
      <c r="M969" s="148"/>
      <c r="N969" s="77"/>
    </row>
    <row r="970">
      <c r="M970" s="148"/>
      <c r="N970" s="77"/>
    </row>
    <row r="971">
      <c r="M971" s="148"/>
      <c r="N971" s="77"/>
    </row>
    <row r="972">
      <c r="M972" s="148"/>
      <c r="N972" s="77"/>
    </row>
    <row r="973">
      <c r="M973" s="148"/>
      <c r="N973" s="77"/>
    </row>
    <row r="974">
      <c r="M974" s="148"/>
      <c r="N974" s="77"/>
    </row>
    <row r="975">
      <c r="M975" s="148"/>
      <c r="N975" s="77"/>
    </row>
    <row r="976">
      <c r="M976" s="148"/>
      <c r="N976" s="77"/>
    </row>
    <row r="977">
      <c r="M977" s="148"/>
      <c r="N977" s="77"/>
    </row>
    <row r="978">
      <c r="M978" s="148"/>
      <c r="N978" s="77"/>
    </row>
    <row r="979">
      <c r="M979" s="148"/>
      <c r="N979" s="77"/>
    </row>
    <row r="980">
      <c r="M980" s="148"/>
      <c r="N980" s="77"/>
    </row>
    <row r="981">
      <c r="M981" s="148"/>
      <c r="N981" s="77"/>
    </row>
    <row r="982">
      <c r="M982" s="148"/>
      <c r="N982" s="77"/>
    </row>
    <row r="983">
      <c r="M983" s="148"/>
      <c r="N983" s="77"/>
    </row>
    <row r="984">
      <c r="M984" s="148"/>
      <c r="N984" s="77"/>
    </row>
    <row r="985">
      <c r="M985" s="148"/>
      <c r="N985" s="77"/>
    </row>
    <row r="986">
      <c r="M986" s="148"/>
      <c r="N986" s="77"/>
    </row>
    <row r="987">
      <c r="M987" s="148"/>
      <c r="N987" s="77"/>
    </row>
    <row r="988">
      <c r="M988" s="148"/>
      <c r="N988" s="77"/>
    </row>
    <row r="989">
      <c r="M989" s="148"/>
      <c r="N989" s="77"/>
    </row>
    <row r="990">
      <c r="M990" s="148"/>
      <c r="N990" s="77"/>
    </row>
    <row r="991">
      <c r="M991" s="148"/>
      <c r="N991" s="77"/>
    </row>
    <row r="992">
      <c r="M992" s="148"/>
      <c r="N992" s="77"/>
    </row>
    <row r="993">
      <c r="M993" s="148"/>
      <c r="N993" s="77"/>
    </row>
    <row r="994">
      <c r="M994" s="148"/>
      <c r="N994" s="77"/>
    </row>
    <row r="995">
      <c r="M995" s="148"/>
      <c r="N995" s="77"/>
    </row>
  </sheetData>
  <dataValidations>
    <dataValidation type="list" allowBlank="1" showErrorMessage="1" sqref="P2:P351">
      <formula1>"FMG Cabinet,WFH,IT Area,Mezzanine,Transferred,Deployed Onsite,C3-6 2nd floor,IT storage"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49">
        <v>46076.616780219905</v>
      </c>
      <c r="B1" s="150" t="s">
        <v>3522</v>
      </c>
      <c r="C1" s="150" t="s">
        <v>3523</v>
      </c>
      <c r="D1" s="150" t="s">
        <v>3524</v>
      </c>
      <c r="E1" s="150" t="s">
        <v>3525</v>
      </c>
      <c r="F1" s="150" t="s">
        <v>3526</v>
      </c>
    </row>
    <row r="2">
      <c r="A2" s="151">
        <v>46076.6167817824</v>
      </c>
      <c r="B2" s="152" t="s">
        <v>3522</v>
      </c>
      <c r="C2" s="152" t="s">
        <v>3523</v>
      </c>
      <c r="D2" s="152" t="s">
        <v>3524</v>
      </c>
      <c r="E2" s="152" t="s">
        <v>3525</v>
      </c>
      <c r="F2" s="152" t="s">
        <v>3526</v>
      </c>
    </row>
    <row r="3">
      <c r="A3" s="149">
        <v>46076.621393657406</v>
      </c>
      <c r="B3" s="152" t="s">
        <v>3522</v>
      </c>
      <c r="C3" s="152" t="s">
        <v>3523</v>
      </c>
      <c r="D3" s="152" t="s">
        <v>3527</v>
      </c>
      <c r="E3" s="152">
        <v>43571.0</v>
      </c>
      <c r="F3" s="152" t="s">
        <v>3526</v>
      </c>
    </row>
    <row r="4">
      <c r="A4" s="151">
        <v>46076.62140321759</v>
      </c>
      <c r="B4" s="152" t="s">
        <v>3522</v>
      </c>
      <c r="C4" s="152" t="s">
        <v>3523</v>
      </c>
      <c r="D4" s="152" t="s">
        <v>3527</v>
      </c>
      <c r="E4" s="152">
        <v>43571.0</v>
      </c>
      <c r="F4" s="152" t="s">
        <v>3526</v>
      </c>
    </row>
    <row r="5">
      <c r="A5" s="151">
        <v>46076.62612375</v>
      </c>
      <c r="B5" s="152" t="s">
        <v>3522</v>
      </c>
      <c r="C5" s="152" t="s">
        <v>3523</v>
      </c>
      <c r="D5" s="152" t="s">
        <v>3528</v>
      </c>
      <c r="E5" s="152" t="s">
        <v>3529</v>
      </c>
      <c r="F5" s="153">
        <f t="shared" ref="F5:F6" si="1">YEARFRAC(5/28/2027, TODAY())</f>
        <v>126.2</v>
      </c>
    </row>
    <row r="6">
      <c r="A6" s="151">
        <v>46076.62614230324</v>
      </c>
      <c r="B6" s="152" t="s">
        <v>3522</v>
      </c>
      <c r="C6" s="152" t="s">
        <v>3523</v>
      </c>
      <c r="D6" s="152" t="s">
        <v>3528</v>
      </c>
      <c r="E6" s="152" t="s">
        <v>3529</v>
      </c>
      <c r="F6" s="153">
        <f t="shared" si="1"/>
        <v>126.2</v>
      </c>
    </row>
    <row r="7">
      <c r="A7" s="151">
        <v>46076.626809375</v>
      </c>
      <c r="B7" s="152" t="s">
        <v>3522</v>
      </c>
      <c r="C7" s="152" t="s">
        <v>3523</v>
      </c>
      <c r="D7" s="152" t="s">
        <v>3528</v>
      </c>
      <c r="E7" s="152">
        <v>126.147222222222</v>
      </c>
      <c r="F7" s="153">
        <f>YEARFRAC(M23, TODAY())</f>
        <v>126.2</v>
      </c>
    </row>
    <row r="8">
      <c r="A8" s="151">
        <v>46076.6268128588</v>
      </c>
      <c r="B8" s="152" t="s">
        <v>3522</v>
      </c>
      <c r="C8" s="152" t="s">
        <v>3523</v>
      </c>
      <c r="D8" s="152" t="s">
        <v>3528</v>
      </c>
      <c r="E8" s="152">
        <v>126.147222222222</v>
      </c>
      <c r="F8" s="153">
        <f>YEARFRAC(M23, TODAY())</f>
        <v>126.2</v>
      </c>
    </row>
    <row r="9">
      <c r="A9" s="151">
        <v>46076.62932556713</v>
      </c>
      <c r="B9" s="152" t="s">
        <v>3522</v>
      </c>
      <c r="C9" s="152" t="s">
        <v>3530</v>
      </c>
      <c r="D9" s="152" t="s">
        <v>3531</v>
      </c>
      <c r="E9" s="152" t="s">
        <v>3525</v>
      </c>
      <c r="F9" s="152" t="s">
        <v>3526</v>
      </c>
    </row>
    <row r="10">
      <c r="A10" s="151">
        <v>46076.629326863425</v>
      </c>
      <c r="B10" s="152" t="s">
        <v>3522</v>
      </c>
      <c r="C10" s="152" t="s">
        <v>3530</v>
      </c>
      <c r="D10" s="152" t="s">
        <v>3531</v>
      </c>
      <c r="E10" s="152" t="s">
        <v>3525</v>
      </c>
      <c r="F10" s="152" t="s">
        <v>3526</v>
      </c>
    </row>
    <row r="11">
      <c r="A11" s="151">
        <v>46076.62948202546</v>
      </c>
      <c r="B11" s="152" t="s">
        <v>3522</v>
      </c>
      <c r="C11" s="152" t="s">
        <v>3530</v>
      </c>
      <c r="D11" s="152" t="s">
        <v>3531</v>
      </c>
      <c r="E11" s="152" t="s">
        <v>3532</v>
      </c>
      <c r="F11" s="153">
        <f>DATEDIF(M11, TODAY(), "Y")</f>
        <v>126</v>
      </c>
    </row>
    <row r="12">
      <c r="A12" s="151">
        <v>46076.62948263889</v>
      </c>
      <c r="B12" s="152" t="s">
        <v>3522</v>
      </c>
      <c r="C12" s="152" t="s">
        <v>3530</v>
      </c>
      <c r="D12" s="152" t="s">
        <v>3531</v>
      </c>
      <c r="E12" s="152" t="s">
        <v>3532</v>
      </c>
      <c r="F12" s="153">
        <f>DATEDIF(M11, TODAY(), "Y")</f>
        <v>126</v>
      </c>
    </row>
    <row r="13">
      <c r="A13" s="151">
        <v>46076.63044922454</v>
      </c>
      <c r="B13" s="152" t="s">
        <v>3522</v>
      </c>
      <c r="C13" s="152" t="s">
        <v>3530</v>
      </c>
      <c r="D13" s="152" t="s">
        <v>3531</v>
      </c>
      <c r="E13" s="152" t="s">
        <v>3533</v>
      </c>
      <c r="F13" s="153">
        <f>YEAR(TODAY())-YEAR(M11)</f>
        <v>127</v>
      </c>
    </row>
    <row r="14">
      <c r="A14" s="151">
        <v>46076.63044956018</v>
      </c>
      <c r="B14" s="152" t="s">
        <v>3522</v>
      </c>
      <c r="C14" s="152" t="s">
        <v>3530</v>
      </c>
      <c r="D14" s="152" t="s">
        <v>3531</v>
      </c>
      <c r="E14" s="152" t="s">
        <v>3533</v>
      </c>
      <c r="F14" s="153">
        <f>YEAR(TODAY())-YEAR(M11)</f>
        <v>127</v>
      </c>
    </row>
    <row r="15">
      <c r="A15" s="151">
        <v>46076.63048050926</v>
      </c>
      <c r="B15" s="152" t="s">
        <v>3522</v>
      </c>
      <c r="C15" s="152" t="s">
        <v>3530</v>
      </c>
      <c r="D15" s="152" t="s">
        <v>3531</v>
      </c>
      <c r="E15" s="152" t="s">
        <v>3525</v>
      </c>
      <c r="F15" s="152" t="s">
        <v>3526</v>
      </c>
    </row>
    <row r="16">
      <c r="A16" s="151">
        <v>46076.63047880787</v>
      </c>
      <c r="B16" s="152" t="s">
        <v>3522</v>
      </c>
      <c r="C16" s="152" t="s">
        <v>3530</v>
      </c>
      <c r="D16" s="152" t="s">
        <v>3531</v>
      </c>
      <c r="E16" s="152" t="s">
        <v>3525</v>
      </c>
      <c r="F16" s="152" t="s">
        <v>3526</v>
      </c>
    </row>
    <row r="17">
      <c r="A17" s="151">
        <v>46076.63125796296</v>
      </c>
      <c r="B17" s="152" t="s">
        <v>3522</v>
      </c>
      <c r="C17" s="152" t="s">
        <v>3530</v>
      </c>
      <c r="D17" s="152" t="s">
        <v>3531</v>
      </c>
      <c r="E17" s="152" t="s">
        <v>3525</v>
      </c>
      <c r="F17" s="152" t="s">
        <v>3526</v>
      </c>
    </row>
    <row r="18">
      <c r="A18" s="151">
        <v>46076.631259120375</v>
      </c>
      <c r="B18" s="152" t="s">
        <v>3522</v>
      </c>
      <c r="C18" s="152" t="s">
        <v>3530</v>
      </c>
      <c r="D18" s="152" t="s">
        <v>3531</v>
      </c>
      <c r="E18" s="152" t="s">
        <v>3525</v>
      </c>
      <c r="F18" s="152" t="s">
        <v>3526</v>
      </c>
    </row>
    <row r="19">
      <c r="A19" s="151">
        <v>46076.63170622685</v>
      </c>
      <c r="B19" s="152" t="s">
        <v>3522</v>
      </c>
      <c r="C19" s="152" t="s">
        <v>3523</v>
      </c>
      <c r="D19" s="152" t="s">
        <v>3534</v>
      </c>
      <c r="E19" s="152">
        <v>10.0</v>
      </c>
      <c r="F19" s="153" t="str">
        <f>YEAR(TODAY()) - YEAR(DATEVALUE(N2))
</f>
        <v>#VALUE!</v>
      </c>
    </row>
    <row r="20">
      <c r="A20" s="151">
        <v>46076.631706817134</v>
      </c>
      <c r="B20" s="152" t="s">
        <v>3522</v>
      </c>
      <c r="C20" s="152" t="s">
        <v>3523</v>
      </c>
      <c r="D20" s="152" t="s">
        <v>3534</v>
      </c>
      <c r="E20" s="152">
        <v>10.0</v>
      </c>
      <c r="F20" s="153" t="str">
        <f>YEAR(TODAY()) - YEAR(DATEVALUE(N2))
</f>
        <v>#VALUE!</v>
      </c>
    </row>
    <row r="21">
      <c r="A21" s="151">
        <v>46076.631727002314</v>
      </c>
      <c r="B21" s="152" t="s">
        <v>3522</v>
      </c>
      <c r="C21" s="152" t="s">
        <v>3523</v>
      </c>
      <c r="D21" s="152" t="s">
        <v>3534</v>
      </c>
      <c r="E21" s="152" t="s">
        <v>3525</v>
      </c>
      <c r="F21" s="152" t="s">
        <v>3526</v>
      </c>
    </row>
    <row r="22">
      <c r="A22" s="151">
        <v>46076.63173412037</v>
      </c>
      <c r="B22" s="152" t="s">
        <v>3522</v>
      </c>
      <c r="C22" s="152" t="s">
        <v>3523</v>
      </c>
      <c r="D22" s="152" t="s">
        <v>3534</v>
      </c>
      <c r="E22" s="152" t="s">
        <v>3525</v>
      </c>
      <c r="F22" s="152" t="s">
        <v>3526</v>
      </c>
    </row>
    <row r="23">
      <c r="A23" s="151">
        <v>46076.63184091436</v>
      </c>
      <c r="B23" s="152" t="s">
        <v>3522</v>
      </c>
      <c r="C23" s="152" t="s">
        <v>3523</v>
      </c>
      <c r="D23" s="152" t="s">
        <v>3534</v>
      </c>
      <c r="E23" s="152">
        <v>10.0</v>
      </c>
      <c r="F23" s="153" t="str">
        <f>YEAR(TODAY()) - YEAR(DATEVALUE(L12))
</f>
        <v>#VALUE!</v>
      </c>
    </row>
    <row r="24">
      <c r="A24" s="151">
        <v>46076.63196200231</v>
      </c>
      <c r="B24" s="152" t="s">
        <v>3522</v>
      </c>
      <c r="C24" s="152" t="s">
        <v>3523</v>
      </c>
      <c r="D24" s="152" t="s">
        <v>3534</v>
      </c>
      <c r="E24" s="152" t="s">
        <v>3535</v>
      </c>
      <c r="F24" s="153" t="str">
        <f>YEAR(TODAY()) - YEAR(DATEVALUE(N2))
</f>
        <v>#VALUE!</v>
      </c>
    </row>
    <row r="25">
      <c r="A25" s="151">
        <v>46076.63198690972</v>
      </c>
      <c r="B25" s="152" t="s">
        <v>3522</v>
      </c>
      <c r="C25" s="152" t="s">
        <v>3523</v>
      </c>
      <c r="D25" s="152" t="s">
        <v>3534</v>
      </c>
      <c r="E25" s="152" t="s">
        <v>3535</v>
      </c>
      <c r="F25" s="153" t="str">
        <f>YEAR(TODAY()) - YEAR(DATEVALUE(N2))
</f>
        <v>#VALUE!</v>
      </c>
    </row>
    <row r="26">
      <c r="A26" s="151">
        <v>46076.63217819444</v>
      </c>
      <c r="B26" s="152" t="s">
        <v>3522</v>
      </c>
      <c r="C26" s="152" t="s">
        <v>3523</v>
      </c>
      <c r="D26" s="152" t="s">
        <v>3534</v>
      </c>
      <c r="E26" s="152" t="s">
        <v>3536</v>
      </c>
      <c r="F26" s="153" t="str">
        <f>YEAR(TODAY()) - YEAR(DATEVALUE(M2))
</f>
        <v>#VALUE!</v>
      </c>
    </row>
    <row r="27">
      <c r="A27" s="151">
        <v>46076.63217762731</v>
      </c>
      <c r="B27" s="152" t="s">
        <v>3522</v>
      </c>
      <c r="C27" s="152" t="s">
        <v>3523</v>
      </c>
      <c r="D27" s="152" t="s">
        <v>3534</v>
      </c>
      <c r="E27" s="152" t="s">
        <v>3536</v>
      </c>
      <c r="F27" s="153" t="str">
        <f>YEAR(TODAY()) - YEAR(DATEVALUE(M2))
</f>
        <v>#VALUE!</v>
      </c>
    </row>
    <row r="28">
      <c r="A28" s="151">
        <v>46076.63232023148</v>
      </c>
      <c r="B28" s="152" t="s">
        <v>3522</v>
      </c>
      <c r="C28" s="152" t="s">
        <v>3523</v>
      </c>
      <c r="D28" s="152" t="s">
        <v>3537</v>
      </c>
      <c r="E28" s="152" t="s">
        <v>3525</v>
      </c>
      <c r="F28" s="152" t="s">
        <v>3526</v>
      </c>
    </row>
    <row r="29">
      <c r="A29" s="151">
        <v>46076.63232133102</v>
      </c>
      <c r="B29" s="152" t="s">
        <v>3522</v>
      </c>
      <c r="C29" s="152" t="s">
        <v>3523</v>
      </c>
      <c r="D29" s="152" t="s">
        <v>3537</v>
      </c>
      <c r="E29" s="152" t="s">
        <v>3525</v>
      </c>
      <c r="F29" s="152" t="s">
        <v>3526</v>
      </c>
    </row>
    <row r="30">
      <c r="A30" s="151">
        <v>46076.632426620374</v>
      </c>
      <c r="B30" s="152" t="s">
        <v>3522</v>
      </c>
      <c r="C30" s="152" t="s">
        <v>3523</v>
      </c>
      <c r="D30" s="152" t="s">
        <v>3537</v>
      </c>
      <c r="E30" s="152" t="s">
        <v>3525</v>
      </c>
      <c r="F30" s="152" t="s">
        <v>3526</v>
      </c>
    </row>
    <row r="31">
      <c r="A31" s="151">
        <v>46076.6324284838</v>
      </c>
      <c r="B31" s="152" t="s">
        <v>3522</v>
      </c>
      <c r="C31" s="152" t="s">
        <v>3523</v>
      </c>
      <c r="D31" s="152" t="s">
        <v>3537</v>
      </c>
      <c r="E31" s="152" t="s">
        <v>3525</v>
      </c>
      <c r="F31" s="152" t="s">
        <v>3526</v>
      </c>
    </row>
    <row r="32">
      <c r="A32" s="151">
        <v>46076.63275613426</v>
      </c>
      <c r="B32" s="152" t="s">
        <v>3522</v>
      </c>
      <c r="C32" s="152" t="s">
        <v>3523</v>
      </c>
      <c r="D32" s="152" t="s">
        <v>3538</v>
      </c>
      <c r="E32" s="152" t="s">
        <v>3525</v>
      </c>
      <c r="F32" s="152" t="s">
        <v>3526</v>
      </c>
    </row>
    <row r="33">
      <c r="A33" s="151">
        <v>46076.632757025465</v>
      </c>
      <c r="B33" s="152" t="s">
        <v>3522</v>
      </c>
      <c r="C33" s="152" t="s">
        <v>3523</v>
      </c>
      <c r="D33" s="152" t="s">
        <v>3538</v>
      </c>
      <c r="E33" s="152" t="s">
        <v>3525</v>
      </c>
      <c r="F33" s="152" t="s">
        <v>3526</v>
      </c>
    </row>
    <row r="34">
      <c r="A34" s="151">
        <v>46076.633097604165</v>
      </c>
      <c r="B34" s="152" t="s">
        <v>3522</v>
      </c>
      <c r="C34" s="152" t="s">
        <v>3523</v>
      </c>
      <c r="D34" s="152" t="s">
        <v>3539</v>
      </c>
      <c r="E34" s="152" t="s">
        <v>3525</v>
      </c>
      <c r="F34" s="152" t="s">
        <v>3526</v>
      </c>
    </row>
    <row r="35">
      <c r="A35" s="151">
        <v>46076.633103726854</v>
      </c>
      <c r="B35" s="152" t="s">
        <v>3522</v>
      </c>
      <c r="C35" s="152" t="s">
        <v>3523</v>
      </c>
      <c r="D35" s="152" t="s">
        <v>3539</v>
      </c>
      <c r="E35" s="152" t="s">
        <v>3525</v>
      </c>
      <c r="F35" s="152" t="s">
        <v>3526</v>
      </c>
    </row>
    <row r="36">
      <c r="A36" s="151">
        <v>46076.63313847222</v>
      </c>
      <c r="B36" s="152" t="s">
        <v>3522</v>
      </c>
      <c r="C36" s="152" t="s">
        <v>3523</v>
      </c>
      <c r="D36" s="152" t="s">
        <v>3539</v>
      </c>
      <c r="E36" s="152" t="s">
        <v>3525</v>
      </c>
      <c r="F36" s="153" t="str">
        <f>YEAR(TODAY()) - YEAR(DATEVALUE(M23))
</f>
        <v>#VALUE!</v>
      </c>
    </row>
    <row r="37">
      <c r="A37" s="151">
        <v>46076.6331612963</v>
      </c>
      <c r="B37" s="152" t="s">
        <v>3522</v>
      </c>
      <c r="C37" s="152" t="s">
        <v>3523</v>
      </c>
      <c r="D37" s="152" t="s">
        <v>3539</v>
      </c>
      <c r="E37" s="152" t="s">
        <v>3525</v>
      </c>
      <c r="F37" s="153" t="str">
        <f>YEAR(TODAY()) - YEAR(DATEVALUE(M23))
</f>
        <v>#VALUE!</v>
      </c>
    </row>
    <row r="38">
      <c r="A38" s="151">
        <v>46076.63357263889</v>
      </c>
      <c r="B38" s="152" t="s">
        <v>3522</v>
      </c>
      <c r="C38" s="152" t="s">
        <v>3523</v>
      </c>
      <c r="D38" s="152" t="s">
        <v>3540</v>
      </c>
      <c r="E38" s="152" t="s">
        <v>3541</v>
      </c>
      <c r="F38" s="152" t="s">
        <v>3081</v>
      </c>
    </row>
    <row r="39">
      <c r="A39" s="151">
        <v>46076.63359809028</v>
      </c>
      <c r="B39" s="152" t="s">
        <v>3522</v>
      </c>
      <c r="C39" s="152" t="s">
        <v>3523</v>
      </c>
      <c r="D39" s="152" t="s">
        <v>3540</v>
      </c>
      <c r="E39" s="152" t="s">
        <v>3541</v>
      </c>
      <c r="F39" s="152" t="s">
        <v>3081</v>
      </c>
    </row>
    <row r="40">
      <c r="A40" s="151">
        <v>46076.63386037037</v>
      </c>
      <c r="B40" s="152" t="s">
        <v>3522</v>
      </c>
      <c r="C40" s="152" t="s">
        <v>3542</v>
      </c>
      <c r="D40" s="152" t="s">
        <v>3543</v>
      </c>
      <c r="E40" s="152" t="s">
        <v>3525</v>
      </c>
      <c r="F40" s="152" t="s">
        <v>3526</v>
      </c>
    </row>
    <row r="41">
      <c r="A41" s="151">
        <v>46076.63388297454</v>
      </c>
      <c r="B41" s="152" t="s">
        <v>3522</v>
      </c>
      <c r="C41" s="152" t="s">
        <v>3542</v>
      </c>
      <c r="D41" s="152" t="s">
        <v>3543</v>
      </c>
      <c r="E41" s="152" t="s">
        <v>3525</v>
      </c>
      <c r="F41" s="152" t="s">
        <v>3526</v>
      </c>
    </row>
    <row r="42">
      <c r="A42" s="151">
        <v>46076.63425833333</v>
      </c>
      <c r="B42" s="152" t="s">
        <v>3522</v>
      </c>
      <c r="C42" s="152" t="s">
        <v>3542</v>
      </c>
      <c r="D42" s="152" t="s">
        <v>3544</v>
      </c>
      <c r="E42" s="152" t="s">
        <v>3525</v>
      </c>
      <c r="F42" s="152" t="s">
        <v>3526</v>
      </c>
    </row>
    <row r="43">
      <c r="A43" s="151">
        <v>46076.63428283564</v>
      </c>
      <c r="B43" s="152" t="s">
        <v>3522</v>
      </c>
      <c r="C43" s="152" t="s">
        <v>3542</v>
      </c>
      <c r="D43" s="152" t="s">
        <v>3544</v>
      </c>
      <c r="E43" s="152" t="s">
        <v>3525</v>
      </c>
      <c r="F43" s="152" t="s">
        <v>3526</v>
      </c>
    </row>
    <row r="44">
      <c r="A44" s="151">
        <v>46076.659080150464</v>
      </c>
      <c r="B44" s="152" t="s">
        <v>3522</v>
      </c>
      <c r="C44" s="152" t="s">
        <v>3523</v>
      </c>
      <c r="D44" s="152" t="s">
        <v>3545</v>
      </c>
      <c r="E44" s="152" t="s">
        <v>2557</v>
      </c>
      <c r="F44" s="152" t="s">
        <v>3108</v>
      </c>
    </row>
    <row r="45">
      <c r="A45" s="151">
        <v>46076.66446782407</v>
      </c>
      <c r="B45" s="152" t="s">
        <v>3522</v>
      </c>
      <c r="C45" s="152" t="s">
        <v>3523</v>
      </c>
      <c r="D45" s="152" t="s">
        <v>3546</v>
      </c>
      <c r="E45" s="152" t="s">
        <v>3525</v>
      </c>
      <c r="F45" s="152" t="s">
        <v>3526</v>
      </c>
    </row>
    <row r="46">
      <c r="A46" s="151">
        <v>46076.66447674768</v>
      </c>
      <c r="B46" s="152" t="s">
        <v>3522</v>
      </c>
      <c r="C46" s="152" t="s">
        <v>2557</v>
      </c>
      <c r="D46" s="152" t="s">
        <v>3547</v>
      </c>
      <c r="E46" s="152" t="s">
        <v>3525</v>
      </c>
      <c r="F46" s="152" t="s">
        <v>3526</v>
      </c>
    </row>
    <row r="47">
      <c r="A47" s="151">
        <v>46076.66447844908</v>
      </c>
      <c r="B47" s="152" t="s">
        <v>3522</v>
      </c>
      <c r="C47" s="152" t="s">
        <v>2557</v>
      </c>
      <c r="D47" s="152" t="s">
        <v>3547</v>
      </c>
      <c r="E47" s="152" t="s">
        <v>3525</v>
      </c>
      <c r="F47" s="152" t="s">
        <v>3526</v>
      </c>
    </row>
    <row r="48">
      <c r="A48" s="151">
        <v>46076.66448979167</v>
      </c>
      <c r="B48" s="152" t="s">
        <v>3522</v>
      </c>
      <c r="C48" s="152" t="s">
        <v>3523</v>
      </c>
      <c r="D48" s="152" t="s">
        <v>3546</v>
      </c>
      <c r="E48" s="152" t="s">
        <v>3525</v>
      </c>
      <c r="F48" s="152" t="s">
        <v>3526</v>
      </c>
    </row>
    <row r="49">
      <c r="A49" s="151"/>
    </row>
    <row r="50">
      <c r="A50" s="151"/>
    </row>
    <row r="51">
      <c r="A51" s="151"/>
    </row>
    <row r="53">
      <c r="A53" s="151">
        <v>46076.665267557866</v>
      </c>
      <c r="B53" s="152" t="s">
        <v>3522</v>
      </c>
      <c r="C53" s="152" t="s">
        <v>3108</v>
      </c>
      <c r="D53" s="152" t="s">
        <v>3548</v>
      </c>
      <c r="E53" s="152" t="s">
        <v>3525</v>
      </c>
      <c r="F53" s="152" t="s">
        <v>3526</v>
      </c>
    </row>
    <row r="54">
      <c r="A54" s="151">
        <v>46076.66529047454</v>
      </c>
      <c r="B54" s="152" t="s">
        <v>3522</v>
      </c>
      <c r="C54" s="152" t="s">
        <v>3108</v>
      </c>
      <c r="D54" s="152" t="s">
        <v>3548</v>
      </c>
      <c r="E54" s="152" t="s">
        <v>3525</v>
      </c>
      <c r="F54" s="152" t="s">
        <v>3526</v>
      </c>
    </row>
    <row r="55">
      <c r="A55" s="151">
        <v>46076.66815766203</v>
      </c>
      <c r="B55" s="152" t="s">
        <v>3522</v>
      </c>
      <c r="C55" s="152" t="s">
        <v>3523</v>
      </c>
      <c r="D55" s="152" t="s">
        <v>3549</v>
      </c>
      <c r="E55" s="152" t="s">
        <v>3108</v>
      </c>
      <c r="F55" s="152" t="s">
        <v>2557</v>
      </c>
    </row>
    <row r="56">
      <c r="A56" s="151">
        <v>46076.66816035879</v>
      </c>
      <c r="B56" s="152" t="s">
        <v>3522</v>
      </c>
      <c r="C56" s="152" t="s">
        <v>3523</v>
      </c>
      <c r="D56" s="152" t="s">
        <v>3549</v>
      </c>
      <c r="E56" s="152" t="s">
        <v>3108</v>
      </c>
      <c r="F56" s="152" t="s">
        <v>2557</v>
      </c>
    </row>
    <row r="57">
      <c r="A57" s="151">
        <v>46076.672900300924</v>
      </c>
      <c r="B57" s="152" t="s">
        <v>3522</v>
      </c>
      <c r="C57" s="152" t="s">
        <v>2557</v>
      </c>
      <c r="D57" s="152" t="s">
        <v>3550</v>
      </c>
      <c r="E57" s="152" t="s">
        <v>2557</v>
      </c>
      <c r="F57" s="152" t="s">
        <v>3110</v>
      </c>
    </row>
    <row r="58">
      <c r="A58" s="151">
        <v>46076.67290539352</v>
      </c>
      <c r="B58" s="152" t="s">
        <v>3522</v>
      </c>
      <c r="C58" s="152" t="s">
        <v>2557</v>
      </c>
      <c r="D58" s="152" t="s">
        <v>3550</v>
      </c>
      <c r="E58" s="152" t="s">
        <v>2557</v>
      </c>
      <c r="F58" s="152" t="s">
        <v>3110</v>
      </c>
    </row>
    <row r="59">
      <c r="A59" s="151">
        <v>46076.67680960648</v>
      </c>
      <c r="B59" s="152" t="s">
        <v>3522</v>
      </c>
      <c r="C59" s="152" t="s">
        <v>2557</v>
      </c>
      <c r="D59" s="152" t="s">
        <v>3550</v>
      </c>
      <c r="E59" s="152" t="s">
        <v>3110</v>
      </c>
      <c r="F59" s="152" t="s">
        <v>3551</v>
      </c>
    </row>
    <row r="60">
      <c r="A60" s="151">
        <v>46076.676830798606</v>
      </c>
      <c r="B60" s="152" t="s">
        <v>3522</v>
      </c>
      <c r="C60" s="152" t="s">
        <v>2557</v>
      </c>
      <c r="D60" s="152" t="s">
        <v>3550</v>
      </c>
      <c r="E60" s="152" t="s">
        <v>3110</v>
      </c>
      <c r="F60" s="152" t="s">
        <v>3551</v>
      </c>
    </row>
    <row r="61">
      <c r="A61" s="151">
        <v>46076.67691243056</v>
      </c>
      <c r="B61" s="152" t="s">
        <v>3522</v>
      </c>
      <c r="C61" s="152" t="s">
        <v>2557</v>
      </c>
      <c r="D61" s="152" t="s">
        <v>3550</v>
      </c>
      <c r="E61" s="152" t="s">
        <v>3551</v>
      </c>
      <c r="F61" s="152" t="s">
        <v>2557</v>
      </c>
    </row>
    <row r="62">
      <c r="A62" s="151">
        <v>46076.676923425926</v>
      </c>
      <c r="B62" s="152" t="s">
        <v>3522</v>
      </c>
      <c r="C62" s="152" t="s">
        <v>2557</v>
      </c>
      <c r="D62" s="152" t="s">
        <v>3550</v>
      </c>
      <c r="E62" s="152" t="s">
        <v>3551</v>
      </c>
      <c r="F62" s="152" t="s">
        <v>2557</v>
      </c>
    </row>
    <row r="63">
      <c r="A63" s="151">
        <v>46076.677553368056</v>
      </c>
      <c r="B63" s="152" t="s">
        <v>3522</v>
      </c>
      <c r="C63" s="152" t="s">
        <v>3523</v>
      </c>
      <c r="D63" s="152" t="s">
        <v>3545</v>
      </c>
      <c r="E63" s="152" t="s">
        <v>2557</v>
      </c>
      <c r="F63" s="152" t="s">
        <v>3551</v>
      </c>
    </row>
    <row r="64">
      <c r="A64" s="151">
        <v>46076.67772762731</v>
      </c>
      <c r="B64" s="152" t="s">
        <v>3522</v>
      </c>
      <c r="C64" s="152" t="s">
        <v>3523</v>
      </c>
      <c r="D64" s="152" t="s">
        <v>3552</v>
      </c>
      <c r="E64" s="152" t="s">
        <v>3525</v>
      </c>
      <c r="F64" s="152" t="s">
        <v>3526</v>
      </c>
    </row>
    <row r="65">
      <c r="A65" s="151">
        <v>46076.6777319213</v>
      </c>
      <c r="B65" s="152" t="s">
        <v>3522</v>
      </c>
      <c r="C65" s="152" t="s">
        <v>3523</v>
      </c>
      <c r="D65" s="152" t="s">
        <v>3552</v>
      </c>
      <c r="E65" s="152" t="s">
        <v>3525</v>
      </c>
      <c r="F65" s="152" t="s">
        <v>3526</v>
      </c>
    </row>
    <row r="66">
      <c r="A66" s="151">
        <v>46076.677775902775</v>
      </c>
      <c r="B66" s="152" t="s">
        <v>3522</v>
      </c>
      <c r="C66" s="152" t="s">
        <v>3523</v>
      </c>
      <c r="D66" s="152" t="s">
        <v>3545</v>
      </c>
      <c r="E66" s="152" t="s">
        <v>3551</v>
      </c>
      <c r="F66" s="152" t="s">
        <v>2557</v>
      </c>
    </row>
    <row r="67">
      <c r="A67" s="151">
        <v>46076.67839722222</v>
      </c>
      <c r="B67" s="152" t="s">
        <v>3522</v>
      </c>
      <c r="C67" s="152" t="s">
        <v>3108</v>
      </c>
      <c r="D67" s="152" t="s">
        <v>3553</v>
      </c>
      <c r="E67" s="152" t="s">
        <v>3525</v>
      </c>
      <c r="F67" s="152" t="s">
        <v>3526</v>
      </c>
    </row>
    <row r="68">
      <c r="A68" s="151">
        <v>46076.67840122685</v>
      </c>
      <c r="B68" s="152" t="s">
        <v>3522</v>
      </c>
      <c r="C68" s="152" t="s">
        <v>3108</v>
      </c>
      <c r="D68" s="152" t="s">
        <v>3553</v>
      </c>
      <c r="E68" s="152" t="s">
        <v>3525</v>
      </c>
      <c r="F68" s="152" t="s">
        <v>3526</v>
      </c>
    </row>
    <row r="69">
      <c r="A69" s="151">
        <v>46076.67844372685</v>
      </c>
      <c r="B69" s="152" t="s">
        <v>3522</v>
      </c>
      <c r="C69" s="152" t="s">
        <v>3108</v>
      </c>
      <c r="D69" s="152" t="s">
        <v>3554</v>
      </c>
      <c r="E69" s="152" t="s">
        <v>3525</v>
      </c>
      <c r="F69" s="152" t="s">
        <v>3526</v>
      </c>
    </row>
    <row r="70">
      <c r="A70" s="151">
        <v>46076.678445717596</v>
      </c>
      <c r="B70" s="152" t="s">
        <v>3522</v>
      </c>
      <c r="C70" s="152" t="s">
        <v>3108</v>
      </c>
      <c r="D70" s="152" t="s">
        <v>3554</v>
      </c>
      <c r="E70" s="152" t="s">
        <v>3525</v>
      </c>
      <c r="F70" s="152" t="s">
        <v>3526</v>
      </c>
    </row>
    <row r="71">
      <c r="A71" s="151">
        <v>46076.67849769676</v>
      </c>
      <c r="B71" s="152" t="s">
        <v>3522</v>
      </c>
      <c r="C71" s="152" t="s">
        <v>3555</v>
      </c>
      <c r="D71" s="152" t="s">
        <v>3553</v>
      </c>
      <c r="E71" s="152" t="s">
        <v>3525</v>
      </c>
      <c r="F71" s="152" t="s">
        <v>3526</v>
      </c>
    </row>
    <row r="72">
      <c r="A72" s="151">
        <v>46076.67850574074</v>
      </c>
      <c r="B72" s="152" t="s">
        <v>3522</v>
      </c>
      <c r="C72" s="152" t="s">
        <v>3555</v>
      </c>
      <c r="D72" s="152" t="s">
        <v>3553</v>
      </c>
      <c r="E72" s="152" t="s">
        <v>3525</v>
      </c>
      <c r="F72" s="152" t="s">
        <v>3526</v>
      </c>
    </row>
    <row r="73">
      <c r="A73" s="151">
        <v>46076.67853311343</v>
      </c>
      <c r="B73" s="152" t="s">
        <v>3522</v>
      </c>
      <c r="C73" s="152" t="s">
        <v>3555</v>
      </c>
      <c r="D73" s="152" t="s">
        <v>3553</v>
      </c>
      <c r="E73" s="152" t="s">
        <v>3525</v>
      </c>
      <c r="F73" s="152" t="s">
        <v>3526</v>
      </c>
    </row>
    <row r="74">
      <c r="A74" s="151">
        <v>46076.678556377316</v>
      </c>
      <c r="B74" s="152" t="s">
        <v>3522</v>
      </c>
      <c r="C74" s="152" t="s">
        <v>3555</v>
      </c>
      <c r="D74" s="152" t="s">
        <v>3553</v>
      </c>
      <c r="E74" s="152" t="s">
        <v>3525</v>
      </c>
      <c r="F74" s="152" t="s">
        <v>3526</v>
      </c>
    </row>
    <row r="75">
      <c r="A75" s="151">
        <v>46076.67861349537</v>
      </c>
      <c r="B75" s="152" t="s">
        <v>3522</v>
      </c>
      <c r="C75" s="152" t="s">
        <v>3110</v>
      </c>
      <c r="D75" s="152" t="s">
        <v>3553</v>
      </c>
      <c r="E75" s="152" t="s">
        <v>3525</v>
      </c>
      <c r="F75" s="152" t="s">
        <v>3526</v>
      </c>
    </row>
    <row r="76">
      <c r="A76" s="151">
        <v>46076.67861754629</v>
      </c>
      <c r="B76" s="152" t="s">
        <v>3522</v>
      </c>
      <c r="C76" s="152" t="s">
        <v>3110</v>
      </c>
      <c r="D76" s="152" t="s">
        <v>3553</v>
      </c>
      <c r="E76" s="152" t="s">
        <v>3525</v>
      </c>
      <c r="F76" s="152" t="s">
        <v>3526</v>
      </c>
    </row>
    <row r="77">
      <c r="A77" s="151">
        <v>46076.67865894676</v>
      </c>
      <c r="B77" s="152" t="s">
        <v>3522</v>
      </c>
      <c r="C77" s="152" t="s">
        <v>3551</v>
      </c>
      <c r="D77" s="152" t="s">
        <v>3553</v>
      </c>
      <c r="E77" s="152" t="s">
        <v>3525</v>
      </c>
      <c r="F77" s="152" t="s">
        <v>3526</v>
      </c>
    </row>
    <row r="78">
      <c r="A78" s="151">
        <v>46076.67866318287</v>
      </c>
      <c r="B78" s="152" t="s">
        <v>3522</v>
      </c>
      <c r="C78" s="152" t="s">
        <v>3551</v>
      </c>
      <c r="D78" s="152" t="s">
        <v>3553</v>
      </c>
      <c r="E78" s="152" t="s">
        <v>3525</v>
      </c>
      <c r="F78" s="152" t="s">
        <v>3526</v>
      </c>
    </row>
    <row r="79">
      <c r="A79" s="151">
        <v>46076.67873486111</v>
      </c>
      <c r="B79" s="152" t="s">
        <v>3522</v>
      </c>
      <c r="C79" s="152" t="s">
        <v>3556</v>
      </c>
      <c r="D79" s="152" t="s">
        <v>3553</v>
      </c>
      <c r="E79" s="152" t="s">
        <v>3525</v>
      </c>
      <c r="F79" s="152" t="s">
        <v>3526</v>
      </c>
    </row>
    <row r="80">
      <c r="A80" s="151">
        <v>46076.678735925925</v>
      </c>
      <c r="B80" s="152" t="s">
        <v>3522</v>
      </c>
      <c r="C80" s="152" t="s">
        <v>3556</v>
      </c>
      <c r="D80" s="152" t="s">
        <v>3553</v>
      </c>
      <c r="E80" s="152" t="s">
        <v>3525</v>
      </c>
      <c r="F80" s="152" t="s">
        <v>3526</v>
      </c>
    </row>
    <row r="81">
      <c r="A81" s="151">
        <v>46076.678875451384</v>
      </c>
      <c r="B81" s="152" t="s">
        <v>3522</v>
      </c>
      <c r="C81" s="152" t="s">
        <v>3557</v>
      </c>
      <c r="D81" s="152" t="s">
        <v>3553</v>
      </c>
      <c r="E81" s="152" t="s">
        <v>3525</v>
      </c>
      <c r="F81" s="152" t="s">
        <v>3526</v>
      </c>
    </row>
    <row r="82">
      <c r="A82" s="151">
        <v>46076.67889443287</v>
      </c>
      <c r="B82" s="152" t="s">
        <v>3522</v>
      </c>
      <c r="C82" s="152" t="s">
        <v>3557</v>
      </c>
      <c r="D82" s="152" t="s">
        <v>3553</v>
      </c>
      <c r="E82" s="152" t="s">
        <v>3525</v>
      </c>
      <c r="F82" s="152" t="s">
        <v>3526</v>
      </c>
    </row>
    <row r="83">
      <c r="A83" s="151">
        <v>46076.6789550463</v>
      </c>
      <c r="B83" s="152" t="s">
        <v>3522</v>
      </c>
      <c r="C83" s="152" t="s">
        <v>3519</v>
      </c>
      <c r="D83" s="152" t="s">
        <v>3553</v>
      </c>
      <c r="E83" s="152" t="s">
        <v>3525</v>
      </c>
      <c r="F83" s="152" t="s">
        <v>3526</v>
      </c>
    </row>
    <row r="84">
      <c r="A84" s="151">
        <v>46076.67897770833</v>
      </c>
      <c r="B84" s="152" t="s">
        <v>3522</v>
      </c>
      <c r="C84" s="152" t="s">
        <v>3519</v>
      </c>
      <c r="D84" s="152" t="s">
        <v>3553</v>
      </c>
      <c r="E84" s="152" t="s">
        <v>3525</v>
      </c>
      <c r="F84" s="152" t="s">
        <v>3526</v>
      </c>
    </row>
    <row r="85">
      <c r="A85" s="151">
        <v>46076.68038347222</v>
      </c>
      <c r="B85" s="152" t="s">
        <v>3522</v>
      </c>
      <c r="C85" s="152" t="s">
        <v>3523</v>
      </c>
      <c r="D85" s="152" t="s">
        <v>3558</v>
      </c>
      <c r="E85" s="152" t="s">
        <v>3525</v>
      </c>
      <c r="F85" s="152" t="s">
        <v>3526</v>
      </c>
    </row>
    <row r="86">
      <c r="A86" s="151">
        <v>46076.68040096065</v>
      </c>
      <c r="B86" s="152" t="s">
        <v>3522</v>
      </c>
      <c r="C86" s="152" t="s">
        <v>3523</v>
      </c>
      <c r="D86" s="152" t="s">
        <v>3559</v>
      </c>
      <c r="E86" s="152" t="s">
        <v>3525</v>
      </c>
      <c r="F86" s="152" t="s">
        <v>3526</v>
      </c>
    </row>
    <row r="87">
      <c r="A87" s="151">
        <v>46076.680407210646</v>
      </c>
      <c r="B87" s="152" t="s">
        <v>3522</v>
      </c>
      <c r="C87" s="152" t="s">
        <v>3523</v>
      </c>
      <c r="D87" s="152" t="s">
        <v>3558</v>
      </c>
      <c r="E87" s="152" t="s">
        <v>3525</v>
      </c>
      <c r="F87" s="152" t="s">
        <v>3526</v>
      </c>
    </row>
    <row r="88">
      <c r="A88" s="151">
        <v>46076.68041590278</v>
      </c>
      <c r="B88" s="152" t="s">
        <v>3522</v>
      </c>
      <c r="C88" s="152" t="s">
        <v>3523</v>
      </c>
      <c r="D88" s="152" t="s">
        <v>3559</v>
      </c>
      <c r="E88" s="152" t="s">
        <v>3525</v>
      </c>
      <c r="F88" s="152" t="s">
        <v>3526</v>
      </c>
    </row>
    <row r="89">
      <c r="A89" s="151">
        <v>46076.680701122685</v>
      </c>
      <c r="B89" s="152" t="s">
        <v>3522</v>
      </c>
      <c r="C89" s="152" t="s">
        <v>3523</v>
      </c>
      <c r="D89" s="152" t="s">
        <v>3559</v>
      </c>
      <c r="E89" s="152" t="s">
        <v>3110</v>
      </c>
      <c r="F89" s="152" t="s">
        <v>3560</v>
      </c>
    </row>
    <row r="90">
      <c r="A90" s="151">
        <v>46076.6807178125</v>
      </c>
      <c r="B90" s="152" t="s">
        <v>3522</v>
      </c>
      <c r="C90" s="152" t="s">
        <v>3523</v>
      </c>
      <c r="D90" s="152" t="s">
        <v>3559</v>
      </c>
      <c r="E90" s="152" t="s">
        <v>3110</v>
      </c>
      <c r="F90" s="152" t="s">
        <v>3560</v>
      </c>
    </row>
    <row r="92">
      <c r="A92" s="151">
        <v>46076.681055520836</v>
      </c>
      <c r="B92" s="152" t="s">
        <v>3522</v>
      </c>
      <c r="C92" s="152" t="s">
        <v>3523</v>
      </c>
      <c r="D92" s="152" t="s">
        <v>3558</v>
      </c>
      <c r="E92" s="152" t="s">
        <v>3525</v>
      </c>
      <c r="F92" s="152" t="s">
        <v>3526</v>
      </c>
    </row>
    <row r="93">
      <c r="A93" s="151">
        <v>46076.68105767361</v>
      </c>
      <c r="B93" s="152" t="s">
        <v>3522</v>
      </c>
      <c r="C93" s="152" t="s">
        <v>3523</v>
      </c>
      <c r="D93" s="152" t="s">
        <v>3558</v>
      </c>
      <c r="E93" s="152" t="s">
        <v>3525</v>
      </c>
      <c r="F93" s="152" t="s">
        <v>3526</v>
      </c>
    </row>
    <row r="94">
      <c r="A94" s="151">
        <v>46076.69759271991</v>
      </c>
      <c r="B94" s="152" t="s">
        <v>3522</v>
      </c>
      <c r="C94" s="152" t="s">
        <v>3523</v>
      </c>
      <c r="D94" s="152" t="s">
        <v>3561</v>
      </c>
      <c r="E94" s="152" t="s">
        <v>3110</v>
      </c>
      <c r="F94" s="152" t="s">
        <v>2557</v>
      </c>
    </row>
    <row r="95">
      <c r="A95" s="151">
        <v>46076.69759606481</v>
      </c>
      <c r="B95" s="152" t="s">
        <v>3522</v>
      </c>
      <c r="C95" s="152" t="s">
        <v>3523</v>
      </c>
      <c r="D95" s="152" t="s">
        <v>3561</v>
      </c>
      <c r="E95" s="152" t="s">
        <v>3110</v>
      </c>
      <c r="F95" s="152" t="s">
        <v>2557</v>
      </c>
    </row>
    <row r="96">
      <c r="A96" s="151">
        <v>46076.89489820602</v>
      </c>
      <c r="B96" s="152" t="s">
        <v>3522</v>
      </c>
      <c r="C96" s="152" t="s">
        <v>3530</v>
      </c>
      <c r="D96" s="152" t="s">
        <v>3559</v>
      </c>
      <c r="E96" s="152" t="s">
        <v>3525</v>
      </c>
      <c r="F96" s="152" t="s">
        <v>3526</v>
      </c>
    </row>
    <row r="97">
      <c r="A97" s="151">
        <v>46076.89490034722</v>
      </c>
      <c r="B97" s="152" t="s">
        <v>3522</v>
      </c>
      <c r="C97" s="152" t="s">
        <v>3530</v>
      </c>
      <c r="D97" s="152" t="s">
        <v>3559</v>
      </c>
      <c r="E97" s="152" t="s">
        <v>3525</v>
      </c>
      <c r="F97" s="152" t="s">
        <v>3526</v>
      </c>
    </row>
    <row r="98">
      <c r="A98" s="151">
        <v>46076.89517509259</v>
      </c>
      <c r="B98" s="152" t="s">
        <v>3522</v>
      </c>
      <c r="C98" s="152" t="s">
        <v>3110</v>
      </c>
      <c r="D98" s="152" t="s">
        <v>3562</v>
      </c>
      <c r="E98" s="152" t="s">
        <v>3525</v>
      </c>
      <c r="F98" s="152" t="s">
        <v>3526</v>
      </c>
    </row>
    <row r="99">
      <c r="A99" s="151">
        <v>46076.89518568287</v>
      </c>
      <c r="B99" s="152" t="s">
        <v>3522</v>
      </c>
      <c r="C99" s="152" t="s">
        <v>3110</v>
      </c>
      <c r="D99" s="152" t="s">
        <v>3562</v>
      </c>
      <c r="E99" s="152" t="s">
        <v>3525</v>
      </c>
      <c r="F99" s="152" t="s">
        <v>3526</v>
      </c>
    </row>
    <row r="100">
      <c r="A100" s="151">
        <v>46076.89519865741</v>
      </c>
      <c r="B100" s="152" t="s">
        <v>3522</v>
      </c>
      <c r="C100" s="152" t="s">
        <v>3530</v>
      </c>
      <c r="D100" s="152" t="s">
        <v>3559</v>
      </c>
      <c r="E100" s="152" t="s">
        <v>3525</v>
      </c>
      <c r="F100" s="152" t="s">
        <v>3526</v>
      </c>
    </row>
    <row r="101">
      <c r="A101" s="151">
        <v>46076.89521204861</v>
      </c>
      <c r="B101" s="152" t="s">
        <v>3522</v>
      </c>
      <c r="C101" s="152" t="s">
        <v>3530</v>
      </c>
      <c r="D101" s="152" t="s">
        <v>3559</v>
      </c>
      <c r="E101" s="152" t="s">
        <v>3525</v>
      </c>
      <c r="F101" s="152" t="s">
        <v>3526</v>
      </c>
    </row>
    <row r="102">
      <c r="A102" s="151">
        <v>46076.896258506946</v>
      </c>
      <c r="B102" s="152" t="s">
        <v>3522</v>
      </c>
      <c r="C102" s="152" t="s">
        <v>2557</v>
      </c>
      <c r="D102" s="152" t="s">
        <v>3563</v>
      </c>
      <c r="E102" s="152" t="s">
        <v>3525</v>
      </c>
      <c r="F102" s="152" t="s">
        <v>3526</v>
      </c>
    </row>
    <row r="103">
      <c r="A103" s="151">
        <v>46076.89625958333</v>
      </c>
      <c r="B103" s="152" t="s">
        <v>3522</v>
      </c>
      <c r="C103" s="152" t="s">
        <v>2557</v>
      </c>
      <c r="D103" s="152" t="s">
        <v>3563</v>
      </c>
      <c r="E103" s="152" t="s">
        <v>3525</v>
      </c>
      <c r="F103" s="152" t="s">
        <v>3526</v>
      </c>
    </row>
    <row r="104">
      <c r="A104" s="151">
        <v>46076.89986553241</v>
      </c>
      <c r="B104" s="152" t="s">
        <v>3522</v>
      </c>
      <c r="C104" s="152" t="s">
        <v>3564</v>
      </c>
      <c r="D104" s="152" t="s">
        <v>3565</v>
      </c>
      <c r="E104" s="152" t="s">
        <v>3525</v>
      </c>
      <c r="F104" s="152" t="s">
        <v>3526</v>
      </c>
    </row>
    <row r="105">
      <c r="A105" s="151">
        <v>46076.899866238426</v>
      </c>
      <c r="B105" s="152" t="s">
        <v>3522</v>
      </c>
      <c r="C105" s="152" t="s">
        <v>3564</v>
      </c>
      <c r="D105" s="152" t="s">
        <v>3565</v>
      </c>
      <c r="E105" s="152" t="s">
        <v>3525</v>
      </c>
      <c r="F105" s="152" t="s">
        <v>3526</v>
      </c>
    </row>
    <row r="106">
      <c r="A106" s="151">
        <v>46076.89991020833</v>
      </c>
      <c r="B106" s="152" t="s">
        <v>3522</v>
      </c>
      <c r="C106" s="152" t="s">
        <v>3564</v>
      </c>
      <c r="D106" s="152" t="s">
        <v>3565</v>
      </c>
      <c r="E106" s="152" t="s">
        <v>3566</v>
      </c>
      <c r="F106" s="152" t="s">
        <v>3567</v>
      </c>
    </row>
    <row r="107">
      <c r="A107" s="151">
        <v>46076.899911099536</v>
      </c>
      <c r="B107" s="152" t="s">
        <v>3522</v>
      </c>
      <c r="C107" s="152" t="s">
        <v>3564</v>
      </c>
      <c r="D107" s="152" t="s">
        <v>3565</v>
      </c>
      <c r="E107" s="152" t="s">
        <v>3566</v>
      </c>
      <c r="F107" s="152" t="s">
        <v>3567</v>
      </c>
    </row>
    <row r="108">
      <c r="A108" s="151">
        <v>46076.916569733796</v>
      </c>
      <c r="B108" s="152" t="s">
        <v>3522</v>
      </c>
      <c r="C108" s="152" t="s">
        <v>3568</v>
      </c>
      <c r="D108" s="152" t="s">
        <v>3569</v>
      </c>
      <c r="E108" s="152" t="s">
        <v>3525</v>
      </c>
      <c r="F108" s="152" t="s">
        <v>3526</v>
      </c>
    </row>
    <row r="109">
      <c r="A109" s="151">
        <v>46076.91658613426</v>
      </c>
      <c r="B109" s="152" t="s">
        <v>3522</v>
      </c>
      <c r="C109" s="152" t="s">
        <v>3568</v>
      </c>
      <c r="D109" s="152" t="s">
        <v>3569</v>
      </c>
      <c r="E109" s="152" t="s">
        <v>3525</v>
      </c>
      <c r="F109" s="152" t="s">
        <v>3526</v>
      </c>
    </row>
    <row r="110">
      <c r="A110" s="151">
        <v>46076.91783921296</v>
      </c>
      <c r="B110" s="152" t="s">
        <v>3522</v>
      </c>
      <c r="C110" s="152" t="s">
        <v>3568</v>
      </c>
      <c r="D110" s="152" t="s">
        <v>3540</v>
      </c>
      <c r="E110" s="152" t="s">
        <v>3570</v>
      </c>
      <c r="F110" s="152" t="s">
        <v>3571</v>
      </c>
    </row>
    <row r="111">
      <c r="A111" s="151">
        <v>46076.917847812496</v>
      </c>
      <c r="B111" s="152" t="s">
        <v>3522</v>
      </c>
      <c r="C111" s="152" t="s">
        <v>3568</v>
      </c>
      <c r="D111" s="152" t="s">
        <v>3540</v>
      </c>
      <c r="E111" s="152" t="s">
        <v>3570</v>
      </c>
      <c r="F111" s="152" t="s">
        <v>3571</v>
      </c>
    </row>
    <row r="112">
      <c r="A112" s="151">
        <v>46076.9178930787</v>
      </c>
      <c r="B112" s="152" t="s">
        <v>3522</v>
      </c>
      <c r="C112" s="152" t="s">
        <v>3568</v>
      </c>
      <c r="D112" s="152" t="s">
        <v>3572</v>
      </c>
      <c r="E112" s="152" t="s">
        <v>3573</v>
      </c>
      <c r="F112" s="152" t="s">
        <v>3574</v>
      </c>
    </row>
    <row r="113">
      <c r="A113" s="151">
        <v>46076.91789924768</v>
      </c>
      <c r="B113" s="152" t="s">
        <v>3522</v>
      </c>
      <c r="C113" s="152" t="s">
        <v>3568</v>
      </c>
      <c r="D113" s="152" t="s">
        <v>3572</v>
      </c>
      <c r="E113" s="152" t="s">
        <v>3573</v>
      </c>
      <c r="F113" s="152" t="s">
        <v>3574</v>
      </c>
    </row>
    <row r="114">
      <c r="A114" s="151">
        <v>46076.917934074074</v>
      </c>
      <c r="B114" s="152" t="s">
        <v>3522</v>
      </c>
      <c r="C114" s="152" t="s">
        <v>3568</v>
      </c>
      <c r="D114" s="152" t="s">
        <v>3575</v>
      </c>
      <c r="E114" s="152" t="s">
        <v>3576</v>
      </c>
      <c r="F114" s="152" t="s">
        <v>3577</v>
      </c>
    </row>
    <row r="115">
      <c r="A115" s="151">
        <v>46076.917936875005</v>
      </c>
      <c r="B115" s="152" t="s">
        <v>3522</v>
      </c>
      <c r="C115" s="152" t="s">
        <v>3568</v>
      </c>
      <c r="D115" s="152" t="s">
        <v>3575</v>
      </c>
      <c r="E115" s="152" t="s">
        <v>3576</v>
      </c>
      <c r="F115" s="152" t="s">
        <v>3577</v>
      </c>
    </row>
    <row r="116">
      <c r="A116" s="151">
        <v>46076.91796245371</v>
      </c>
      <c r="B116" s="152" t="s">
        <v>3522</v>
      </c>
      <c r="C116" s="152" t="s">
        <v>3568</v>
      </c>
      <c r="D116" s="152" t="s">
        <v>3578</v>
      </c>
      <c r="E116" s="152" t="s">
        <v>3579</v>
      </c>
      <c r="F116" s="152" t="s">
        <v>3580</v>
      </c>
    </row>
    <row r="117">
      <c r="A117" s="151">
        <v>46076.91796319444</v>
      </c>
      <c r="B117" s="152" t="s">
        <v>3522</v>
      </c>
      <c r="C117" s="152" t="s">
        <v>3568</v>
      </c>
      <c r="D117" s="152" t="s">
        <v>3578</v>
      </c>
      <c r="E117" s="152" t="s">
        <v>3579</v>
      </c>
      <c r="F117" s="152" t="s">
        <v>3580</v>
      </c>
    </row>
    <row r="118">
      <c r="A118" s="151">
        <v>46076.91800200232</v>
      </c>
      <c r="B118" s="152" t="s">
        <v>3522</v>
      </c>
      <c r="C118" s="152" t="s">
        <v>3568</v>
      </c>
      <c r="D118" s="152" t="s">
        <v>3581</v>
      </c>
      <c r="E118" s="152" t="s">
        <v>3582</v>
      </c>
      <c r="F118" s="152" t="s">
        <v>3583</v>
      </c>
    </row>
    <row r="119">
      <c r="A119" s="151">
        <v>46076.918027499996</v>
      </c>
      <c r="B119" s="152" t="s">
        <v>3522</v>
      </c>
      <c r="C119" s="152" t="s">
        <v>3568</v>
      </c>
      <c r="D119" s="152" t="s">
        <v>3581</v>
      </c>
      <c r="E119" s="152" t="s">
        <v>3582</v>
      </c>
      <c r="F119" s="152" t="s">
        <v>3583</v>
      </c>
    </row>
    <row r="120">
      <c r="A120" s="151">
        <v>46076.9181275</v>
      </c>
      <c r="B120" s="152" t="s">
        <v>3522</v>
      </c>
      <c r="C120" s="152" t="s">
        <v>3568</v>
      </c>
      <c r="D120" s="152" t="s">
        <v>3584</v>
      </c>
      <c r="E120" s="152" t="s">
        <v>3585</v>
      </c>
      <c r="F120" s="152" t="s">
        <v>3586</v>
      </c>
    </row>
    <row r="121">
      <c r="A121" s="151">
        <v>46076.91812714121</v>
      </c>
      <c r="B121" s="152" t="s">
        <v>3522</v>
      </c>
      <c r="C121" s="152" t="s">
        <v>3568</v>
      </c>
      <c r="D121" s="152" t="s">
        <v>3584</v>
      </c>
      <c r="E121" s="152" t="s">
        <v>3585</v>
      </c>
      <c r="F121" s="152" t="s">
        <v>3586</v>
      </c>
    </row>
    <row r="122">
      <c r="A122" s="151">
        <v>46076.91817824074</v>
      </c>
      <c r="B122" s="152" t="s">
        <v>3522</v>
      </c>
      <c r="C122" s="152" t="s">
        <v>3568</v>
      </c>
      <c r="D122" s="152" t="s">
        <v>3587</v>
      </c>
      <c r="E122" s="152" t="s">
        <v>3588</v>
      </c>
      <c r="F122" s="152" t="s">
        <v>3589</v>
      </c>
    </row>
    <row r="123">
      <c r="A123" s="151">
        <v>46076.91817984954</v>
      </c>
      <c r="B123" s="152" t="s">
        <v>3522</v>
      </c>
      <c r="C123" s="152" t="s">
        <v>3568</v>
      </c>
      <c r="D123" s="152" t="s">
        <v>3587</v>
      </c>
      <c r="E123" s="152" t="s">
        <v>3588</v>
      </c>
      <c r="F123" s="152" t="s">
        <v>3589</v>
      </c>
    </row>
    <row r="124">
      <c r="A124" s="151">
        <v>46076.91828467592</v>
      </c>
      <c r="B124" s="152" t="s">
        <v>3522</v>
      </c>
      <c r="C124" s="152" t="s">
        <v>3568</v>
      </c>
      <c r="D124" s="152" t="s">
        <v>3590</v>
      </c>
      <c r="E124" s="152" t="s">
        <v>3591</v>
      </c>
      <c r="F124" s="152" t="s">
        <v>3592</v>
      </c>
    </row>
    <row r="125">
      <c r="A125" s="151">
        <v>46076.918297951386</v>
      </c>
      <c r="B125" s="152" t="s">
        <v>3522</v>
      </c>
      <c r="C125" s="152" t="s">
        <v>3568</v>
      </c>
      <c r="D125" s="152" t="s">
        <v>3590</v>
      </c>
      <c r="E125" s="152" t="s">
        <v>3591</v>
      </c>
      <c r="F125" s="152" t="s">
        <v>3592</v>
      </c>
    </row>
    <row r="126">
      <c r="A126" s="151">
        <v>46076.91834260417</v>
      </c>
      <c r="B126" s="152" t="s">
        <v>3522</v>
      </c>
      <c r="C126" s="152" t="s">
        <v>3568</v>
      </c>
      <c r="D126" s="152" t="s">
        <v>3593</v>
      </c>
      <c r="E126" s="152" t="s">
        <v>3594</v>
      </c>
      <c r="F126" s="152" t="s">
        <v>3595</v>
      </c>
    </row>
    <row r="127">
      <c r="A127" s="151">
        <v>46076.91834642361</v>
      </c>
      <c r="B127" s="152" t="s">
        <v>3522</v>
      </c>
      <c r="C127" s="152" t="s">
        <v>3568</v>
      </c>
      <c r="D127" s="152" t="s">
        <v>3593</v>
      </c>
      <c r="E127" s="152" t="s">
        <v>3594</v>
      </c>
      <c r="F127" s="152" t="s">
        <v>3595</v>
      </c>
    </row>
    <row r="128">
      <c r="A128" s="151">
        <v>46076.918388356484</v>
      </c>
      <c r="B128" s="152" t="s">
        <v>3522</v>
      </c>
      <c r="C128" s="152" t="s">
        <v>3568</v>
      </c>
      <c r="D128" s="152" t="s">
        <v>3596</v>
      </c>
      <c r="E128" s="152" t="s">
        <v>3597</v>
      </c>
      <c r="F128" s="152" t="s">
        <v>3598</v>
      </c>
    </row>
    <row r="129">
      <c r="A129" s="151">
        <v>46076.91840510417</v>
      </c>
      <c r="B129" s="152" t="s">
        <v>3522</v>
      </c>
      <c r="C129" s="152" t="s">
        <v>3568</v>
      </c>
      <c r="D129" s="152" t="s">
        <v>3596</v>
      </c>
      <c r="E129" s="152" t="s">
        <v>3597</v>
      </c>
      <c r="F129" s="152" t="s">
        <v>3598</v>
      </c>
    </row>
    <row r="130">
      <c r="A130" s="151">
        <v>46076.91844616898</v>
      </c>
      <c r="B130" s="152" t="s">
        <v>3522</v>
      </c>
      <c r="C130" s="152" t="s">
        <v>3568</v>
      </c>
      <c r="D130" s="152" t="s">
        <v>3599</v>
      </c>
      <c r="E130" s="152" t="s">
        <v>3600</v>
      </c>
      <c r="F130" s="152" t="s">
        <v>3601</v>
      </c>
    </row>
    <row r="131">
      <c r="A131" s="151">
        <v>46076.918448703706</v>
      </c>
      <c r="B131" s="152" t="s">
        <v>3522</v>
      </c>
      <c r="C131" s="152" t="s">
        <v>3568</v>
      </c>
      <c r="D131" s="152" t="s">
        <v>3599</v>
      </c>
      <c r="E131" s="152" t="s">
        <v>3600</v>
      </c>
      <c r="F131" s="152" t="s">
        <v>3601</v>
      </c>
    </row>
    <row r="132">
      <c r="A132" s="151">
        <v>46076.91959042824</v>
      </c>
      <c r="B132" s="152" t="s">
        <v>3522</v>
      </c>
      <c r="C132" s="152" t="s">
        <v>3568</v>
      </c>
      <c r="D132" s="152" t="s">
        <v>3602</v>
      </c>
      <c r="E132" s="152" t="s">
        <v>3603</v>
      </c>
      <c r="F132" s="152" t="s">
        <v>3604</v>
      </c>
    </row>
    <row r="133">
      <c r="A133" s="151">
        <v>46076.91959380787</v>
      </c>
      <c r="B133" s="152" t="s">
        <v>3522</v>
      </c>
      <c r="C133" s="152" t="s">
        <v>3568</v>
      </c>
      <c r="D133" s="152" t="s">
        <v>3602</v>
      </c>
      <c r="E133" s="152" t="s">
        <v>3603</v>
      </c>
      <c r="F133" s="152" t="s">
        <v>3604</v>
      </c>
    </row>
    <row r="134">
      <c r="A134" s="151">
        <v>46076.920048263884</v>
      </c>
      <c r="B134" s="152" t="s">
        <v>3522</v>
      </c>
      <c r="C134" s="152" t="s">
        <v>3568</v>
      </c>
      <c r="D134" s="152" t="s">
        <v>3605</v>
      </c>
      <c r="E134" s="152" t="s">
        <v>3606</v>
      </c>
      <c r="F134" s="152" t="s">
        <v>3607</v>
      </c>
    </row>
    <row r="135">
      <c r="A135" s="151">
        <v>46076.92005206019</v>
      </c>
      <c r="B135" s="152" t="s">
        <v>3522</v>
      </c>
      <c r="C135" s="152" t="s">
        <v>3568</v>
      </c>
      <c r="D135" s="152" t="s">
        <v>3605</v>
      </c>
      <c r="E135" s="152" t="s">
        <v>3606</v>
      </c>
      <c r="F135" s="152" t="s">
        <v>3607</v>
      </c>
    </row>
    <row r="136">
      <c r="A136" s="151">
        <v>46076.92008321759</v>
      </c>
      <c r="B136" s="152" t="s">
        <v>3522</v>
      </c>
      <c r="C136" s="152" t="s">
        <v>3568</v>
      </c>
      <c r="D136" s="152" t="s">
        <v>3608</v>
      </c>
      <c r="E136" s="152" t="s">
        <v>3609</v>
      </c>
      <c r="F136" s="152" t="s">
        <v>3610</v>
      </c>
    </row>
    <row r="137">
      <c r="A137" s="151">
        <v>46076.92008523148</v>
      </c>
      <c r="B137" s="152" t="s">
        <v>3522</v>
      </c>
      <c r="C137" s="152" t="s">
        <v>3568</v>
      </c>
      <c r="D137" s="152" t="s">
        <v>3608</v>
      </c>
      <c r="E137" s="152" t="s">
        <v>3609</v>
      </c>
      <c r="F137" s="152" t="s">
        <v>3610</v>
      </c>
    </row>
    <row r="138">
      <c r="A138" s="151">
        <v>46076.92012284722</v>
      </c>
      <c r="B138" s="152" t="s">
        <v>3522</v>
      </c>
      <c r="C138" s="152" t="s">
        <v>3568</v>
      </c>
      <c r="D138" s="152" t="s">
        <v>3611</v>
      </c>
      <c r="E138" s="152" t="s">
        <v>3612</v>
      </c>
      <c r="F138" s="152" t="s">
        <v>3613</v>
      </c>
    </row>
    <row r="139">
      <c r="A139" s="151">
        <v>46076.92012359954</v>
      </c>
      <c r="B139" s="152" t="s">
        <v>3522</v>
      </c>
      <c r="C139" s="152" t="s">
        <v>3568</v>
      </c>
      <c r="D139" s="152" t="s">
        <v>3611</v>
      </c>
      <c r="E139" s="152" t="s">
        <v>3612</v>
      </c>
      <c r="F139" s="152" t="s">
        <v>3613</v>
      </c>
    </row>
    <row r="140">
      <c r="A140" s="151">
        <v>46076.92015751157</v>
      </c>
      <c r="B140" s="152" t="s">
        <v>3522</v>
      </c>
      <c r="C140" s="152" t="s">
        <v>3568</v>
      </c>
      <c r="D140" s="152" t="s">
        <v>3614</v>
      </c>
      <c r="E140" s="152" t="s">
        <v>3615</v>
      </c>
      <c r="F140" s="152" t="s">
        <v>3616</v>
      </c>
    </row>
    <row r="141">
      <c r="A141" s="151">
        <v>46076.92018612269</v>
      </c>
      <c r="B141" s="152" t="s">
        <v>3522</v>
      </c>
      <c r="C141" s="152" t="s">
        <v>3568</v>
      </c>
      <c r="D141" s="152" t="s">
        <v>3617</v>
      </c>
      <c r="E141" s="152" t="s">
        <v>3618</v>
      </c>
      <c r="F141" s="152" t="s">
        <v>3619</v>
      </c>
    </row>
    <row r="142">
      <c r="A142" s="151">
        <v>46076.92018732639</v>
      </c>
      <c r="B142" s="152" t="s">
        <v>3522</v>
      </c>
      <c r="C142" s="152" t="s">
        <v>3568</v>
      </c>
      <c r="D142" s="152" t="s">
        <v>3617</v>
      </c>
      <c r="E142" s="152" t="s">
        <v>3618</v>
      </c>
      <c r="F142" s="152" t="s">
        <v>3619</v>
      </c>
    </row>
    <row r="143">
      <c r="A143" s="151">
        <v>46076.920215555554</v>
      </c>
      <c r="B143" s="152" t="s">
        <v>3522</v>
      </c>
      <c r="C143" s="152" t="s">
        <v>3568</v>
      </c>
      <c r="D143" s="152" t="s">
        <v>3620</v>
      </c>
      <c r="E143" s="152" t="s">
        <v>3621</v>
      </c>
      <c r="F143" s="152" t="s">
        <v>3622</v>
      </c>
    </row>
    <row r="144">
      <c r="A144" s="151">
        <v>46076.92021561343</v>
      </c>
      <c r="B144" s="152" t="s">
        <v>3522</v>
      </c>
      <c r="C144" s="152" t="s">
        <v>3568</v>
      </c>
      <c r="D144" s="152" t="s">
        <v>3620</v>
      </c>
      <c r="E144" s="152" t="s">
        <v>3621</v>
      </c>
      <c r="F144" s="152" t="s">
        <v>3622</v>
      </c>
    </row>
    <row r="145">
      <c r="A145" s="151">
        <v>46076.920250208335</v>
      </c>
      <c r="B145" s="152" t="s">
        <v>3522</v>
      </c>
      <c r="C145" s="152" t="s">
        <v>3568</v>
      </c>
      <c r="D145" s="152" t="s">
        <v>3623</v>
      </c>
      <c r="E145" s="152" t="s">
        <v>3624</v>
      </c>
      <c r="F145" s="152" t="s">
        <v>3625</v>
      </c>
    </row>
    <row r="146">
      <c r="A146" s="151">
        <v>46076.92025575231</v>
      </c>
      <c r="B146" s="152" t="s">
        <v>3522</v>
      </c>
      <c r="C146" s="152" t="s">
        <v>3568</v>
      </c>
      <c r="D146" s="152" t="s">
        <v>3623</v>
      </c>
      <c r="E146" s="152" t="s">
        <v>3624</v>
      </c>
      <c r="F146" s="152" t="s">
        <v>3625</v>
      </c>
    </row>
    <row r="147">
      <c r="A147" s="151">
        <v>46076.920343391204</v>
      </c>
      <c r="B147" s="152" t="s">
        <v>3522</v>
      </c>
      <c r="C147" s="152" t="s">
        <v>3568</v>
      </c>
      <c r="D147" s="152" t="s">
        <v>3626</v>
      </c>
      <c r="E147" s="152" t="s">
        <v>3627</v>
      </c>
      <c r="F147" s="152" t="s">
        <v>3628</v>
      </c>
    </row>
    <row r="148">
      <c r="A148" s="151">
        <v>46076.920344293976</v>
      </c>
      <c r="B148" s="152" t="s">
        <v>3522</v>
      </c>
      <c r="C148" s="152" t="s">
        <v>3568</v>
      </c>
      <c r="D148" s="152" t="s">
        <v>3626</v>
      </c>
      <c r="E148" s="152" t="s">
        <v>3627</v>
      </c>
      <c r="F148" s="152" t="s">
        <v>3628</v>
      </c>
    </row>
    <row r="149">
      <c r="A149" s="151">
        <v>46076.92037622685</v>
      </c>
      <c r="B149" s="152" t="s">
        <v>3522</v>
      </c>
      <c r="C149" s="152" t="s">
        <v>3568</v>
      </c>
      <c r="D149" s="152" t="s">
        <v>3629</v>
      </c>
      <c r="E149" s="152" t="s">
        <v>3630</v>
      </c>
      <c r="F149" s="152" t="s">
        <v>3631</v>
      </c>
    </row>
    <row r="150">
      <c r="A150" s="151">
        <v>46076.92039458333</v>
      </c>
      <c r="B150" s="152" t="s">
        <v>3522</v>
      </c>
      <c r="C150" s="152" t="s">
        <v>3568</v>
      </c>
      <c r="D150" s="152" t="s">
        <v>3629</v>
      </c>
      <c r="E150" s="152" t="s">
        <v>3630</v>
      </c>
      <c r="F150" s="152" t="s">
        <v>3631</v>
      </c>
    </row>
    <row r="151">
      <c r="A151" s="151">
        <v>46076.920413263884</v>
      </c>
      <c r="B151" s="152" t="s">
        <v>3522</v>
      </c>
      <c r="C151" s="152" t="s">
        <v>3568</v>
      </c>
      <c r="D151" s="152" t="s">
        <v>3632</v>
      </c>
      <c r="E151" s="152" t="s">
        <v>3633</v>
      </c>
      <c r="F151" s="152" t="s">
        <v>3634</v>
      </c>
    </row>
    <row r="152">
      <c r="A152" s="151">
        <v>46076.92041568287</v>
      </c>
      <c r="B152" s="152" t="s">
        <v>3522</v>
      </c>
      <c r="C152" s="152" t="s">
        <v>3568</v>
      </c>
      <c r="D152" s="152" t="s">
        <v>3632</v>
      </c>
      <c r="E152" s="152" t="s">
        <v>3633</v>
      </c>
      <c r="F152" s="152" t="s">
        <v>3634</v>
      </c>
    </row>
    <row r="153">
      <c r="A153" s="151">
        <v>46076.92044478009</v>
      </c>
      <c r="B153" s="152" t="s">
        <v>3522</v>
      </c>
      <c r="C153" s="152" t="s">
        <v>3568</v>
      </c>
      <c r="D153" s="152" t="s">
        <v>3635</v>
      </c>
      <c r="E153" s="152" t="s">
        <v>3636</v>
      </c>
      <c r="F153" s="152" t="s">
        <v>3637</v>
      </c>
    </row>
    <row r="154">
      <c r="A154" s="151">
        <v>46076.92044809028</v>
      </c>
      <c r="B154" s="152" t="s">
        <v>3522</v>
      </c>
      <c r="C154" s="152" t="s">
        <v>3568</v>
      </c>
      <c r="D154" s="152" t="s">
        <v>3635</v>
      </c>
      <c r="E154" s="152" t="s">
        <v>3636</v>
      </c>
      <c r="F154" s="152" t="s">
        <v>3637</v>
      </c>
    </row>
    <row r="155">
      <c r="A155" s="151">
        <v>46076.92047331019</v>
      </c>
      <c r="B155" s="152" t="s">
        <v>3522</v>
      </c>
      <c r="C155" s="152" t="s">
        <v>3568</v>
      </c>
      <c r="D155" s="152" t="s">
        <v>3638</v>
      </c>
      <c r="E155" s="152" t="s">
        <v>3639</v>
      </c>
      <c r="F155" s="152" t="s">
        <v>3640</v>
      </c>
    </row>
    <row r="156">
      <c r="A156" s="151">
        <v>46076.9204755324</v>
      </c>
      <c r="B156" s="152" t="s">
        <v>3522</v>
      </c>
      <c r="C156" s="152" t="s">
        <v>3568</v>
      </c>
      <c r="D156" s="152" t="s">
        <v>3638</v>
      </c>
      <c r="E156" s="152" t="s">
        <v>3639</v>
      </c>
      <c r="F156" s="152" t="s">
        <v>3640</v>
      </c>
    </row>
    <row r="157">
      <c r="A157" s="151">
        <v>46076.92049402778</v>
      </c>
      <c r="B157" s="152" t="s">
        <v>3522</v>
      </c>
      <c r="C157" s="152" t="s">
        <v>3568</v>
      </c>
      <c r="D157" s="152" t="s">
        <v>3641</v>
      </c>
      <c r="E157" s="152" t="s">
        <v>3642</v>
      </c>
      <c r="F157" s="152" t="s">
        <v>3643</v>
      </c>
    </row>
    <row r="158">
      <c r="A158" s="151">
        <v>46076.92049493056</v>
      </c>
      <c r="B158" s="152" t="s">
        <v>3522</v>
      </c>
      <c r="C158" s="152" t="s">
        <v>3568</v>
      </c>
      <c r="D158" s="152" t="s">
        <v>3641</v>
      </c>
      <c r="E158" s="152" t="s">
        <v>3642</v>
      </c>
      <c r="F158" s="152" t="s">
        <v>3643</v>
      </c>
    </row>
    <row r="159">
      <c r="A159" s="151">
        <v>46076.92051652778</v>
      </c>
      <c r="B159" s="152" t="s">
        <v>3522</v>
      </c>
      <c r="C159" s="152" t="s">
        <v>3568</v>
      </c>
      <c r="D159" s="152" t="s">
        <v>3644</v>
      </c>
      <c r="E159" s="152" t="s">
        <v>3645</v>
      </c>
      <c r="F159" s="152" t="s">
        <v>3646</v>
      </c>
    </row>
    <row r="160">
      <c r="A160" s="151">
        <v>46076.92052043982</v>
      </c>
      <c r="B160" s="152" t="s">
        <v>3522</v>
      </c>
      <c r="C160" s="152" t="s">
        <v>3568</v>
      </c>
      <c r="D160" s="152" t="s">
        <v>3644</v>
      </c>
      <c r="E160" s="152" t="s">
        <v>3645</v>
      </c>
      <c r="F160" s="152" t="s">
        <v>3646</v>
      </c>
    </row>
    <row r="161">
      <c r="A161" s="151">
        <v>46076.92053644676</v>
      </c>
      <c r="B161" s="152" t="s">
        <v>3522</v>
      </c>
      <c r="C161" s="152" t="s">
        <v>3568</v>
      </c>
      <c r="D161" s="152" t="s">
        <v>3647</v>
      </c>
      <c r="E161" s="152" t="s">
        <v>3648</v>
      </c>
      <c r="F161" s="152" t="s">
        <v>3649</v>
      </c>
    </row>
    <row r="162">
      <c r="A162" s="151">
        <v>46076.92054364583</v>
      </c>
      <c r="B162" s="152" t="s">
        <v>3522</v>
      </c>
      <c r="C162" s="152" t="s">
        <v>3568</v>
      </c>
      <c r="D162" s="152" t="s">
        <v>3647</v>
      </c>
      <c r="E162" s="152" t="s">
        <v>3648</v>
      </c>
      <c r="F162" s="152" t="s">
        <v>3649</v>
      </c>
    </row>
    <row r="163">
      <c r="A163" s="151">
        <v>46076.92133303241</v>
      </c>
      <c r="B163" s="152" t="s">
        <v>3522</v>
      </c>
      <c r="C163" s="152" t="s">
        <v>3568</v>
      </c>
      <c r="D163" s="152" t="s">
        <v>3540</v>
      </c>
      <c r="E163" s="152" t="s">
        <v>3525</v>
      </c>
      <c r="F163" s="152" t="s">
        <v>3650</v>
      </c>
    </row>
    <row r="164">
      <c r="A164" s="151">
        <v>46076.92134954861</v>
      </c>
      <c r="B164" s="152" t="s">
        <v>3522</v>
      </c>
      <c r="C164" s="152" t="s">
        <v>3568</v>
      </c>
      <c r="D164" s="152" t="s">
        <v>3540</v>
      </c>
      <c r="E164" s="152" t="s">
        <v>3525</v>
      </c>
      <c r="F164" s="152" t="s">
        <v>3650</v>
      </c>
    </row>
    <row r="165">
      <c r="A165" s="151">
        <v>46076.921381631946</v>
      </c>
      <c r="B165" s="152" t="s">
        <v>3522</v>
      </c>
      <c r="C165" s="152" t="s">
        <v>3568</v>
      </c>
      <c r="D165" s="152" t="s">
        <v>3651</v>
      </c>
      <c r="E165" s="152" t="s">
        <v>3525</v>
      </c>
      <c r="F165" s="152" t="s">
        <v>0</v>
      </c>
    </row>
    <row r="166">
      <c r="A166" s="151">
        <v>46076.921386435184</v>
      </c>
      <c r="B166" s="152" t="s">
        <v>3522</v>
      </c>
      <c r="C166" s="152" t="s">
        <v>3568</v>
      </c>
      <c r="D166" s="152" t="s">
        <v>3651</v>
      </c>
      <c r="E166" s="152" t="s">
        <v>3525</v>
      </c>
      <c r="F166" s="152" t="s">
        <v>0</v>
      </c>
    </row>
    <row r="167">
      <c r="A167" s="151">
        <v>46076.92418271991</v>
      </c>
      <c r="B167" s="152" t="s">
        <v>3522</v>
      </c>
      <c r="C167" s="152" t="s">
        <v>3530</v>
      </c>
      <c r="D167" s="152" t="s">
        <v>3550</v>
      </c>
      <c r="E167" s="152" t="s">
        <v>3090</v>
      </c>
      <c r="F167" s="152" t="s">
        <v>3652</v>
      </c>
    </row>
    <row r="168">
      <c r="A168" s="151">
        <v>46076.924208807875</v>
      </c>
      <c r="B168" s="152" t="s">
        <v>3522</v>
      </c>
      <c r="C168" s="152" t="s">
        <v>3530</v>
      </c>
      <c r="D168" s="152" t="s">
        <v>3550</v>
      </c>
      <c r="E168" s="152" t="s">
        <v>3090</v>
      </c>
      <c r="F168" s="152" t="s">
        <v>3652</v>
      </c>
    </row>
    <row r="169">
      <c r="A169" s="151">
        <v>46076.92560530093</v>
      </c>
      <c r="B169" s="152" t="s">
        <v>3522</v>
      </c>
      <c r="C169" s="152" t="s">
        <v>3530</v>
      </c>
      <c r="D169" s="152" t="s">
        <v>3653</v>
      </c>
      <c r="E169" s="152" t="s">
        <v>3525</v>
      </c>
      <c r="F169" s="152" t="s">
        <v>3654</v>
      </c>
    </row>
    <row r="170">
      <c r="A170" s="151">
        <v>46076.92561168982</v>
      </c>
      <c r="B170" s="152" t="s">
        <v>3522</v>
      </c>
      <c r="C170" s="152" t="s">
        <v>3530</v>
      </c>
      <c r="D170" s="152" t="s">
        <v>3653</v>
      </c>
      <c r="E170" s="152" t="s">
        <v>3525</v>
      </c>
      <c r="F170" s="152" t="s">
        <v>3654</v>
      </c>
    </row>
    <row r="171">
      <c r="A171" s="151">
        <v>46076.92594850695</v>
      </c>
      <c r="B171" s="152" t="s">
        <v>3522</v>
      </c>
      <c r="C171" s="152" t="s">
        <v>3530</v>
      </c>
      <c r="D171" s="152" t="s">
        <v>3655</v>
      </c>
      <c r="E171" s="152" t="s">
        <v>3525</v>
      </c>
      <c r="F171" s="152" t="s">
        <v>3526</v>
      </c>
    </row>
    <row r="172">
      <c r="A172" s="151">
        <v>46076.925950590274</v>
      </c>
      <c r="B172" s="152" t="s">
        <v>3522</v>
      </c>
      <c r="C172" s="152" t="s">
        <v>3530</v>
      </c>
      <c r="D172" s="152" t="s">
        <v>3655</v>
      </c>
      <c r="E172" s="152" t="s">
        <v>3525</v>
      </c>
      <c r="F172" s="152" t="s">
        <v>3526</v>
      </c>
    </row>
    <row r="173">
      <c r="A173" s="151">
        <v>46076.927074363426</v>
      </c>
      <c r="B173" s="152" t="s">
        <v>3522</v>
      </c>
      <c r="C173" s="152" t="s">
        <v>3530</v>
      </c>
      <c r="D173" s="152" t="s">
        <v>3656</v>
      </c>
      <c r="E173" s="152" t="s">
        <v>3525</v>
      </c>
      <c r="F173" s="152" t="s">
        <v>3526</v>
      </c>
    </row>
    <row r="174">
      <c r="A174" s="151">
        <v>46076.9270812037</v>
      </c>
      <c r="B174" s="152" t="s">
        <v>3522</v>
      </c>
      <c r="C174" s="152" t="s">
        <v>3530</v>
      </c>
      <c r="D174" s="152" t="s">
        <v>3656</v>
      </c>
      <c r="E174" s="152" t="s">
        <v>3525</v>
      </c>
      <c r="F174" s="152" t="s">
        <v>3526</v>
      </c>
    </row>
    <row r="175">
      <c r="A175" s="151">
        <v>46076.93535155093</v>
      </c>
      <c r="B175" s="152" t="s">
        <v>3522</v>
      </c>
      <c r="C175" s="152" t="s">
        <v>3530</v>
      </c>
      <c r="D175" s="152" t="s">
        <v>3657</v>
      </c>
      <c r="E175" s="152" t="s">
        <v>3571</v>
      </c>
      <c r="F175" s="152" t="s">
        <v>3577</v>
      </c>
    </row>
    <row r="176">
      <c r="A176" s="151">
        <v>46076.93536596065</v>
      </c>
      <c r="B176" s="152" t="s">
        <v>3522</v>
      </c>
      <c r="C176" s="152" t="s">
        <v>3530</v>
      </c>
      <c r="D176" s="152" t="s">
        <v>3657</v>
      </c>
      <c r="E176" s="152" t="s">
        <v>3571</v>
      </c>
      <c r="F176" s="152" t="s">
        <v>3577</v>
      </c>
    </row>
    <row r="177">
      <c r="A177" s="151">
        <v>46076.935528368056</v>
      </c>
      <c r="B177" s="152" t="s">
        <v>3522</v>
      </c>
      <c r="C177" s="152" t="s">
        <v>3530</v>
      </c>
      <c r="D177" s="152" t="s">
        <v>3657</v>
      </c>
      <c r="E177" s="152" t="s">
        <v>3577</v>
      </c>
      <c r="F177" s="152" t="s">
        <v>3571</v>
      </c>
    </row>
    <row r="178">
      <c r="A178" s="151">
        <v>46076.935528437505</v>
      </c>
      <c r="B178" s="152" t="s">
        <v>3522</v>
      </c>
      <c r="C178" s="152" t="s">
        <v>3530</v>
      </c>
      <c r="D178" s="152" t="s">
        <v>3657</v>
      </c>
      <c r="E178" s="152" t="s">
        <v>3577</v>
      </c>
      <c r="F178" s="152" t="s">
        <v>3571</v>
      </c>
    </row>
    <row r="179">
      <c r="A179" s="151">
        <v>46076.93580806713</v>
      </c>
      <c r="B179" s="152" t="s">
        <v>3522</v>
      </c>
      <c r="C179" s="152" t="s">
        <v>3530</v>
      </c>
      <c r="D179" s="152" t="s">
        <v>3658</v>
      </c>
      <c r="E179" s="152" t="s">
        <v>3525</v>
      </c>
      <c r="F179" s="152" t="s">
        <v>3526</v>
      </c>
    </row>
    <row r="180">
      <c r="A180" s="151">
        <v>46076.93583136574</v>
      </c>
      <c r="B180" s="152" t="s">
        <v>3522</v>
      </c>
      <c r="C180" s="152" t="s">
        <v>3530</v>
      </c>
      <c r="D180" s="152" t="s">
        <v>3658</v>
      </c>
      <c r="E180" s="152" t="s">
        <v>3525</v>
      </c>
      <c r="F180" s="152" t="s">
        <v>3526</v>
      </c>
    </row>
    <row r="181">
      <c r="A181" s="151">
        <v>46076.935871932874</v>
      </c>
      <c r="B181" s="152" t="s">
        <v>3522</v>
      </c>
      <c r="C181" s="152" t="s">
        <v>3530</v>
      </c>
      <c r="D181" s="152" t="s">
        <v>3658</v>
      </c>
      <c r="E181" s="152" t="s">
        <v>3525</v>
      </c>
      <c r="F181" s="152" t="s">
        <v>3526</v>
      </c>
    </row>
    <row r="182">
      <c r="A182" s="151">
        <v>46076.93594873842</v>
      </c>
      <c r="B182" s="152" t="s">
        <v>3522</v>
      </c>
      <c r="C182" s="152" t="s">
        <v>3530</v>
      </c>
      <c r="D182" s="152" t="s">
        <v>3659</v>
      </c>
      <c r="E182" s="152" t="s">
        <v>3525</v>
      </c>
      <c r="F182" s="152" t="s">
        <v>3526</v>
      </c>
    </row>
    <row r="183">
      <c r="A183" s="151">
        <v>46076.93597655093</v>
      </c>
      <c r="B183" s="152" t="s">
        <v>3522</v>
      </c>
      <c r="C183" s="152" t="s">
        <v>3530</v>
      </c>
      <c r="D183" s="152" t="s">
        <v>3659</v>
      </c>
      <c r="E183" s="152" t="s">
        <v>3525</v>
      </c>
      <c r="F183" s="152" t="s">
        <v>3526</v>
      </c>
    </row>
    <row r="184">
      <c r="A184" s="151">
        <v>46076.93598971065</v>
      </c>
      <c r="B184" s="152" t="s">
        <v>3522</v>
      </c>
      <c r="C184" s="152" t="s">
        <v>3530</v>
      </c>
      <c r="D184" s="152" t="s">
        <v>3550</v>
      </c>
      <c r="E184" s="152" t="s">
        <v>3090</v>
      </c>
      <c r="F184" s="152" t="s">
        <v>3652</v>
      </c>
    </row>
    <row r="185">
      <c r="A185" s="151">
        <v>46076.93600666667</v>
      </c>
      <c r="B185" s="152" t="s">
        <v>3522</v>
      </c>
      <c r="C185" s="152" t="s">
        <v>3530</v>
      </c>
      <c r="D185" s="152" t="s">
        <v>3550</v>
      </c>
      <c r="E185" s="152" t="s">
        <v>3090</v>
      </c>
      <c r="F185" s="152" t="s">
        <v>3652</v>
      </c>
    </row>
    <row r="186">
      <c r="A186" s="151">
        <v>46076.93606010417</v>
      </c>
      <c r="B186" s="152" t="s">
        <v>3522</v>
      </c>
      <c r="C186" s="152" t="s">
        <v>3530</v>
      </c>
      <c r="D186" s="152" t="s">
        <v>3660</v>
      </c>
      <c r="E186" s="152" t="s">
        <v>3283</v>
      </c>
      <c r="F186" s="152" t="s">
        <v>3661</v>
      </c>
    </row>
    <row r="187">
      <c r="A187" s="151">
        <v>46076.93606261574</v>
      </c>
      <c r="B187" s="152" t="s">
        <v>3522</v>
      </c>
      <c r="C187" s="152" t="s">
        <v>3530</v>
      </c>
      <c r="D187" s="152" t="s">
        <v>3660</v>
      </c>
      <c r="E187" s="152" t="s">
        <v>3283</v>
      </c>
      <c r="F187" s="152" t="s">
        <v>3661</v>
      </c>
    </row>
    <row r="188">
      <c r="A188" s="151">
        <v>46076.93608043982</v>
      </c>
      <c r="B188" s="152" t="s">
        <v>3522</v>
      </c>
      <c r="C188" s="152" t="s">
        <v>3530</v>
      </c>
      <c r="D188" s="152" t="s">
        <v>3660</v>
      </c>
      <c r="E188" s="152" t="s">
        <v>3525</v>
      </c>
      <c r="F188" s="152" t="s">
        <v>3526</v>
      </c>
    </row>
    <row r="189">
      <c r="A189" s="151">
        <v>46076.93608621528</v>
      </c>
      <c r="B189" s="152" t="s">
        <v>3522</v>
      </c>
      <c r="C189" s="152" t="s">
        <v>3530</v>
      </c>
      <c r="D189" s="152" t="s">
        <v>3660</v>
      </c>
      <c r="E189" s="152" t="s">
        <v>3525</v>
      </c>
      <c r="F189" s="152" t="s">
        <v>3526</v>
      </c>
    </row>
    <row r="190">
      <c r="A190" s="151">
        <v>46084.54840770834</v>
      </c>
      <c r="B190" s="152" t="s">
        <v>3522</v>
      </c>
      <c r="C190" s="152" t="s">
        <v>3662</v>
      </c>
      <c r="D190" s="152" t="s">
        <v>3663</v>
      </c>
      <c r="E190" s="152" t="s">
        <v>3525</v>
      </c>
      <c r="F190" s="152" t="s">
        <v>492</v>
      </c>
    </row>
    <row r="191">
      <c r="A191" s="151">
        <v>46084.54842340278</v>
      </c>
      <c r="B191" s="152" t="s">
        <v>3522</v>
      </c>
      <c r="C191" s="152" t="s">
        <v>3662</v>
      </c>
      <c r="D191" s="152" t="s">
        <v>3663</v>
      </c>
      <c r="E191" s="152" t="s">
        <v>3525</v>
      </c>
      <c r="F191" s="152" t="s">
        <v>492</v>
      </c>
    </row>
    <row r="192">
      <c r="A192" s="151">
        <v>46084.548766747685</v>
      </c>
      <c r="B192" s="152" t="s">
        <v>3522</v>
      </c>
      <c r="C192" s="152" t="s">
        <v>3662</v>
      </c>
      <c r="D192" s="152" t="s">
        <v>3663</v>
      </c>
      <c r="E192" s="152" t="s">
        <v>3525</v>
      </c>
      <c r="F192" s="152" t="s">
        <v>2347</v>
      </c>
    </row>
    <row r="193">
      <c r="A193" s="151">
        <v>46084.54891394676</v>
      </c>
      <c r="B193" s="152" t="s">
        <v>3522</v>
      </c>
      <c r="C193" s="152" t="s">
        <v>3662</v>
      </c>
      <c r="D193" s="152" t="s">
        <v>3664</v>
      </c>
      <c r="E193" s="152" t="s">
        <v>3525</v>
      </c>
      <c r="F193" s="152" t="s">
        <v>3526</v>
      </c>
    </row>
    <row r="194">
      <c r="A194" s="151">
        <v>46084.54892267361</v>
      </c>
      <c r="B194" s="152" t="s">
        <v>3522</v>
      </c>
      <c r="C194" s="152" t="s">
        <v>3662</v>
      </c>
      <c r="D194" s="152" t="s">
        <v>3664</v>
      </c>
      <c r="E194" s="152" t="s">
        <v>3525</v>
      </c>
      <c r="F194" s="152" t="s">
        <v>3526</v>
      </c>
    </row>
    <row r="195">
      <c r="A195" s="151">
        <v>46084.54893052083</v>
      </c>
      <c r="B195" s="152" t="s">
        <v>3522</v>
      </c>
      <c r="C195" s="152" t="s">
        <v>3662</v>
      </c>
      <c r="D195" s="152" t="s">
        <v>3664</v>
      </c>
      <c r="E195" s="152" t="s">
        <v>3525</v>
      </c>
      <c r="F195" s="152" t="s">
        <v>3526</v>
      </c>
    </row>
    <row r="196">
      <c r="A196" s="151">
        <v>46084.549238252315</v>
      </c>
      <c r="B196" s="152" t="s">
        <v>3522</v>
      </c>
      <c r="C196" s="152" t="s">
        <v>3662</v>
      </c>
      <c r="D196" s="152" t="s">
        <v>3663</v>
      </c>
      <c r="E196" s="152" t="s">
        <v>2347</v>
      </c>
      <c r="F196" s="152" t="s">
        <v>2476</v>
      </c>
    </row>
    <row r="197">
      <c r="A197" s="151">
        <v>46084.5492565162</v>
      </c>
      <c r="B197" s="152" t="s">
        <v>3522</v>
      </c>
      <c r="C197" s="152" t="s">
        <v>3662</v>
      </c>
      <c r="D197" s="152" t="s">
        <v>3663</v>
      </c>
      <c r="E197" s="152" t="s">
        <v>2347</v>
      </c>
      <c r="F197" s="152" t="s">
        <v>2476</v>
      </c>
    </row>
    <row r="198">
      <c r="A198" s="151">
        <v>46084.5515665625</v>
      </c>
      <c r="B198" s="152" t="s">
        <v>3522</v>
      </c>
      <c r="C198" s="152" t="s">
        <v>3662</v>
      </c>
      <c r="D198" s="152" t="s">
        <v>3663</v>
      </c>
      <c r="E198" s="152" t="s">
        <v>2476</v>
      </c>
      <c r="F198" s="152" t="s">
        <v>3526</v>
      </c>
    </row>
    <row r="199">
      <c r="A199" s="151">
        <v>46084.55156875</v>
      </c>
      <c r="B199" s="152" t="s">
        <v>3522</v>
      </c>
      <c r="C199" s="152" t="s">
        <v>3662</v>
      </c>
      <c r="D199" s="152" t="s">
        <v>3663</v>
      </c>
      <c r="E199" s="152" t="s">
        <v>2476</v>
      </c>
      <c r="F199" s="152" t="s">
        <v>3526</v>
      </c>
    </row>
    <row r="200">
      <c r="A200" s="151">
        <v>46084.55164628472</v>
      </c>
      <c r="B200" s="152" t="s">
        <v>3522</v>
      </c>
      <c r="C200" s="152" t="s">
        <v>3662</v>
      </c>
      <c r="D200" s="152" t="s">
        <v>3663</v>
      </c>
      <c r="E200" s="152" t="s">
        <v>3525</v>
      </c>
      <c r="F200" s="152" t="s">
        <v>3665</v>
      </c>
    </row>
    <row r="201">
      <c r="A201" s="151">
        <v>46084.55166844907</v>
      </c>
      <c r="B201" s="152" t="s">
        <v>3522</v>
      </c>
      <c r="C201" s="152" t="s">
        <v>3662</v>
      </c>
      <c r="D201" s="152" t="s">
        <v>3663</v>
      </c>
      <c r="E201" s="152" t="s">
        <v>3525</v>
      </c>
      <c r="F201" s="152" t="s">
        <v>3665</v>
      </c>
    </row>
    <row r="202">
      <c r="A202" s="151">
        <v>46085.432603611116</v>
      </c>
      <c r="B202" s="152" t="s">
        <v>3522</v>
      </c>
      <c r="C202" s="152" t="s">
        <v>3523</v>
      </c>
      <c r="D202" s="152" t="s">
        <v>3545</v>
      </c>
      <c r="E202" s="152" t="s">
        <v>2557</v>
      </c>
      <c r="F202" s="152" t="s">
        <v>3560</v>
      </c>
    </row>
    <row r="203">
      <c r="A203" s="151">
        <v>46085.43262841435</v>
      </c>
      <c r="B203" s="152" t="s">
        <v>3522</v>
      </c>
      <c r="C203" s="152" t="s">
        <v>3523</v>
      </c>
      <c r="D203" s="152" t="s">
        <v>3545</v>
      </c>
      <c r="E203" s="152" t="s">
        <v>2557</v>
      </c>
      <c r="F203" s="152" t="s">
        <v>3560</v>
      </c>
    </row>
    <row r="204">
      <c r="A204" s="151">
        <v>46085.4329728125</v>
      </c>
      <c r="B204" s="152" t="s">
        <v>3522</v>
      </c>
      <c r="C204" s="152" t="s">
        <v>3523</v>
      </c>
      <c r="D204" s="152" t="s">
        <v>3545</v>
      </c>
      <c r="E204" s="152" t="s">
        <v>3560</v>
      </c>
      <c r="F204" s="152" t="s">
        <v>2557</v>
      </c>
    </row>
    <row r="205">
      <c r="A205" s="151">
        <v>46085.433296574076</v>
      </c>
      <c r="B205" s="152" t="s">
        <v>3522</v>
      </c>
      <c r="C205" s="152" t="s">
        <v>2557</v>
      </c>
      <c r="D205" s="152" t="s">
        <v>3550</v>
      </c>
      <c r="E205" s="152" t="s">
        <v>2557</v>
      </c>
      <c r="F205" s="152" t="s">
        <v>3555</v>
      </c>
    </row>
    <row r="206">
      <c r="A206" s="151">
        <v>46085.43334041667</v>
      </c>
      <c r="B206" s="152" t="s">
        <v>3522</v>
      </c>
      <c r="C206" s="152" t="s">
        <v>2557</v>
      </c>
      <c r="D206" s="152" t="s">
        <v>3550</v>
      </c>
      <c r="E206" s="152" t="s">
        <v>2557</v>
      </c>
      <c r="F206" s="152" t="s">
        <v>3555</v>
      </c>
    </row>
    <row r="207">
      <c r="A207" s="151">
        <v>46085.43356984954</v>
      </c>
      <c r="B207" s="152" t="s">
        <v>3522</v>
      </c>
      <c r="C207" s="152" t="s">
        <v>2557</v>
      </c>
      <c r="D207" s="152" t="s">
        <v>3550</v>
      </c>
      <c r="E207" s="152" t="s">
        <v>3555</v>
      </c>
      <c r="F207" s="152" t="s">
        <v>3110</v>
      </c>
    </row>
    <row r="208">
      <c r="A208" s="151">
        <v>46085.43357204861</v>
      </c>
      <c r="B208" s="152" t="s">
        <v>3522</v>
      </c>
      <c r="C208" s="152" t="s">
        <v>2557</v>
      </c>
      <c r="D208" s="152" t="s">
        <v>3550</v>
      </c>
      <c r="E208" s="152" t="s">
        <v>3555</v>
      </c>
      <c r="F208" s="152" t="s">
        <v>3110</v>
      </c>
    </row>
    <row r="209">
      <c r="A209" s="151">
        <v>46086.61632724537</v>
      </c>
      <c r="B209" s="152" t="s">
        <v>3522</v>
      </c>
      <c r="C209" s="152" t="s">
        <v>3523</v>
      </c>
      <c r="D209" s="152" t="s">
        <v>3559</v>
      </c>
      <c r="E209" s="152" t="s">
        <v>3110</v>
      </c>
      <c r="F209" s="152" t="s">
        <v>2557</v>
      </c>
    </row>
    <row r="210">
      <c r="A210" s="151">
        <v>46086.616330590274</v>
      </c>
      <c r="B210" s="152" t="s">
        <v>3522</v>
      </c>
      <c r="C210" s="152" t="s">
        <v>3523</v>
      </c>
      <c r="D210" s="152" t="s">
        <v>3559</v>
      </c>
      <c r="E210" s="152" t="s">
        <v>3110</v>
      </c>
      <c r="F210" s="152" t="s">
        <v>2557</v>
      </c>
    </row>
    <row r="211">
      <c r="A211" s="151">
        <v>46093.413530590275</v>
      </c>
      <c r="B211" s="152" t="s">
        <v>3522</v>
      </c>
      <c r="C211" s="152" t="s">
        <v>3530</v>
      </c>
      <c r="D211" s="152" t="s">
        <v>3666</v>
      </c>
      <c r="E211" s="152" t="s">
        <v>3525</v>
      </c>
      <c r="F211" s="152" t="s">
        <v>3526</v>
      </c>
    </row>
    <row r="212">
      <c r="A212" s="151">
        <v>46093.41353416667</v>
      </c>
      <c r="B212" s="152" t="s">
        <v>3522</v>
      </c>
      <c r="C212" s="152" t="s">
        <v>3530</v>
      </c>
      <c r="D212" s="152" t="s">
        <v>3666</v>
      </c>
      <c r="E212" s="152" t="s">
        <v>3525</v>
      </c>
      <c r="F212" s="152" t="s">
        <v>3526</v>
      </c>
    </row>
    <row r="213">
      <c r="A213" s="151">
        <v>46093.416796377314</v>
      </c>
      <c r="B213" s="152" t="s">
        <v>3522</v>
      </c>
      <c r="C213" s="152" t="s">
        <v>3523</v>
      </c>
      <c r="D213" s="152" t="s">
        <v>3559</v>
      </c>
      <c r="E213" s="152" t="s">
        <v>3110</v>
      </c>
      <c r="F213" s="152" t="s">
        <v>2557</v>
      </c>
    </row>
    <row r="214">
      <c r="A214" s="151">
        <v>46093.416800127314</v>
      </c>
      <c r="B214" s="152" t="s">
        <v>3522</v>
      </c>
      <c r="C214" s="152" t="s">
        <v>3523</v>
      </c>
      <c r="D214" s="152" t="s">
        <v>3559</v>
      </c>
      <c r="E214" s="152" t="s">
        <v>3110</v>
      </c>
      <c r="F214" s="152" t="s">
        <v>2557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0"/>
    <col customWidth="1" min="3" max="3" width="12.5"/>
    <col customWidth="1" min="4" max="4" width="20.63"/>
    <col customWidth="1" min="5" max="5" width="12.25"/>
    <col customWidth="1" min="6" max="6" width="9.13"/>
    <col customWidth="1" min="7" max="7" width="29.63"/>
    <col customWidth="1" min="8" max="8" width="14.5"/>
    <col customWidth="1" min="9" max="9" width="26.13"/>
    <col customWidth="1" min="10" max="10" width="6.38"/>
    <col customWidth="1" min="11" max="11" width="19.38"/>
    <col customWidth="1" min="12" max="12" width="11.25"/>
    <col customWidth="1" min="13" max="13" width="12.0"/>
    <col customWidth="1" min="14" max="14" width="11.25"/>
    <col customWidth="1" min="15" max="15" width="13.75"/>
    <col customWidth="1" min="16" max="16" width="14.5"/>
    <col customWidth="1" min="17" max="18" width="15.25"/>
    <col customWidth="1" min="19" max="19" width="18.0"/>
    <col customWidth="1" min="20" max="20" width="31.5"/>
    <col customWidth="1" min="21" max="21" width="18.0"/>
    <col customWidth="1" min="22" max="22" width="22.38"/>
    <col customWidth="1" min="23" max="23" width="26.25"/>
    <col customWidth="1" min="24" max="24" width="24.5"/>
    <col customWidth="1" min="25" max="25" width="16.63"/>
    <col customWidth="1" min="26" max="26" width="22.88"/>
    <col customWidth="1" min="27" max="27" width="14.75"/>
    <col customWidth="1" min="28" max="28" width="25.75"/>
  </cols>
  <sheetData>
    <row r="1">
      <c r="A1" s="99" t="s">
        <v>3081</v>
      </c>
      <c r="B1" s="102" t="s">
        <v>0</v>
      </c>
      <c r="C1" s="4" t="s">
        <v>1</v>
      </c>
      <c r="D1" s="4" t="s">
        <v>2</v>
      </c>
      <c r="E1" s="4" t="s">
        <v>3082</v>
      </c>
      <c r="F1" s="4" t="s">
        <v>3083</v>
      </c>
      <c r="G1" s="4" t="s">
        <v>3084</v>
      </c>
      <c r="H1" s="4" t="s">
        <v>5</v>
      </c>
      <c r="I1" s="102" t="s">
        <v>3086</v>
      </c>
      <c r="J1" s="4" t="s">
        <v>6</v>
      </c>
      <c r="K1" s="4" t="s">
        <v>4</v>
      </c>
      <c r="L1" s="102" t="s">
        <v>3087</v>
      </c>
      <c r="M1" s="102" t="s">
        <v>3088</v>
      </c>
      <c r="N1" s="102" t="s">
        <v>3104</v>
      </c>
      <c r="O1" s="104" t="s">
        <v>3089</v>
      </c>
      <c r="P1" s="99" t="s">
        <v>3652</v>
      </c>
      <c r="Q1" s="99" t="s">
        <v>3654</v>
      </c>
      <c r="R1" s="102" t="s">
        <v>3091</v>
      </c>
      <c r="S1" s="102" t="s">
        <v>3092</v>
      </c>
      <c r="T1" s="102" t="s">
        <v>3101</v>
      </c>
      <c r="U1" s="102" t="s">
        <v>2865</v>
      </c>
      <c r="V1" s="102" t="s">
        <v>3667</v>
      </c>
      <c r="W1" s="102" t="s">
        <v>3100</v>
      </c>
      <c r="X1" s="102" t="s">
        <v>3668</v>
      </c>
      <c r="Y1" s="102" t="s">
        <v>2865</v>
      </c>
      <c r="Z1" s="102" t="s">
        <v>3667</v>
      </c>
      <c r="AA1" s="102" t="s">
        <v>3103</v>
      </c>
      <c r="AB1" s="102" t="s">
        <v>3105</v>
      </c>
    </row>
    <row r="2">
      <c r="A2" s="16">
        <v>1.0</v>
      </c>
      <c r="B2" s="16" t="s">
        <v>7</v>
      </c>
      <c r="C2" s="16" t="s">
        <v>8</v>
      </c>
      <c r="D2" s="16" t="s">
        <v>9</v>
      </c>
      <c r="E2" s="16" t="s">
        <v>3106</v>
      </c>
      <c r="F2" s="16" t="s">
        <v>10</v>
      </c>
      <c r="G2" s="16" t="s">
        <v>3669</v>
      </c>
      <c r="H2" s="16" t="s">
        <v>12</v>
      </c>
      <c r="I2" s="17"/>
      <c r="J2" s="16" t="s">
        <v>13</v>
      </c>
      <c r="K2" s="16" t="s">
        <v>11</v>
      </c>
      <c r="L2" s="154">
        <v>44182.0</v>
      </c>
      <c r="M2" s="16">
        <f t="shared" ref="M2:M728" si="1">YEAR(TODAY()) - YEAR(DATEVALUE(L2))
</f>
        <v>6</v>
      </c>
      <c r="N2" s="16">
        <v>5.0003664E7</v>
      </c>
      <c r="O2" s="16" t="s">
        <v>3670</v>
      </c>
      <c r="P2" s="110" t="s">
        <v>2557</v>
      </c>
      <c r="Q2" s="152" t="s">
        <v>3571</v>
      </c>
      <c r="R2" s="17"/>
      <c r="S2" s="16" t="s">
        <v>3671</v>
      </c>
      <c r="T2" s="17"/>
      <c r="U2" s="16" t="s">
        <v>3283</v>
      </c>
      <c r="V2" s="16" t="s">
        <v>3672</v>
      </c>
      <c r="W2" s="17"/>
      <c r="X2" s="17"/>
      <c r="Y2" s="16" t="s">
        <v>3283</v>
      </c>
      <c r="Z2" s="16" t="s">
        <v>3672</v>
      </c>
      <c r="AA2" s="17"/>
      <c r="AB2" s="17"/>
    </row>
    <row r="3">
      <c r="A3" s="16">
        <f t="shared" ref="A3:A815" si="2">A2+1</f>
        <v>2</v>
      </c>
      <c r="B3" s="16" t="s">
        <v>14</v>
      </c>
      <c r="C3" s="16" t="s">
        <v>15</v>
      </c>
      <c r="D3" s="16" t="s">
        <v>16</v>
      </c>
      <c r="E3" s="16" t="s">
        <v>3106</v>
      </c>
      <c r="F3" s="16" t="s">
        <v>10</v>
      </c>
      <c r="G3" s="16" t="s">
        <v>3669</v>
      </c>
      <c r="H3" s="16" t="s">
        <v>17</v>
      </c>
      <c r="I3" s="17"/>
      <c r="J3" s="16" t="s">
        <v>13</v>
      </c>
      <c r="K3" s="16" t="s">
        <v>11</v>
      </c>
      <c r="L3" s="154">
        <v>44182.0</v>
      </c>
      <c r="M3" s="16">
        <f t="shared" si="1"/>
        <v>6</v>
      </c>
      <c r="N3" s="16">
        <v>5.0003664E7</v>
      </c>
      <c r="O3" s="16" t="s">
        <v>3670</v>
      </c>
      <c r="P3" s="110" t="s">
        <v>3108</v>
      </c>
      <c r="Q3" s="152" t="s">
        <v>3574</v>
      </c>
      <c r="R3" s="17"/>
      <c r="S3" s="16" t="s">
        <v>3673</v>
      </c>
      <c r="T3" s="16" t="s">
        <v>3674</v>
      </c>
      <c r="U3" s="16" t="s">
        <v>3283</v>
      </c>
      <c r="V3" s="16" t="s">
        <v>3672</v>
      </c>
      <c r="W3" s="17"/>
      <c r="X3" s="16" t="s">
        <v>3329</v>
      </c>
      <c r="Y3" s="16" t="s">
        <v>3283</v>
      </c>
      <c r="Z3" s="16" t="s">
        <v>3672</v>
      </c>
      <c r="AA3" s="16" t="s">
        <v>2842</v>
      </c>
      <c r="AB3" s="16" t="s">
        <v>17</v>
      </c>
    </row>
    <row r="4">
      <c r="A4" s="16">
        <f t="shared" si="2"/>
        <v>3</v>
      </c>
      <c r="B4" s="16" t="s">
        <v>18</v>
      </c>
      <c r="C4" s="16" t="s">
        <v>19</v>
      </c>
      <c r="D4" s="16" t="s">
        <v>20</v>
      </c>
      <c r="E4" s="16" t="s">
        <v>3106</v>
      </c>
      <c r="F4" s="16" t="s">
        <v>10</v>
      </c>
      <c r="G4" s="16" t="s">
        <v>3669</v>
      </c>
      <c r="H4" s="16" t="s">
        <v>12</v>
      </c>
      <c r="I4" s="17"/>
      <c r="J4" s="16" t="s">
        <v>13</v>
      </c>
      <c r="K4" s="16" t="s">
        <v>11</v>
      </c>
      <c r="L4" s="154">
        <v>44182.0</v>
      </c>
      <c r="M4" s="16">
        <f t="shared" si="1"/>
        <v>6</v>
      </c>
      <c r="N4" s="16">
        <v>5.0003664E7</v>
      </c>
      <c r="O4" s="16" t="s">
        <v>3542</v>
      </c>
      <c r="P4" s="16" t="s">
        <v>3110</v>
      </c>
      <c r="Q4" s="152" t="s">
        <v>3577</v>
      </c>
      <c r="R4" s="115">
        <v>45358.0</v>
      </c>
      <c r="S4" s="16" t="s">
        <v>3673</v>
      </c>
      <c r="T4" s="16" t="s">
        <v>3675</v>
      </c>
      <c r="U4" s="16" t="s">
        <v>3283</v>
      </c>
      <c r="V4" s="16" t="s">
        <v>3672</v>
      </c>
      <c r="W4" s="17"/>
      <c r="X4" s="16" t="s">
        <v>3675</v>
      </c>
      <c r="Y4" s="16" t="s">
        <v>3283</v>
      </c>
      <c r="Z4" s="16" t="s">
        <v>3672</v>
      </c>
      <c r="AA4" s="17"/>
      <c r="AB4" s="17"/>
    </row>
    <row r="5">
      <c r="A5" s="16">
        <f t="shared" si="2"/>
        <v>4</v>
      </c>
      <c r="B5" s="16" t="s">
        <v>21</v>
      </c>
      <c r="C5" s="16" t="s">
        <v>22</v>
      </c>
      <c r="D5" s="16" t="s">
        <v>23</v>
      </c>
      <c r="E5" s="16" t="s">
        <v>3106</v>
      </c>
      <c r="F5" s="16" t="s">
        <v>10</v>
      </c>
      <c r="G5" s="16" t="s">
        <v>3669</v>
      </c>
      <c r="H5" s="16" t="s">
        <v>12</v>
      </c>
      <c r="I5" s="17"/>
      <c r="J5" s="16" t="s">
        <v>13</v>
      </c>
      <c r="K5" s="16" t="s">
        <v>11</v>
      </c>
      <c r="L5" s="154">
        <v>44182.0</v>
      </c>
      <c r="M5" s="16">
        <f t="shared" si="1"/>
        <v>6</v>
      </c>
      <c r="N5" s="16">
        <v>5.0003664E7</v>
      </c>
      <c r="O5" s="16" t="s">
        <v>3670</v>
      </c>
      <c r="P5" s="16" t="s">
        <v>3110</v>
      </c>
      <c r="Q5" s="152" t="s">
        <v>3580</v>
      </c>
      <c r="R5" s="17"/>
      <c r="S5" s="16" t="s">
        <v>3673</v>
      </c>
      <c r="T5" s="16" t="s">
        <v>3676</v>
      </c>
      <c r="U5" s="16" t="s">
        <v>3283</v>
      </c>
      <c r="V5" s="16" t="s">
        <v>3672</v>
      </c>
      <c r="W5" s="17"/>
      <c r="X5" s="16" t="s">
        <v>3676</v>
      </c>
      <c r="Y5" s="16" t="s">
        <v>3283</v>
      </c>
      <c r="Z5" s="16" t="s">
        <v>3672</v>
      </c>
      <c r="AA5" s="17"/>
      <c r="AB5" s="17"/>
    </row>
    <row r="6">
      <c r="A6" s="16">
        <f t="shared" si="2"/>
        <v>5</v>
      </c>
      <c r="B6" s="16" t="s">
        <v>24</v>
      </c>
      <c r="C6" s="16" t="s">
        <v>25</v>
      </c>
      <c r="D6" s="16" t="s">
        <v>26</v>
      </c>
      <c r="E6" s="16" t="s">
        <v>3106</v>
      </c>
      <c r="F6" s="16" t="s">
        <v>10</v>
      </c>
      <c r="G6" s="16" t="s">
        <v>3669</v>
      </c>
      <c r="H6" s="16" t="s">
        <v>12</v>
      </c>
      <c r="I6" s="17"/>
      <c r="J6" s="16" t="s">
        <v>13</v>
      </c>
      <c r="K6" s="16" t="s">
        <v>11</v>
      </c>
      <c r="L6" s="154">
        <v>44182.0</v>
      </c>
      <c r="M6" s="16">
        <f t="shared" si="1"/>
        <v>6</v>
      </c>
      <c r="N6" s="16">
        <v>5.0003664E7</v>
      </c>
      <c r="O6" s="16" t="s">
        <v>3670</v>
      </c>
      <c r="P6" s="16" t="s">
        <v>3110</v>
      </c>
      <c r="Q6" s="152" t="s">
        <v>3583</v>
      </c>
      <c r="R6" s="17"/>
      <c r="S6" s="16" t="s">
        <v>3671</v>
      </c>
      <c r="T6" s="17"/>
      <c r="U6" s="16" t="s">
        <v>3283</v>
      </c>
      <c r="V6" s="16" t="s">
        <v>3672</v>
      </c>
      <c r="W6" s="17"/>
      <c r="X6" s="17"/>
      <c r="Y6" s="16" t="s">
        <v>3283</v>
      </c>
      <c r="Z6" s="16" t="s">
        <v>3672</v>
      </c>
      <c r="AA6" s="17"/>
      <c r="AB6" s="17"/>
    </row>
    <row r="7">
      <c r="A7" s="16">
        <f t="shared" si="2"/>
        <v>6</v>
      </c>
      <c r="B7" s="16" t="s">
        <v>27</v>
      </c>
      <c r="C7" s="16" t="s">
        <v>28</v>
      </c>
      <c r="D7" s="16">
        <v>0.0</v>
      </c>
      <c r="E7" s="16" t="s">
        <v>3106</v>
      </c>
      <c r="F7" s="16" t="s">
        <v>10</v>
      </c>
      <c r="G7" s="16" t="s">
        <v>3669</v>
      </c>
      <c r="H7" s="16" t="s">
        <v>12</v>
      </c>
      <c r="I7" s="17"/>
      <c r="J7" s="16" t="s">
        <v>13</v>
      </c>
      <c r="K7" s="16" t="s">
        <v>11</v>
      </c>
      <c r="L7" s="154">
        <v>44182.0</v>
      </c>
      <c r="M7" s="16">
        <f t="shared" si="1"/>
        <v>6</v>
      </c>
      <c r="N7" s="16">
        <v>5.0003664E7</v>
      </c>
      <c r="O7" s="16" t="s">
        <v>3670</v>
      </c>
      <c r="P7" s="16" t="s">
        <v>3110</v>
      </c>
      <c r="Q7" s="152" t="s">
        <v>3586</v>
      </c>
      <c r="R7" s="17"/>
      <c r="S7" s="16" t="s">
        <v>3671</v>
      </c>
      <c r="T7" s="17"/>
      <c r="U7" s="16" t="s">
        <v>3283</v>
      </c>
      <c r="V7" s="16" t="s">
        <v>3672</v>
      </c>
      <c r="W7" s="17"/>
      <c r="X7" s="17"/>
      <c r="Y7" s="16" t="s">
        <v>3283</v>
      </c>
      <c r="Z7" s="16" t="s">
        <v>3672</v>
      </c>
      <c r="AA7" s="17"/>
      <c r="AB7" s="17"/>
    </row>
    <row r="8">
      <c r="A8" s="16">
        <f t="shared" si="2"/>
        <v>7</v>
      </c>
      <c r="B8" s="16" t="s">
        <v>29</v>
      </c>
      <c r="C8" s="16" t="s">
        <v>30</v>
      </c>
      <c r="D8" s="16" t="s">
        <v>31</v>
      </c>
      <c r="E8" s="16" t="s">
        <v>3106</v>
      </c>
      <c r="F8" s="16" t="s">
        <v>10</v>
      </c>
      <c r="G8" s="16" t="s">
        <v>3669</v>
      </c>
      <c r="H8" s="16" t="s">
        <v>17</v>
      </c>
      <c r="I8" s="17"/>
      <c r="J8" s="16" t="s">
        <v>13</v>
      </c>
      <c r="K8" s="16" t="s">
        <v>11</v>
      </c>
      <c r="L8" s="154">
        <v>44182.0</v>
      </c>
      <c r="M8" s="16">
        <f t="shared" si="1"/>
        <v>6</v>
      </c>
      <c r="N8" s="16">
        <v>5.0003664E7</v>
      </c>
      <c r="O8" s="16" t="s">
        <v>3670</v>
      </c>
      <c r="P8" s="16" t="s">
        <v>3110</v>
      </c>
      <c r="Q8" s="152" t="s">
        <v>3589</v>
      </c>
      <c r="R8" s="17"/>
      <c r="S8" s="16" t="s">
        <v>3673</v>
      </c>
      <c r="T8" s="119" t="s">
        <v>3677</v>
      </c>
      <c r="U8" s="16" t="s">
        <v>3283</v>
      </c>
      <c r="V8" s="16" t="s">
        <v>3672</v>
      </c>
      <c r="W8" s="17"/>
      <c r="X8" s="16" t="s">
        <v>3329</v>
      </c>
      <c r="Y8" s="16" t="s">
        <v>3283</v>
      </c>
      <c r="Z8" s="16" t="s">
        <v>3672</v>
      </c>
      <c r="AA8" s="16" t="s">
        <v>2842</v>
      </c>
      <c r="AB8" s="16" t="s">
        <v>17</v>
      </c>
    </row>
    <row r="9">
      <c r="A9" s="16">
        <f t="shared" si="2"/>
        <v>8</v>
      </c>
      <c r="B9" s="16" t="s">
        <v>32</v>
      </c>
      <c r="C9" s="16" t="s">
        <v>33</v>
      </c>
      <c r="D9" s="16" t="s">
        <v>34</v>
      </c>
      <c r="E9" s="16" t="s">
        <v>3106</v>
      </c>
      <c r="F9" s="16" t="s">
        <v>10</v>
      </c>
      <c r="G9" s="16" t="s">
        <v>3678</v>
      </c>
      <c r="H9" s="16" t="s">
        <v>12</v>
      </c>
      <c r="I9" s="17"/>
      <c r="J9" s="16" t="s">
        <v>36</v>
      </c>
      <c r="K9" s="16" t="s">
        <v>35</v>
      </c>
      <c r="L9" s="154">
        <v>43691.0</v>
      </c>
      <c r="M9" s="16">
        <f t="shared" si="1"/>
        <v>7</v>
      </c>
      <c r="N9" s="17"/>
      <c r="O9" s="16" t="s">
        <v>3679</v>
      </c>
      <c r="P9" s="16" t="s">
        <v>3110</v>
      </c>
      <c r="Q9" s="152" t="s">
        <v>3592</v>
      </c>
      <c r="R9" s="17"/>
      <c r="S9" s="16" t="s">
        <v>3671</v>
      </c>
      <c r="T9" s="16" t="s">
        <v>3680</v>
      </c>
      <c r="U9" s="16" t="s">
        <v>3175</v>
      </c>
      <c r="V9" s="16" t="s">
        <v>3681</v>
      </c>
      <c r="W9" s="17"/>
      <c r="X9" s="16" t="s">
        <v>3680</v>
      </c>
      <c r="Y9" s="16" t="s">
        <v>3175</v>
      </c>
      <c r="Z9" s="16" t="s">
        <v>3681</v>
      </c>
      <c r="AA9" s="17"/>
      <c r="AB9" s="17"/>
    </row>
    <row r="10">
      <c r="A10" s="16">
        <f t="shared" si="2"/>
        <v>9</v>
      </c>
      <c r="B10" s="16" t="s">
        <v>37</v>
      </c>
      <c r="C10" s="16" t="s">
        <v>38</v>
      </c>
      <c r="D10" s="16" t="s">
        <v>39</v>
      </c>
      <c r="E10" s="16" t="s">
        <v>3106</v>
      </c>
      <c r="F10" s="16" t="s">
        <v>10</v>
      </c>
      <c r="G10" s="16" t="s">
        <v>3682</v>
      </c>
      <c r="H10" s="16" t="s">
        <v>17</v>
      </c>
      <c r="I10" s="17"/>
      <c r="J10" s="16" t="s">
        <v>36</v>
      </c>
      <c r="K10" s="16" t="s">
        <v>40</v>
      </c>
      <c r="L10" s="154">
        <v>41917.0</v>
      </c>
      <c r="M10" s="16">
        <f t="shared" si="1"/>
        <v>12</v>
      </c>
      <c r="N10" s="17"/>
      <c r="O10" s="16" t="s">
        <v>3670</v>
      </c>
      <c r="P10" s="16" t="s">
        <v>3110</v>
      </c>
      <c r="Q10" s="152" t="s">
        <v>3595</v>
      </c>
      <c r="R10" s="17"/>
      <c r="S10" s="16" t="s">
        <v>3673</v>
      </c>
      <c r="T10" s="16" t="s">
        <v>3683</v>
      </c>
      <c r="U10" s="16" t="s">
        <v>3141</v>
      </c>
      <c r="V10" s="16" t="s">
        <v>3681</v>
      </c>
      <c r="W10" s="17"/>
      <c r="X10" s="16" t="s">
        <v>3329</v>
      </c>
      <c r="Y10" s="16" t="s">
        <v>3141</v>
      </c>
      <c r="Z10" s="16" t="s">
        <v>3681</v>
      </c>
      <c r="AA10" s="16" t="s">
        <v>2842</v>
      </c>
      <c r="AB10" s="16" t="s">
        <v>17</v>
      </c>
    </row>
    <row r="11">
      <c r="A11" s="16">
        <f t="shared" si="2"/>
        <v>10</v>
      </c>
      <c r="B11" s="16" t="s">
        <v>41</v>
      </c>
      <c r="C11" s="16" t="s">
        <v>42</v>
      </c>
      <c r="D11" s="16" t="s">
        <v>43</v>
      </c>
      <c r="E11" s="16" t="s">
        <v>3106</v>
      </c>
      <c r="F11" s="16" t="s">
        <v>10</v>
      </c>
      <c r="G11" s="16" t="s">
        <v>3678</v>
      </c>
      <c r="H11" s="16" t="s">
        <v>12</v>
      </c>
      <c r="I11" s="17"/>
      <c r="J11" s="16" t="s">
        <v>36</v>
      </c>
      <c r="K11" s="16" t="s">
        <v>35</v>
      </c>
      <c r="L11" s="154">
        <v>43156.0</v>
      </c>
      <c r="M11" s="16">
        <f t="shared" si="1"/>
        <v>8</v>
      </c>
      <c r="N11" s="17"/>
      <c r="O11" s="17"/>
      <c r="P11" s="16" t="s">
        <v>3110</v>
      </c>
      <c r="Q11" s="152" t="s">
        <v>3598</v>
      </c>
      <c r="R11" s="17"/>
      <c r="S11" s="16" t="s">
        <v>3673</v>
      </c>
      <c r="T11" s="16" t="s">
        <v>3684</v>
      </c>
      <c r="U11" s="16" t="s">
        <v>3141</v>
      </c>
      <c r="V11" s="16" t="s">
        <v>3681</v>
      </c>
      <c r="W11" s="17"/>
      <c r="X11" s="16" t="s">
        <v>3684</v>
      </c>
      <c r="Y11" s="16" t="s">
        <v>3141</v>
      </c>
      <c r="Z11" s="16" t="s">
        <v>3681</v>
      </c>
      <c r="AA11" s="17"/>
      <c r="AB11" s="17"/>
    </row>
    <row r="12">
      <c r="A12" s="16">
        <f t="shared" si="2"/>
        <v>11</v>
      </c>
      <c r="B12" s="16" t="s">
        <v>44</v>
      </c>
      <c r="C12" s="16" t="s">
        <v>45</v>
      </c>
      <c r="D12" s="16" t="s">
        <v>46</v>
      </c>
      <c r="E12" s="16" t="s">
        <v>3106</v>
      </c>
      <c r="F12" s="16" t="s">
        <v>10</v>
      </c>
      <c r="G12" s="16" t="s">
        <v>3685</v>
      </c>
      <c r="H12" s="16" t="s">
        <v>17</v>
      </c>
      <c r="I12" s="17"/>
      <c r="J12" s="16" t="s">
        <v>13</v>
      </c>
      <c r="K12" s="16" t="s">
        <v>47</v>
      </c>
      <c r="L12" s="154">
        <v>41585.0</v>
      </c>
      <c r="M12" s="16">
        <f t="shared" si="1"/>
        <v>13</v>
      </c>
      <c r="N12" s="17"/>
      <c r="O12" s="16" t="s">
        <v>3670</v>
      </c>
      <c r="P12" s="16" t="s">
        <v>3110</v>
      </c>
      <c r="Q12" s="152" t="s">
        <v>3601</v>
      </c>
      <c r="R12" s="17"/>
      <c r="S12" s="16" t="s">
        <v>3673</v>
      </c>
      <c r="T12" s="17"/>
      <c r="U12" s="16" t="s">
        <v>3141</v>
      </c>
      <c r="V12" s="16" t="s">
        <v>3681</v>
      </c>
      <c r="W12" s="17"/>
      <c r="X12" s="16" t="s">
        <v>3686</v>
      </c>
      <c r="Y12" s="16" t="s">
        <v>3141</v>
      </c>
      <c r="Z12" s="16" t="s">
        <v>3681</v>
      </c>
      <c r="AA12" s="16" t="s">
        <v>3687</v>
      </c>
      <c r="AB12" s="16" t="s">
        <v>17</v>
      </c>
    </row>
    <row r="13">
      <c r="A13" s="16">
        <f t="shared" si="2"/>
        <v>12</v>
      </c>
      <c r="B13" s="16" t="s">
        <v>48</v>
      </c>
      <c r="C13" s="16" t="s">
        <v>49</v>
      </c>
      <c r="D13" s="16" t="s">
        <v>50</v>
      </c>
      <c r="E13" s="16" t="s">
        <v>3106</v>
      </c>
      <c r="F13" s="16" t="s">
        <v>10</v>
      </c>
      <c r="G13" s="16" t="s">
        <v>3678</v>
      </c>
      <c r="H13" s="16" t="s">
        <v>12</v>
      </c>
      <c r="I13" s="17"/>
      <c r="J13" s="16" t="s">
        <v>36</v>
      </c>
      <c r="K13" s="16" t="s">
        <v>35</v>
      </c>
      <c r="L13" s="154">
        <v>43153.0</v>
      </c>
      <c r="M13" s="16">
        <f t="shared" si="1"/>
        <v>8</v>
      </c>
      <c r="N13" s="17"/>
      <c r="O13" s="17"/>
      <c r="P13" s="16" t="s">
        <v>3110</v>
      </c>
      <c r="Q13" s="152" t="s">
        <v>3688</v>
      </c>
      <c r="R13" s="17"/>
      <c r="S13" s="16" t="s">
        <v>3673</v>
      </c>
      <c r="T13" s="16" t="s">
        <v>3689</v>
      </c>
      <c r="U13" s="16" t="s">
        <v>3171</v>
      </c>
      <c r="V13" s="16" t="s">
        <v>3672</v>
      </c>
      <c r="W13" s="17"/>
      <c r="X13" s="16" t="s">
        <v>3689</v>
      </c>
      <c r="Y13" s="16" t="s">
        <v>3171</v>
      </c>
      <c r="Z13" s="16" t="s">
        <v>3672</v>
      </c>
      <c r="AA13" s="17"/>
      <c r="AB13" s="17"/>
    </row>
    <row r="14">
      <c r="A14" s="16">
        <f t="shared" si="2"/>
        <v>13</v>
      </c>
      <c r="B14" s="16" t="s">
        <v>51</v>
      </c>
      <c r="C14" s="16" t="s">
        <v>52</v>
      </c>
      <c r="D14" s="16" t="s">
        <v>53</v>
      </c>
      <c r="E14" s="16" t="s">
        <v>3106</v>
      </c>
      <c r="F14" s="16" t="s">
        <v>10</v>
      </c>
      <c r="G14" s="16" t="s">
        <v>3690</v>
      </c>
      <c r="H14" s="16" t="s">
        <v>55</v>
      </c>
      <c r="I14" s="17"/>
      <c r="J14" s="16" t="s">
        <v>13</v>
      </c>
      <c r="K14" s="16" t="s">
        <v>54</v>
      </c>
      <c r="L14" s="154">
        <v>40850.0</v>
      </c>
      <c r="M14" s="16">
        <f t="shared" si="1"/>
        <v>15</v>
      </c>
      <c r="N14" s="17"/>
      <c r="O14" s="16" t="s">
        <v>3670</v>
      </c>
      <c r="P14" s="16" t="s">
        <v>3110</v>
      </c>
      <c r="Q14" s="152" t="s">
        <v>3691</v>
      </c>
      <c r="R14" s="118">
        <v>45673.0</v>
      </c>
      <c r="S14" s="16" t="s">
        <v>3673</v>
      </c>
      <c r="T14" s="16" t="s">
        <v>3692</v>
      </c>
      <c r="U14" s="16" t="s">
        <v>3171</v>
      </c>
      <c r="V14" s="17"/>
      <c r="W14" s="17"/>
      <c r="X14" s="16" t="s">
        <v>3329</v>
      </c>
      <c r="Y14" s="16" t="s">
        <v>3171</v>
      </c>
      <c r="Z14" s="16" t="s">
        <v>3672</v>
      </c>
      <c r="AA14" s="17"/>
      <c r="AB14" s="16" t="s">
        <v>55</v>
      </c>
    </row>
    <row r="15">
      <c r="A15" s="16">
        <f t="shared" si="2"/>
        <v>14</v>
      </c>
      <c r="B15" s="16" t="s">
        <v>56</v>
      </c>
      <c r="C15" s="16" t="s">
        <v>57</v>
      </c>
      <c r="D15" s="16" t="s">
        <v>58</v>
      </c>
      <c r="E15" s="16" t="s">
        <v>3106</v>
      </c>
      <c r="F15" s="16" t="s">
        <v>10</v>
      </c>
      <c r="G15" s="16" t="s">
        <v>3693</v>
      </c>
      <c r="H15" s="16" t="s">
        <v>12</v>
      </c>
      <c r="I15" s="17"/>
      <c r="J15" s="16" t="s">
        <v>13</v>
      </c>
      <c r="K15" s="16" t="s">
        <v>59</v>
      </c>
      <c r="L15" s="154">
        <v>44026.0</v>
      </c>
      <c r="M15" s="16">
        <f t="shared" si="1"/>
        <v>6</v>
      </c>
      <c r="N15" s="17"/>
      <c r="O15" s="17"/>
      <c r="P15" s="16" t="s">
        <v>3110</v>
      </c>
      <c r="Q15" s="152" t="s">
        <v>3694</v>
      </c>
      <c r="R15" s="17"/>
      <c r="S15" s="16" t="s">
        <v>3673</v>
      </c>
      <c r="T15" s="16" t="s">
        <v>3695</v>
      </c>
      <c r="U15" s="16" t="s">
        <v>3171</v>
      </c>
      <c r="V15" s="17"/>
      <c r="W15" s="17"/>
      <c r="X15" s="16" t="s">
        <v>3695</v>
      </c>
      <c r="Y15" s="16" t="s">
        <v>3171</v>
      </c>
      <c r="Z15" s="16" t="s">
        <v>3672</v>
      </c>
      <c r="AA15" s="17"/>
      <c r="AB15" s="17"/>
    </row>
    <row r="16">
      <c r="A16" s="16">
        <f t="shared" si="2"/>
        <v>15</v>
      </c>
      <c r="B16" s="16" t="s">
        <v>60</v>
      </c>
      <c r="C16" s="16" t="s">
        <v>61</v>
      </c>
      <c r="D16" s="16" t="s">
        <v>62</v>
      </c>
      <c r="E16" s="16" t="s">
        <v>3106</v>
      </c>
      <c r="F16" s="16" t="s">
        <v>10</v>
      </c>
      <c r="G16" s="16" t="s">
        <v>3678</v>
      </c>
      <c r="H16" s="16" t="s">
        <v>12</v>
      </c>
      <c r="I16" s="17"/>
      <c r="J16" s="16" t="s">
        <v>36</v>
      </c>
      <c r="K16" s="16" t="s">
        <v>35</v>
      </c>
      <c r="L16" s="154">
        <v>43156.0</v>
      </c>
      <c r="M16" s="16">
        <f t="shared" si="1"/>
        <v>8</v>
      </c>
      <c r="N16" s="17"/>
      <c r="O16" s="17"/>
      <c r="P16" s="16" t="s">
        <v>3110</v>
      </c>
      <c r="Q16" s="152" t="s">
        <v>3696</v>
      </c>
      <c r="R16" s="17"/>
      <c r="S16" s="16" t="s">
        <v>3673</v>
      </c>
      <c r="T16" s="16" t="s">
        <v>3697</v>
      </c>
      <c r="U16" s="16" t="s">
        <v>3171</v>
      </c>
      <c r="V16" s="17"/>
      <c r="W16" s="17"/>
      <c r="X16" s="16" t="s">
        <v>3697</v>
      </c>
      <c r="Y16" s="16" t="s">
        <v>3171</v>
      </c>
      <c r="Z16" s="16" t="s">
        <v>3672</v>
      </c>
      <c r="AA16" s="17"/>
      <c r="AB16" s="17"/>
    </row>
    <row r="17">
      <c r="A17" s="16">
        <f t="shared" si="2"/>
        <v>16</v>
      </c>
      <c r="B17" s="16" t="s">
        <v>63</v>
      </c>
      <c r="C17" s="16" t="s">
        <v>64</v>
      </c>
      <c r="D17" s="16" t="s">
        <v>65</v>
      </c>
      <c r="E17" s="16" t="s">
        <v>3106</v>
      </c>
      <c r="F17" s="16" t="s">
        <v>10</v>
      </c>
      <c r="G17" s="16" t="s">
        <v>3682</v>
      </c>
      <c r="H17" s="16" t="s">
        <v>12</v>
      </c>
      <c r="I17" s="17"/>
      <c r="J17" s="16" t="s">
        <v>36</v>
      </c>
      <c r="K17" s="16" t="s">
        <v>40</v>
      </c>
      <c r="L17" s="154">
        <v>42263.0</v>
      </c>
      <c r="M17" s="16">
        <f t="shared" si="1"/>
        <v>11</v>
      </c>
      <c r="N17" s="17"/>
      <c r="O17" s="17"/>
      <c r="P17" s="16" t="s">
        <v>3110</v>
      </c>
      <c r="Q17" s="152" t="s">
        <v>3698</v>
      </c>
      <c r="R17" s="17"/>
      <c r="S17" s="16" t="s">
        <v>3673</v>
      </c>
      <c r="T17" s="16" t="s">
        <v>3699</v>
      </c>
      <c r="U17" s="16" t="s">
        <v>3171</v>
      </c>
      <c r="V17" s="17"/>
      <c r="W17" s="17"/>
      <c r="X17" s="16" t="s">
        <v>3699</v>
      </c>
      <c r="Y17" s="16" t="s">
        <v>3171</v>
      </c>
      <c r="Z17" s="16" t="s">
        <v>3672</v>
      </c>
      <c r="AA17" s="17"/>
      <c r="AB17" s="17"/>
    </row>
    <row r="18">
      <c r="A18" s="16">
        <f t="shared" si="2"/>
        <v>17</v>
      </c>
      <c r="B18" s="16" t="s">
        <v>66</v>
      </c>
      <c r="C18" s="16" t="s">
        <v>67</v>
      </c>
      <c r="D18" s="16" t="s">
        <v>68</v>
      </c>
      <c r="E18" s="16" t="s">
        <v>3106</v>
      </c>
      <c r="F18" s="16" t="s">
        <v>10</v>
      </c>
      <c r="G18" s="16" t="s">
        <v>3693</v>
      </c>
      <c r="H18" s="16" t="s">
        <v>12</v>
      </c>
      <c r="I18" s="17"/>
      <c r="J18" s="16" t="s">
        <v>13</v>
      </c>
      <c r="K18" s="16" t="s">
        <v>59</v>
      </c>
      <c r="L18" s="154">
        <v>44026.0</v>
      </c>
      <c r="M18" s="16">
        <f t="shared" si="1"/>
        <v>6</v>
      </c>
      <c r="N18" s="17"/>
      <c r="O18" s="17"/>
      <c r="P18" s="16" t="s">
        <v>3110</v>
      </c>
      <c r="Q18" s="152" t="s">
        <v>3700</v>
      </c>
      <c r="R18" s="17"/>
      <c r="S18" s="16" t="s">
        <v>3673</v>
      </c>
      <c r="T18" s="16" t="s">
        <v>3701</v>
      </c>
      <c r="U18" s="16" t="s">
        <v>3171</v>
      </c>
      <c r="V18" s="17"/>
      <c r="W18" s="17"/>
      <c r="X18" s="16" t="s">
        <v>3701</v>
      </c>
      <c r="Y18" s="16" t="s">
        <v>3171</v>
      </c>
      <c r="Z18" s="16" t="s">
        <v>3672</v>
      </c>
      <c r="AA18" s="17"/>
      <c r="AB18" s="17"/>
    </row>
    <row r="19">
      <c r="A19" s="16">
        <f t="shared" si="2"/>
        <v>18</v>
      </c>
      <c r="B19" s="16" t="s">
        <v>69</v>
      </c>
      <c r="C19" s="16" t="s">
        <v>70</v>
      </c>
      <c r="D19" s="16" t="s">
        <v>71</v>
      </c>
      <c r="E19" s="16" t="s">
        <v>3106</v>
      </c>
      <c r="F19" s="16" t="s">
        <v>10</v>
      </c>
      <c r="G19" s="16" t="s">
        <v>3685</v>
      </c>
      <c r="H19" s="16" t="s">
        <v>12</v>
      </c>
      <c r="I19" s="17"/>
      <c r="J19" s="16" t="s">
        <v>13</v>
      </c>
      <c r="K19" s="16" t="s">
        <v>47</v>
      </c>
      <c r="L19" s="154">
        <v>44026.0</v>
      </c>
      <c r="M19" s="16">
        <f t="shared" si="1"/>
        <v>6</v>
      </c>
      <c r="N19" s="17"/>
      <c r="O19" s="17"/>
      <c r="P19" s="16" t="s">
        <v>3110</v>
      </c>
      <c r="Q19" s="152" t="s">
        <v>3702</v>
      </c>
      <c r="R19" s="17"/>
      <c r="S19" s="16" t="s">
        <v>3673</v>
      </c>
      <c r="T19" s="16" t="s">
        <v>2891</v>
      </c>
      <c r="U19" s="16" t="s">
        <v>3171</v>
      </c>
      <c r="V19" s="17"/>
      <c r="W19" s="17"/>
      <c r="X19" s="16" t="s">
        <v>2891</v>
      </c>
      <c r="Y19" s="16" t="s">
        <v>3171</v>
      </c>
      <c r="Z19" s="16" t="s">
        <v>3672</v>
      </c>
      <c r="AA19" s="17"/>
      <c r="AB19" s="17"/>
    </row>
    <row r="20">
      <c r="A20" s="16">
        <f t="shared" si="2"/>
        <v>19</v>
      </c>
      <c r="B20" s="16" t="s">
        <v>72</v>
      </c>
      <c r="C20" s="16" t="s">
        <v>73</v>
      </c>
      <c r="D20" s="16" t="s">
        <v>74</v>
      </c>
      <c r="E20" s="16" t="s">
        <v>3106</v>
      </c>
      <c r="F20" s="16" t="s">
        <v>10</v>
      </c>
      <c r="G20" s="16" t="s">
        <v>3678</v>
      </c>
      <c r="H20" s="16" t="s">
        <v>12</v>
      </c>
      <c r="I20" s="17"/>
      <c r="J20" s="16" t="s">
        <v>36</v>
      </c>
      <c r="K20" s="16" t="s">
        <v>35</v>
      </c>
      <c r="L20" s="154">
        <v>43153.0</v>
      </c>
      <c r="M20" s="16">
        <f t="shared" si="1"/>
        <v>8</v>
      </c>
      <c r="N20" s="17"/>
      <c r="O20" s="17"/>
      <c r="P20" s="16" t="s">
        <v>3110</v>
      </c>
      <c r="Q20" s="152" t="s">
        <v>3703</v>
      </c>
      <c r="R20" s="17"/>
      <c r="S20" s="16" t="s">
        <v>3673</v>
      </c>
      <c r="T20" s="16" t="s">
        <v>3704</v>
      </c>
      <c r="U20" s="16" t="s">
        <v>3171</v>
      </c>
      <c r="V20" s="17"/>
      <c r="W20" s="17"/>
      <c r="X20" s="16" t="s">
        <v>3704</v>
      </c>
      <c r="Y20" s="16" t="s">
        <v>3171</v>
      </c>
      <c r="Z20" s="16" t="s">
        <v>3672</v>
      </c>
      <c r="AA20" s="17"/>
      <c r="AB20" s="17"/>
    </row>
    <row r="21">
      <c r="A21" s="16">
        <f t="shared" si="2"/>
        <v>20</v>
      </c>
      <c r="B21" s="16" t="s">
        <v>75</v>
      </c>
      <c r="C21" s="16" t="s">
        <v>76</v>
      </c>
      <c r="D21" s="16" t="s">
        <v>77</v>
      </c>
      <c r="E21" s="16" t="s">
        <v>3106</v>
      </c>
      <c r="F21" s="16" t="s">
        <v>10</v>
      </c>
      <c r="G21" s="16" t="s">
        <v>3705</v>
      </c>
      <c r="H21" s="16" t="s">
        <v>12</v>
      </c>
      <c r="I21" s="17"/>
      <c r="J21" s="16" t="s">
        <v>79</v>
      </c>
      <c r="K21" s="16" t="s">
        <v>78</v>
      </c>
      <c r="L21" s="154">
        <v>42100.0</v>
      </c>
      <c r="M21" s="16">
        <f t="shared" si="1"/>
        <v>11</v>
      </c>
      <c r="N21" s="16">
        <v>5.0000883E7</v>
      </c>
      <c r="O21" s="17"/>
      <c r="P21" s="16" t="s">
        <v>3110</v>
      </c>
      <c r="Q21" s="152" t="s">
        <v>3706</v>
      </c>
      <c r="R21" s="17"/>
      <c r="S21" s="16" t="s">
        <v>3673</v>
      </c>
      <c r="T21" s="16" t="s">
        <v>3707</v>
      </c>
      <c r="U21" s="16" t="s">
        <v>3171</v>
      </c>
      <c r="V21" s="17"/>
      <c r="W21" s="17"/>
      <c r="X21" s="16" t="s">
        <v>3707</v>
      </c>
      <c r="Y21" s="16" t="s">
        <v>3171</v>
      </c>
      <c r="Z21" s="16" t="s">
        <v>3672</v>
      </c>
      <c r="AA21" s="17"/>
      <c r="AB21" s="17"/>
    </row>
    <row r="22">
      <c r="A22" s="16">
        <f t="shared" si="2"/>
        <v>21</v>
      </c>
      <c r="B22" s="16" t="s">
        <v>80</v>
      </c>
      <c r="C22" s="16" t="s">
        <v>81</v>
      </c>
      <c r="D22" s="16" t="s">
        <v>82</v>
      </c>
      <c r="E22" s="16" t="s">
        <v>3106</v>
      </c>
      <c r="F22" s="16" t="s">
        <v>10</v>
      </c>
      <c r="G22" s="16" t="s">
        <v>3678</v>
      </c>
      <c r="H22" s="16" t="s">
        <v>12</v>
      </c>
      <c r="I22" s="17"/>
      <c r="J22" s="16" t="s">
        <v>36</v>
      </c>
      <c r="K22" s="16" t="s">
        <v>35</v>
      </c>
      <c r="L22" s="154">
        <v>43153.0</v>
      </c>
      <c r="M22" s="16">
        <f t="shared" si="1"/>
        <v>8</v>
      </c>
      <c r="N22" s="17"/>
      <c r="O22" s="17"/>
      <c r="P22" s="16" t="s">
        <v>3110</v>
      </c>
      <c r="Q22" s="152" t="s">
        <v>3708</v>
      </c>
      <c r="R22" s="17"/>
      <c r="S22" s="16" t="s">
        <v>3673</v>
      </c>
      <c r="T22" s="16" t="s">
        <v>3709</v>
      </c>
      <c r="U22" s="16" t="s">
        <v>3171</v>
      </c>
      <c r="V22" s="17"/>
      <c r="W22" s="17"/>
      <c r="X22" s="16" t="s">
        <v>3709</v>
      </c>
      <c r="Y22" s="16" t="s">
        <v>3171</v>
      </c>
      <c r="Z22" s="16" t="s">
        <v>3672</v>
      </c>
      <c r="AA22" s="17"/>
      <c r="AB22" s="17"/>
    </row>
    <row r="23">
      <c r="A23" s="16">
        <f t="shared" si="2"/>
        <v>22</v>
      </c>
      <c r="B23" s="16" t="s">
        <v>83</v>
      </c>
      <c r="C23" s="16" t="s">
        <v>84</v>
      </c>
      <c r="D23" s="16" t="s">
        <v>85</v>
      </c>
      <c r="E23" s="16" t="s">
        <v>3106</v>
      </c>
      <c r="F23" s="16" t="s">
        <v>10</v>
      </c>
      <c r="G23" s="16" t="s">
        <v>3678</v>
      </c>
      <c r="H23" s="16" t="s">
        <v>12</v>
      </c>
      <c r="I23" s="17"/>
      <c r="J23" s="16" t="s">
        <v>36</v>
      </c>
      <c r="K23" s="16" t="s">
        <v>35</v>
      </c>
      <c r="L23" s="154">
        <v>43361.0</v>
      </c>
      <c r="M23" s="16">
        <f t="shared" si="1"/>
        <v>8</v>
      </c>
      <c r="N23" s="17"/>
      <c r="O23" s="16" t="s">
        <v>3670</v>
      </c>
      <c r="P23" s="16" t="s">
        <v>3121</v>
      </c>
      <c r="Q23" s="152" t="s">
        <v>3710</v>
      </c>
      <c r="R23" s="118">
        <v>45685.0</v>
      </c>
      <c r="S23" s="16" t="s">
        <v>3673</v>
      </c>
      <c r="T23" s="16" t="s">
        <v>3711</v>
      </c>
      <c r="U23" s="16" t="s">
        <v>3171</v>
      </c>
      <c r="V23" s="17"/>
      <c r="W23" s="17"/>
      <c r="X23" s="16" t="s">
        <v>3329</v>
      </c>
      <c r="Y23" s="16" t="s">
        <v>3171</v>
      </c>
      <c r="Z23" s="16" t="s">
        <v>3672</v>
      </c>
      <c r="AA23" s="17"/>
      <c r="AB23" s="17"/>
    </row>
    <row r="24">
      <c r="A24" s="16">
        <f t="shared" si="2"/>
        <v>23</v>
      </c>
      <c r="B24" s="16" t="s">
        <v>86</v>
      </c>
      <c r="C24" s="16" t="s">
        <v>87</v>
      </c>
      <c r="D24" s="16" t="s">
        <v>88</v>
      </c>
      <c r="E24" s="16" t="s">
        <v>3106</v>
      </c>
      <c r="F24" s="16" t="s">
        <v>10</v>
      </c>
      <c r="G24" s="16" t="s">
        <v>3712</v>
      </c>
      <c r="H24" s="16" t="s">
        <v>12</v>
      </c>
      <c r="I24" s="17"/>
      <c r="J24" s="16" t="s">
        <v>36</v>
      </c>
      <c r="K24" s="16" t="s">
        <v>89</v>
      </c>
      <c r="L24" s="154">
        <v>43808.0</v>
      </c>
      <c r="M24" s="16">
        <f t="shared" si="1"/>
        <v>7</v>
      </c>
      <c r="N24" s="17"/>
      <c r="O24" s="17"/>
      <c r="P24" s="16" t="s">
        <v>3121</v>
      </c>
      <c r="Q24" s="152" t="s">
        <v>3713</v>
      </c>
      <c r="R24" s="17"/>
      <c r="S24" s="16" t="s">
        <v>3673</v>
      </c>
      <c r="T24" s="16" t="s">
        <v>3714</v>
      </c>
      <c r="U24" s="16" t="s">
        <v>3171</v>
      </c>
      <c r="V24" s="17"/>
      <c r="W24" s="17"/>
      <c r="X24" s="16" t="s">
        <v>3714</v>
      </c>
      <c r="Y24" s="16" t="s">
        <v>3171</v>
      </c>
      <c r="Z24" s="16" t="s">
        <v>3672</v>
      </c>
      <c r="AA24" s="17"/>
      <c r="AB24" s="17"/>
    </row>
    <row r="25">
      <c r="A25" s="16">
        <f t="shared" si="2"/>
        <v>24</v>
      </c>
      <c r="B25" s="16" t="s">
        <v>90</v>
      </c>
      <c r="C25" s="16" t="s">
        <v>91</v>
      </c>
      <c r="D25" s="16" t="s">
        <v>92</v>
      </c>
      <c r="E25" s="16" t="s">
        <v>3106</v>
      </c>
      <c r="F25" s="16" t="s">
        <v>10</v>
      </c>
      <c r="G25" s="16" t="s">
        <v>3715</v>
      </c>
      <c r="H25" s="16" t="s">
        <v>12</v>
      </c>
      <c r="I25" s="17"/>
      <c r="J25" s="16" t="s">
        <v>13</v>
      </c>
      <c r="K25" s="16" t="s">
        <v>93</v>
      </c>
      <c r="L25" s="154">
        <v>44090.0</v>
      </c>
      <c r="M25" s="16">
        <f t="shared" si="1"/>
        <v>6</v>
      </c>
      <c r="N25" s="17"/>
      <c r="O25" s="17"/>
      <c r="P25" s="16" t="s">
        <v>3121</v>
      </c>
      <c r="Q25" s="152" t="s">
        <v>3716</v>
      </c>
      <c r="R25" s="17"/>
      <c r="S25" s="16" t="s">
        <v>3673</v>
      </c>
      <c r="T25" s="16" t="s">
        <v>3717</v>
      </c>
      <c r="U25" s="16" t="s">
        <v>3171</v>
      </c>
      <c r="V25" s="17"/>
      <c r="W25" s="17"/>
      <c r="X25" s="16" t="s">
        <v>3717</v>
      </c>
      <c r="Y25" s="16" t="s">
        <v>3171</v>
      </c>
      <c r="Z25" s="16" t="s">
        <v>3672</v>
      </c>
      <c r="AA25" s="17"/>
      <c r="AB25" s="17"/>
    </row>
    <row r="26">
      <c r="A26" s="16">
        <f t="shared" si="2"/>
        <v>25</v>
      </c>
      <c r="B26" s="16" t="s">
        <v>94</v>
      </c>
      <c r="C26" s="16" t="s">
        <v>95</v>
      </c>
      <c r="D26" s="16" t="s">
        <v>96</v>
      </c>
      <c r="E26" s="16" t="s">
        <v>3106</v>
      </c>
      <c r="F26" s="16" t="s">
        <v>10</v>
      </c>
      <c r="G26" s="16" t="s">
        <v>3715</v>
      </c>
      <c r="H26" s="16" t="s">
        <v>12</v>
      </c>
      <c r="I26" s="17"/>
      <c r="J26" s="16" t="s">
        <v>13</v>
      </c>
      <c r="K26" s="16" t="s">
        <v>93</v>
      </c>
      <c r="L26" s="154">
        <v>44090.0</v>
      </c>
      <c r="M26" s="16">
        <f t="shared" si="1"/>
        <v>6</v>
      </c>
      <c r="N26" s="17"/>
      <c r="O26" s="16" t="s">
        <v>3670</v>
      </c>
      <c r="P26" s="16" t="s">
        <v>3121</v>
      </c>
      <c r="Q26" s="152" t="s">
        <v>3718</v>
      </c>
      <c r="R26" s="123">
        <v>45782.0</v>
      </c>
      <c r="S26" s="16" t="s">
        <v>2557</v>
      </c>
      <c r="T26" s="16" t="s">
        <v>3719</v>
      </c>
      <c r="U26" s="16" t="s">
        <v>3171</v>
      </c>
      <c r="V26" s="17"/>
      <c r="W26" s="17"/>
      <c r="X26" s="16" t="s">
        <v>3719</v>
      </c>
      <c r="Y26" s="16" t="s">
        <v>3171</v>
      </c>
      <c r="Z26" s="16" t="s">
        <v>3672</v>
      </c>
      <c r="AA26" s="17"/>
      <c r="AB26" s="17"/>
    </row>
    <row r="27">
      <c r="A27" s="16">
        <f t="shared" si="2"/>
        <v>26</v>
      </c>
      <c r="B27" s="16" t="s">
        <v>97</v>
      </c>
      <c r="C27" s="16" t="s">
        <v>98</v>
      </c>
      <c r="D27" s="16" t="s">
        <v>99</v>
      </c>
      <c r="E27" s="16" t="s">
        <v>3106</v>
      </c>
      <c r="F27" s="16" t="s">
        <v>10</v>
      </c>
      <c r="G27" s="16" t="s">
        <v>3715</v>
      </c>
      <c r="H27" s="16" t="s">
        <v>12</v>
      </c>
      <c r="I27" s="17"/>
      <c r="J27" s="16" t="s">
        <v>13</v>
      </c>
      <c r="K27" s="16" t="s">
        <v>93</v>
      </c>
      <c r="L27" s="154">
        <v>44090.0</v>
      </c>
      <c r="M27" s="16">
        <f t="shared" si="1"/>
        <v>6</v>
      </c>
      <c r="N27" s="17"/>
      <c r="O27" s="17"/>
      <c r="P27" s="16" t="s">
        <v>3121</v>
      </c>
      <c r="Q27" s="152" t="s">
        <v>3720</v>
      </c>
      <c r="R27" s="17"/>
      <c r="S27" s="16" t="s">
        <v>3673</v>
      </c>
      <c r="T27" s="16" t="s">
        <v>3721</v>
      </c>
      <c r="U27" s="16" t="s">
        <v>3171</v>
      </c>
      <c r="V27" s="17"/>
      <c r="W27" s="17"/>
      <c r="X27" s="16" t="s">
        <v>3721</v>
      </c>
      <c r="Y27" s="16" t="s">
        <v>3171</v>
      </c>
      <c r="Z27" s="16" t="s">
        <v>3672</v>
      </c>
      <c r="AA27" s="17"/>
      <c r="AB27" s="17"/>
    </row>
    <row r="28">
      <c r="A28" s="16">
        <f t="shared" si="2"/>
        <v>27</v>
      </c>
      <c r="B28" s="16" t="s">
        <v>100</v>
      </c>
      <c r="C28" s="16" t="s">
        <v>101</v>
      </c>
      <c r="D28" s="16" t="s">
        <v>102</v>
      </c>
      <c r="E28" s="16" t="s">
        <v>3106</v>
      </c>
      <c r="F28" s="16" t="s">
        <v>10</v>
      </c>
      <c r="G28" s="16" t="s">
        <v>3685</v>
      </c>
      <c r="H28" s="16" t="s">
        <v>17</v>
      </c>
      <c r="I28" s="17"/>
      <c r="J28" s="16" t="s">
        <v>13</v>
      </c>
      <c r="K28" s="16" t="s">
        <v>47</v>
      </c>
      <c r="L28" s="154">
        <v>41303.0</v>
      </c>
      <c r="M28" s="16">
        <f t="shared" si="1"/>
        <v>13</v>
      </c>
      <c r="N28" s="17"/>
      <c r="O28" s="16" t="s">
        <v>3670</v>
      </c>
      <c r="P28" s="16" t="s">
        <v>3121</v>
      </c>
      <c r="Q28" s="152" t="s">
        <v>3722</v>
      </c>
      <c r="R28" s="17"/>
      <c r="S28" s="16" t="s">
        <v>3673</v>
      </c>
      <c r="T28" s="17"/>
      <c r="U28" s="16" t="s">
        <v>3171</v>
      </c>
      <c r="V28" s="17"/>
      <c r="W28" s="17"/>
      <c r="X28" s="16" t="s">
        <v>3301</v>
      </c>
      <c r="Y28" s="16" t="s">
        <v>3171</v>
      </c>
      <c r="Z28" s="16" t="s">
        <v>3672</v>
      </c>
      <c r="AA28" s="16" t="s">
        <v>3687</v>
      </c>
      <c r="AB28" s="16" t="s">
        <v>17</v>
      </c>
    </row>
    <row r="29">
      <c r="A29" s="16">
        <f t="shared" si="2"/>
        <v>28</v>
      </c>
      <c r="B29" s="16" t="s">
        <v>103</v>
      </c>
      <c r="C29" s="16" t="s">
        <v>104</v>
      </c>
      <c r="D29" s="16" t="s">
        <v>105</v>
      </c>
      <c r="E29" s="16" t="s">
        <v>3106</v>
      </c>
      <c r="F29" s="16" t="s">
        <v>10</v>
      </c>
      <c r="G29" s="16" t="s">
        <v>3715</v>
      </c>
      <c r="H29" s="16" t="s">
        <v>17</v>
      </c>
      <c r="I29" s="17"/>
      <c r="J29" s="16" t="s">
        <v>13</v>
      </c>
      <c r="K29" s="16" t="s">
        <v>93</v>
      </c>
      <c r="L29" s="154">
        <v>44090.0</v>
      </c>
      <c r="M29" s="16">
        <f t="shared" si="1"/>
        <v>6</v>
      </c>
      <c r="N29" s="17"/>
      <c r="O29" s="16" t="s">
        <v>3670</v>
      </c>
      <c r="P29" s="16" t="s">
        <v>3121</v>
      </c>
      <c r="Q29" s="152" t="s">
        <v>3723</v>
      </c>
      <c r="R29" s="17"/>
      <c r="S29" s="16" t="s">
        <v>3673</v>
      </c>
      <c r="T29" s="17"/>
      <c r="U29" s="16" t="s">
        <v>3171</v>
      </c>
      <c r="V29" s="17"/>
      <c r="W29" s="17"/>
      <c r="X29" s="16" t="s">
        <v>3178</v>
      </c>
      <c r="Y29" s="16" t="s">
        <v>3171</v>
      </c>
      <c r="Z29" s="16" t="s">
        <v>3672</v>
      </c>
      <c r="AA29" s="16" t="s">
        <v>3687</v>
      </c>
      <c r="AB29" s="16" t="s">
        <v>3724</v>
      </c>
    </row>
    <row r="30">
      <c r="A30" s="16">
        <f t="shared" si="2"/>
        <v>29</v>
      </c>
      <c r="B30" s="16" t="s">
        <v>106</v>
      </c>
      <c r="C30" s="16" t="s">
        <v>107</v>
      </c>
      <c r="D30" s="16" t="s">
        <v>108</v>
      </c>
      <c r="E30" s="16" t="s">
        <v>3106</v>
      </c>
      <c r="F30" s="16" t="s">
        <v>10</v>
      </c>
      <c r="G30" s="16" t="s">
        <v>3705</v>
      </c>
      <c r="H30" s="16" t="s">
        <v>17</v>
      </c>
      <c r="I30" s="17"/>
      <c r="J30" s="16" t="s">
        <v>79</v>
      </c>
      <c r="K30" s="16" t="s">
        <v>78</v>
      </c>
      <c r="L30" s="154">
        <v>41827.0</v>
      </c>
      <c r="M30" s="16">
        <f t="shared" si="1"/>
        <v>12</v>
      </c>
      <c r="N30" s="17"/>
      <c r="O30" s="16" t="s">
        <v>3670</v>
      </c>
      <c r="P30" s="16" t="s">
        <v>3121</v>
      </c>
      <c r="Q30" s="152" t="s">
        <v>3725</v>
      </c>
      <c r="R30" s="17"/>
      <c r="S30" s="16" t="s">
        <v>3673</v>
      </c>
      <c r="T30" s="17"/>
      <c r="U30" s="16" t="s">
        <v>3171</v>
      </c>
      <c r="V30" s="17"/>
      <c r="W30" s="17"/>
      <c r="X30" s="16" t="s">
        <v>3726</v>
      </c>
      <c r="Y30" s="16" t="s">
        <v>3171</v>
      </c>
      <c r="Z30" s="16" t="s">
        <v>3672</v>
      </c>
      <c r="AA30" s="16" t="s">
        <v>3687</v>
      </c>
      <c r="AB30" s="16" t="s">
        <v>17</v>
      </c>
    </row>
    <row r="31">
      <c r="A31" s="16">
        <f t="shared" si="2"/>
        <v>30</v>
      </c>
      <c r="B31" s="16" t="s">
        <v>109</v>
      </c>
      <c r="C31" s="16" t="s">
        <v>110</v>
      </c>
      <c r="D31" s="16" t="s">
        <v>111</v>
      </c>
      <c r="E31" s="16" t="s">
        <v>3106</v>
      </c>
      <c r="F31" s="16" t="s">
        <v>10</v>
      </c>
      <c r="G31" s="16" t="s">
        <v>3678</v>
      </c>
      <c r="H31" s="16" t="s">
        <v>12</v>
      </c>
      <c r="I31" s="17"/>
      <c r="J31" s="16" t="s">
        <v>36</v>
      </c>
      <c r="K31" s="16" t="s">
        <v>35</v>
      </c>
      <c r="L31" s="154">
        <v>43633.0</v>
      </c>
      <c r="M31" s="16">
        <f t="shared" si="1"/>
        <v>7</v>
      </c>
      <c r="N31" s="17"/>
      <c r="O31" s="16" t="s">
        <v>3670</v>
      </c>
      <c r="P31" s="16" t="s">
        <v>3121</v>
      </c>
      <c r="Q31" s="152" t="s">
        <v>3727</v>
      </c>
      <c r="R31" s="17"/>
      <c r="S31" s="16" t="s">
        <v>3671</v>
      </c>
      <c r="T31" s="16" t="s">
        <v>3728</v>
      </c>
      <c r="U31" s="16" t="s">
        <v>3150</v>
      </c>
      <c r="V31" s="16" t="s">
        <v>3729</v>
      </c>
      <c r="W31" s="17"/>
      <c r="X31" s="16" t="s">
        <v>3728</v>
      </c>
      <c r="Y31" s="16" t="s">
        <v>3150</v>
      </c>
      <c r="Z31" s="16" t="s">
        <v>3729</v>
      </c>
      <c r="AA31" s="17"/>
      <c r="AB31" s="17"/>
    </row>
    <row r="32">
      <c r="A32" s="16">
        <f t="shared" si="2"/>
        <v>31</v>
      </c>
      <c r="B32" s="16" t="s">
        <v>112</v>
      </c>
      <c r="C32" s="16" t="s">
        <v>113</v>
      </c>
      <c r="D32" s="16" t="s">
        <v>114</v>
      </c>
      <c r="E32" s="16" t="s">
        <v>3106</v>
      </c>
      <c r="F32" s="16" t="s">
        <v>10</v>
      </c>
      <c r="G32" s="16" t="s">
        <v>3712</v>
      </c>
      <c r="H32" s="16" t="s">
        <v>12</v>
      </c>
      <c r="I32" s="17"/>
      <c r="J32" s="16" t="s">
        <v>36</v>
      </c>
      <c r="K32" s="16" t="s">
        <v>89</v>
      </c>
      <c r="L32" s="154">
        <v>43808.0</v>
      </c>
      <c r="M32" s="16">
        <f t="shared" si="1"/>
        <v>7</v>
      </c>
      <c r="N32" s="17"/>
      <c r="O32" s="17"/>
      <c r="P32" s="16" t="s">
        <v>3121</v>
      </c>
      <c r="Q32" s="152" t="s">
        <v>3730</v>
      </c>
      <c r="R32" s="17"/>
      <c r="S32" s="16" t="s">
        <v>3673</v>
      </c>
      <c r="T32" s="16" t="s">
        <v>3731</v>
      </c>
      <c r="U32" s="16" t="s">
        <v>3732</v>
      </c>
      <c r="V32" s="17"/>
      <c r="W32" s="17"/>
      <c r="X32" s="16" t="s">
        <v>3733</v>
      </c>
      <c r="Y32" s="16" t="s">
        <v>3732</v>
      </c>
      <c r="Z32" s="16" t="s">
        <v>3734</v>
      </c>
      <c r="AA32" s="17"/>
      <c r="AB32" s="17"/>
    </row>
    <row r="33">
      <c r="A33" s="16">
        <f t="shared" si="2"/>
        <v>32</v>
      </c>
      <c r="B33" s="16" t="s">
        <v>115</v>
      </c>
      <c r="C33" s="16" t="s">
        <v>116</v>
      </c>
      <c r="D33" s="16" t="s">
        <v>117</v>
      </c>
      <c r="E33" s="16" t="s">
        <v>3106</v>
      </c>
      <c r="F33" s="16" t="s">
        <v>10</v>
      </c>
      <c r="G33" s="16" t="s">
        <v>3678</v>
      </c>
      <c r="H33" s="16" t="s">
        <v>12</v>
      </c>
      <c r="I33" s="17"/>
      <c r="J33" s="16" t="s">
        <v>36</v>
      </c>
      <c r="K33" s="16" t="s">
        <v>35</v>
      </c>
      <c r="L33" s="154">
        <v>43361.0</v>
      </c>
      <c r="M33" s="16">
        <f t="shared" si="1"/>
        <v>8</v>
      </c>
      <c r="N33" s="17"/>
      <c r="O33" s="17"/>
      <c r="P33" s="16" t="s">
        <v>3121</v>
      </c>
      <c r="Q33" s="152" t="s">
        <v>3735</v>
      </c>
      <c r="R33" s="17"/>
      <c r="S33" s="16" t="s">
        <v>3673</v>
      </c>
      <c r="T33" s="16" t="s">
        <v>3736</v>
      </c>
      <c r="U33" s="16" t="s">
        <v>3732</v>
      </c>
      <c r="V33" s="17"/>
      <c r="W33" s="17"/>
      <c r="X33" s="16" t="s">
        <v>3737</v>
      </c>
      <c r="Y33" s="16" t="s">
        <v>3732</v>
      </c>
      <c r="Z33" s="16" t="s">
        <v>3734</v>
      </c>
      <c r="AA33" s="17"/>
      <c r="AB33" s="17"/>
    </row>
    <row r="34">
      <c r="A34" s="16">
        <f t="shared" si="2"/>
        <v>33</v>
      </c>
      <c r="B34" s="16" t="s">
        <v>118</v>
      </c>
      <c r="C34" s="16" t="s">
        <v>119</v>
      </c>
      <c r="D34" s="16" t="s">
        <v>120</v>
      </c>
      <c r="E34" s="16" t="s">
        <v>3106</v>
      </c>
      <c r="F34" s="16" t="s">
        <v>10</v>
      </c>
      <c r="G34" s="16" t="s">
        <v>3712</v>
      </c>
      <c r="H34" s="16" t="s">
        <v>12</v>
      </c>
      <c r="I34" s="17"/>
      <c r="J34" s="16" t="s">
        <v>36</v>
      </c>
      <c r="K34" s="16" t="s">
        <v>89</v>
      </c>
      <c r="L34" s="154">
        <v>43808.0</v>
      </c>
      <c r="M34" s="16">
        <f t="shared" si="1"/>
        <v>7</v>
      </c>
      <c r="N34" s="17"/>
      <c r="O34" s="17"/>
      <c r="P34" s="16" t="s">
        <v>3121</v>
      </c>
      <c r="Q34" s="152" t="s">
        <v>3738</v>
      </c>
      <c r="R34" s="17"/>
      <c r="S34" s="16" t="s">
        <v>3673</v>
      </c>
      <c r="T34" s="16" t="s">
        <v>3739</v>
      </c>
      <c r="U34" s="16" t="s">
        <v>3732</v>
      </c>
      <c r="V34" s="17"/>
      <c r="W34" s="17"/>
      <c r="X34" s="16" t="s">
        <v>3740</v>
      </c>
      <c r="Y34" s="16" t="s">
        <v>3732</v>
      </c>
      <c r="Z34" s="16" t="s">
        <v>3734</v>
      </c>
      <c r="AA34" s="17"/>
      <c r="AB34" s="17"/>
    </row>
    <row r="35">
      <c r="A35" s="16">
        <f t="shared" si="2"/>
        <v>34</v>
      </c>
      <c r="B35" s="16" t="s">
        <v>121</v>
      </c>
      <c r="C35" s="16" t="s">
        <v>122</v>
      </c>
      <c r="D35" s="16" t="s">
        <v>123</v>
      </c>
      <c r="E35" s="16" t="s">
        <v>3106</v>
      </c>
      <c r="F35" s="16" t="s">
        <v>10</v>
      </c>
      <c r="G35" s="16" t="s">
        <v>3690</v>
      </c>
      <c r="H35" s="16" t="s">
        <v>12</v>
      </c>
      <c r="I35" s="17"/>
      <c r="J35" s="16" t="s">
        <v>13</v>
      </c>
      <c r="K35" s="16" t="s">
        <v>54</v>
      </c>
      <c r="L35" s="154">
        <v>40995.0</v>
      </c>
      <c r="M35" s="16">
        <f t="shared" si="1"/>
        <v>14</v>
      </c>
      <c r="N35" s="17"/>
      <c r="O35" s="17"/>
      <c r="P35" s="16" t="s">
        <v>3121</v>
      </c>
      <c r="Q35" s="152" t="s">
        <v>3741</v>
      </c>
      <c r="R35" s="17"/>
      <c r="S35" s="16" t="s">
        <v>3673</v>
      </c>
      <c r="T35" s="16" t="s">
        <v>3742</v>
      </c>
      <c r="U35" s="16" t="s">
        <v>3732</v>
      </c>
      <c r="V35" s="17"/>
      <c r="W35" s="17"/>
      <c r="X35" s="119" t="s">
        <v>3743</v>
      </c>
      <c r="Y35" s="16" t="s">
        <v>3732</v>
      </c>
      <c r="Z35" s="16" t="s">
        <v>3734</v>
      </c>
      <c r="AA35" s="17"/>
      <c r="AB35" s="17"/>
    </row>
    <row r="36">
      <c r="A36" s="16">
        <f t="shared" si="2"/>
        <v>35</v>
      </c>
      <c r="B36" s="16" t="s">
        <v>124</v>
      </c>
      <c r="C36" s="16" t="s">
        <v>125</v>
      </c>
      <c r="D36" s="17"/>
      <c r="E36" s="16" t="s">
        <v>3106</v>
      </c>
      <c r="F36" s="16" t="s">
        <v>10</v>
      </c>
      <c r="G36" s="16" t="s">
        <v>3678</v>
      </c>
      <c r="H36" s="16" t="s">
        <v>17</v>
      </c>
      <c r="I36" s="17"/>
      <c r="J36" s="16" t="s">
        <v>36</v>
      </c>
      <c r="K36" s="16" t="s">
        <v>35</v>
      </c>
      <c r="L36" s="154">
        <v>43999.0</v>
      </c>
      <c r="M36" s="16">
        <f t="shared" si="1"/>
        <v>6</v>
      </c>
      <c r="N36" s="17"/>
      <c r="O36" s="16" t="s">
        <v>3670</v>
      </c>
      <c r="P36" s="16" t="s">
        <v>3121</v>
      </c>
      <c r="Q36" s="152" t="s">
        <v>3744</v>
      </c>
      <c r="R36" s="17"/>
      <c r="S36" s="16" t="s">
        <v>3673</v>
      </c>
      <c r="T36" s="17"/>
      <c r="U36" s="16" t="s">
        <v>3150</v>
      </c>
      <c r="V36" s="16" t="s">
        <v>3729</v>
      </c>
      <c r="W36" s="17"/>
      <c r="X36" s="16" t="s">
        <v>3745</v>
      </c>
      <c r="Y36" s="16" t="s">
        <v>3150</v>
      </c>
      <c r="Z36" s="16" t="s">
        <v>3729</v>
      </c>
      <c r="AA36" s="16" t="s">
        <v>3687</v>
      </c>
      <c r="AB36" s="16" t="s">
        <v>17</v>
      </c>
    </row>
    <row r="37">
      <c r="A37" s="16">
        <f t="shared" si="2"/>
        <v>36</v>
      </c>
      <c r="B37" s="16" t="s">
        <v>126</v>
      </c>
      <c r="C37" s="16" t="s">
        <v>127</v>
      </c>
      <c r="D37" s="16" t="s">
        <v>128</v>
      </c>
      <c r="E37" s="16" t="s">
        <v>3106</v>
      </c>
      <c r="F37" s="16" t="s">
        <v>10</v>
      </c>
      <c r="G37" s="16" t="s">
        <v>3678</v>
      </c>
      <c r="H37" s="16" t="s">
        <v>12</v>
      </c>
      <c r="I37" s="17"/>
      <c r="J37" s="16" t="s">
        <v>36</v>
      </c>
      <c r="K37" s="16" t="s">
        <v>35</v>
      </c>
      <c r="L37" s="154">
        <v>43668.0</v>
      </c>
      <c r="M37" s="16">
        <f t="shared" si="1"/>
        <v>7</v>
      </c>
      <c r="N37" s="17"/>
      <c r="O37" s="17"/>
      <c r="P37" s="16" t="s">
        <v>3121</v>
      </c>
      <c r="Q37" s="152" t="s">
        <v>3746</v>
      </c>
      <c r="R37" s="17"/>
      <c r="S37" s="16" t="s">
        <v>3673</v>
      </c>
      <c r="T37" s="16" t="s">
        <v>3747</v>
      </c>
      <c r="U37" s="16" t="s">
        <v>3150</v>
      </c>
      <c r="V37" s="16" t="s">
        <v>3729</v>
      </c>
      <c r="W37" s="17"/>
      <c r="X37" s="16" t="s">
        <v>3747</v>
      </c>
      <c r="Y37" s="16" t="s">
        <v>3150</v>
      </c>
      <c r="Z37" s="16" t="s">
        <v>3729</v>
      </c>
      <c r="AA37" s="17"/>
      <c r="AB37" s="17"/>
    </row>
    <row r="38">
      <c r="A38" s="16">
        <f t="shared" si="2"/>
        <v>37</v>
      </c>
      <c r="B38" s="16" t="s">
        <v>129</v>
      </c>
      <c r="C38" s="16" t="s">
        <v>130</v>
      </c>
      <c r="D38" s="17"/>
      <c r="E38" s="16" t="s">
        <v>3106</v>
      </c>
      <c r="F38" s="16" t="s">
        <v>10</v>
      </c>
      <c r="G38" s="16" t="s">
        <v>3748</v>
      </c>
      <c r="H38" s="16" t="s">
        <v>17</v>
      </c>
      <c r="I38" s="17"/>
      <c r="J38" s="16" t="s">
        <v>36</v>
      </c>
      <c r="K38" s="16" t="s">
        <v>131</v>
      </c>
      <c r="L38" s="154">
        <v>41736.0</v>
      </c>
      <c r="M38" s="16">
        <f t="shared" si="1"/>
        <v>12</v>
      </c>
      <c r="N38" s="17"/>
      <c r="O38" s="16" t="s">
        <v>3670</v>
      </c>
      <c r="P38" s="16" t="s">
        <v>3121</v>
      </c>
      <c r="Q38" s="152" t="s">
        <v>3749</v>
      </c>
      <c r="R38" s="17"/>
      <c r="S38" s="16" t="s">
        <v>3673</v>
      </c>
      <c r="T38" s="17"/>
      <c r="U38" s="16" t="s">
        <v>3150</v>
      </c>
      <c r="V38" s="16" t="s">
        <v>3729</v>
      </c>
      <c r="W38" s="17"/>
      <c r="X38" s="16" t="s">
        <v>3750</v>
      </c>
      <c r="Y38" s="16" t="s">
        <v>3150</v>
      </c>
      <c r="Z38" s="16" t="s">
        <v>3729</v>
      </c>
      <c r="AA38" s="16" t="s">
        <v>3687</v>
      </c>
      <c r="AB38" s="16" t="s">
        <v>17</v>
      </c>
    </row>
    <row r="39">
      <c r="A39" s="16">
        <f t="shared" si="2"/>
        <v>38</v>
      </c>
      <c r="B39" s="16" t="s">
        <v>132</v>
      </c>
      <c r="C39" s="16" t="s">
        <v>133</v>
      </c>
      <c r="D39" s="16" t="s">
        <v>134</v>
      </c>
      <c r="E39" s="16" t="s">
        <v>3106</v>
      </c>
      <c r="F39" s="16" t="s">
        <v>10</v>
      </c>
      <c r="G39" s="16" t="s">
        <v>3678</v>
      </c>
      <c r="H39" s="16" t="s">
        <v>17</v>
      </c>
      <c r="I39" s="17"/>
      <c r="J39" s="16" t="s">
        <v>36</v>
      </c>
      <c r="K39" s="16" t="e">
        <v>#N/A</v>
      </c>
      <c r="L39" s="154">
        <v>43668.0</v>
      </c>
      <c r="M39" s="16">
        <f t="shared" si="1"/>
        <v>7</v>
      </c>
      <c r="N39" s="17"/>
      <c r="O39" s="16" t="s">
        <v>3670</v>
      </c>
      <c r="P39" s="16" t="s">
        <v>3121</v>
      </c>
      <c r="Q39" s="152" t="s">
        <v>3751</v>
      </c>
      <c r="R39" s="17"/>
      <c r="S39" s="16" t="s">
        <v>3673</v>
      </c>
      <c r="T39" s="17"/>
      <c r="U39" s="16" t="s">
        <v>3150</v>
      </c>
      <c r="V39" s="16" t="s">
        <v>3729</v>
      </c>
      <c r="W39" s="17"/>
      <c r="X39" s="16" t="s">
        <v>3752</v>
      </c>
      <c r="Y39" s="16" t="s">
        <v>3150</v>
      </c>
      <c r="Z39" s="16" t="s">
        <v>3729</v>
      </c>
      <c r="AA39" s="16" t="s">
        <v>3687</v>
      </c>
      <c r="AB39" s="16" t="s">
        <v>17</v>
      </c>
    </row>
    <row r="40">
      <c r="A40" s="16">
        <f t="shared" si="2"/>
        <v>39</v>
      </c>
      <c r="B40" s="16" t="s">
        <v>135</v>
      </c>
      <c r="C40" s="16" t="s">
        <v>136</v>
      </c>
      <c r="D40" s="16" t="s">
        <v>137</v>
      </c>
      <c r="E40" s="16" t="s">
        <v>3106</v>
      </c>
      <c r="F40" s="16" t="s">
        <v>10</v>
      </c>
      <c r="G40" s="16" t="s">
        <v>3753</v>
      </c>
      <c r="H40" s="16" t="s">
        <v>17</v>
      </c>
      <c r="I40" s="17"/>
      <c r="J40" s="16" t="s">
        <v>13</v>
      </c>
      <c r="K40" s="16" t="s">
        <v>54</v>
      </c>
      <c r="L40" s="154">
        <v>40920.0</v>
      </c>
      <c r="M40" s="16">
        <f t="shared" si="1"/>
        <v>14</v>
      </c>
      <c r="N40" s="17"/>
      <c r="O40" s="16" t="s">
        <v>3670</v>
      </c>
      <c r="P40" s="16" t="s">
        <v>3121</v>
      </c>
      <c r="Q40" s="152" t="s">
        <v>3754</v>
      </c>
      <c r="R40" s="17"/>
      <c r="S40" s="16" t="s">
        <v>3673</v>
      </c>
      <c r="T40" s="17"/>
      <c r="U40" s="16" t="s">
        <v>3150</v>
      </c>
      <c r="V40" s="16" t="s">
        <v>3729</v>
      </c>
      <c r="W40" s="17"/>
      <c r="X40" s="16" t="s">
        <v>3755</v>
      </c>
      <c r="Y40" s="16" t="s">
        <v>3150</v>
      </c>
      <c r="Z40" s="16" t="s">
        <v>3729</v>
      </c>
      <c r="AA40" s="16" t="s">
        <v>3687</v>
      </c>
      <c r="AB40" s="16" t="s">
        <v>3756</v>
      </c>
    </row>
    <row r="41">
      <c r="A41" s="16">
        <f t="shared" si="2"/>
        <v>40</v>
      </c>
      <c r="B41" s="16" t="s">
        <v>138</v>
      </c>
      <c r="C41" s="16" t="s">
        <v>139</v>
      </c>
      <c r="D41" s="16" t="s">
        <v>140</v>
      </c>
      <c r="E41" s="16" t="s">
        <v>3106</v>
      </c>
      <c r="F41" s="16" t="s">
        <v>10</v>
      </c>
      <c r="G41" s="16" t="s">
        <v>3705</v>
      </c>
      <c r="H41" s="16" t="s">
        <v>12</v>
      </c>
      <c r="I41" s="17"/>
      <c r="J41" s="16" t="s">
        <v>79</v>
      </c>
      <c r="K41" s="16" t="s">
        <v>78</v>
      </c>
      <c r="L41" s="154">
        <v>42124.0</v>
      </c>
      <c r="M41" s="16">
        <f t="shared" si="1"/>
        <v>11</v>
      </c>
      <c r="N41" s="17"/>
      <c r="O41" s="111"/>
      <c r="P41" s="16" t="s">
        <v>3121</v>
      </c>
      <c r="Q41" s="152" t="s">
        <v>3757</v>
      </c>
      <c r="R41" s="17"/>
      <c r="S41" s="16" t="s">
        <v>3673</v>
      </c>
      <c r="T41" s="16" t="s">
        <v>3758</v>
      </c>
      <c r="U41" s="16" t="s">
        <v>3759</v>
      </c>
      <c r="V41" s="17"/>
      <c r="W41" s="17"/>
      <c r="X41" s="16" t="s">
        <v>3758</v>
      </c>
      <c r="Y41" s="16" t="s">
        <v>3759</v>
      </c>
      <c r="Z41" s="16" t="s">
        <v>3760</v>
      </c>
      <c r="AA41" s="17"/>
      <c r="AB41" s="17"/>
    </row>
    <row r="42">
      <c r="A42" s="16">
        <f t="shared" si="2"/>
        <v>41</v>
      </c>
      <c r="B42" s="16" t="s">
        <v>141</v>
      </c>
      <c r="C42" s="16" t="s">
        <v>142</v>
      </c>
      <c r="D42" s="16" t="s">
        <v>143</v>
      </c>
      <c r="E42" s="16" t="s">
        <v>3106</v>
      </c>
      <c r="F42" s="16" t="s">
        <v>10</v>
      </c>
      <c r="G42" s="16" t="s">
        <v>2985</v>
      </c>
      <c r="H42" s="16" t="s">
        <v>12</v>
      </c>
      <c r="I42" s="17"/>
      <c r="J42" s="16" t="s">
        <v>36</v>
      </c>
      <c r="K42" s="16" t="s">
        <v>144</v>
      </c>
      <c r="L42" s="154">
        <v>43116.0</v>
      </c>
      <c r="M42" s="16">
        <f t="shared" si="1"/>
        <v>8</v>
      </c>
      <c r="N42" s="17"/>
      <c r="O42" s="111"/>
      <c r="P42" s="16" t="s">
        <v>3121</v>
      </c>
      <c r="Q42" s="152" t="s">
        <v>3761</v>
      </c>
      <c r="R42" s="17"/>
      <c r="S42" s="16" t="s">
        <v>3671</v>
      </c>
      <c r="T42" s="17"/>
      <c r="U42" s="16" t="s">
        <v>3762</v>
      </c>
      <c r="V42" s="16" t="s">
        <v>3681</v>
      </c>
      <c r="W42" s="17"/>
      <c r="X42" s="17"/>
      <c r="Y42" s="16" t="s">
        <v>3762</v>
      </c>
      <c r="Z42" s="16" t="s">
        <v>3681</v>
      </c>
      <c r="AA42" s="17"/>
      <c r="AB42" s="17"/>
    </row>
    <row r="43">
      <c r="A43" s="16">
        <f t="shared" si="2"/>
        <v>42</v>
      </c>
      <c r="B43" s="16" t="s">
        <v>145</v>
      </c>
      <c r="C43" s="16" t="s">
        <v>146</v>
      </c>
      <c r="D43" s="16" t="s">
        <v>147</v>
      </c>
      <c r="E43" s="16" t="s">
        <v>3106</v>
      </c>
      <c r="F43" s="16" t="s">
        <v>10</v>
      </c>
      <c r="G43" s="16" t="s">
        <v>2985</v>
      </c>
      <c r="H43" s="16" t="s">
        <v>12</v>
      </c>
      <c r="I43" s="17"/>
      <c r="J43" s="16" t="s">
        <v>36</v>
      </c>
      <c r="K43" s="16" t="s">
        <v>144</v>
      </c>
      <c r="L43" s="154">
        <v>43116.0</v>
      </c>
      <c r="M43" s="16">
        <f t="shared" si="1"/>
        <v>8</v>
      </c>
      <c r="N43" s="17"/>
      <c r="O43" s="111"/>
      <c r="P43" s="16" t="s">
        <v>3121</v>
      </c>
      <c r="Q43" s="152" t="s">
        <v>3763</v>
      </c>
      <c r="R43" s="17"/>
      <c r="S43" s="16" t="s">
        <v>3671</v>
      </c>
      <c r="T43" s="17"/>
      <c r="U43" s="16" t="s">
        <v>3762</v>
      </c>
      <c r="V43" s="16" t="s">
        <v>3681</v>
      </c>
      <c r="W43" s="17"/>
      <c r="X43" s="17"/>
      <c r="Y43" s="16" t="s">
        <v>3762</v>
      </c>
      <c r="Z43" s="16" t="s">
        <v>3681</v>
      </c>
      <c r="AA43" s="17"/>
      <c r="AB43" s="17"/>
    </row>
    <row r="44">
      <c r="A44" s="16">
        <f t="shared" si="2"/>
        <v>43</v>
      </c>
      <c r="B44" s="16" t="s">
        <v>148</v>
      </c>
      <c r="C44" s="16" t="s">
        <v>149</v>
      </c>
      <c r="D44" s="16" t="s">
        <v>150</v>
      </c>
      <c r="E44" s="16" t="s">
        <v>3106</v>
      </c>
      <c r="F44" s="16" t="s">
        <v>10</v>
      </c>
      <c r="G44" s="16" t="s">
        <v>2985</v>
      </c>
      <c r="H44" s="16" t="s">
        <v>12</v>
      </c>
      <c r="I44" s="17"/>
      <c r="J44" s="16" t="s">
        <v>36</v>
      </c>
      <c r="K44" s="16" t="s">
        <v>144</v>
      </c>
      <c r="L44" s="154">
        <v>43116.0</v>
      </c>
      <c r="M44" s="16">
        <f t="shared" si="1"/>
        <v>8</v>
      </c>
      <c r="N44" s="17"/>
      <c r="O44" s="111"/>
      <c r="P44" s="16" t="s">
        <v>3121</v>
      </c>
      <c r="Q44" s="152" t="s">
        <v>3764</v>
      </c>
      <c r="R44" s="17"/>
      <c r="S44" s="16" t="s">
        <v>3671</v>
      </c>
      <c r="T44" s="17"/>
      <c r="U44" s="16" t="s">
        <v>3762</v>
      </c>
      <c r="V44" s="16" t="s">
        <v>3681</v>
      </c>
      <c r="W44" s="17"/>
      <c r="X44" s="17"/>
      <c r="Y44" s="16" t="s">
        <v>3762</v>
      </c>
      <c r="Z44" s="16" t="s">
        <v>3681</v>
      </c>
      <c r="AA44" s="17"/>
      <c r="AB44" s="17"/>
    </row>
    <row r="45">
      <c r="A45" s="16">
        <f t="shared" si="2"/>
        <v>44</v>
      </c>
      <c r="B45" s="16" t="s">
        <v>151</v>
      </c>
      <c r="C45" s="16" t="s">
        <v>152</v>
      </c>
      <c r="D45" s="16" t="s">
        <v>153</v>
      </c>
      <c r="E45" s="16" t="s">
        <v>3106</v>
      </c>
      <c r="F45" s="16" t="s">
        <v>10</v>
      </c>
      <c r="G45" s="16" t="s">
        <v>2985</v>
      </c>
      <c r="H45" s="16" t="s">
        <v>12</v>
      </c>
      <c r="I45" s="17"/>
      <c r="J45" s="16" t="s">
        <v>36</v>
      </c>
      <c r="K45" s="16" t="s">
        <v>144</v>
      </c>
      <c r="L45" s="154">
        <v>43116.0</v>
      </c>
      <c r="M45" s="16">
        <f t="shared" si="1"/>
        <v>8</v>
      </c>
      <c r="N45" s="17"/>
      <c r="O45" s="111"/>
      <c r="P45" s="16" t="s">
        <v>3121</v>
      </c>
      <c r="Q45" s="152" t="s">
        <v>3765</v>
      </c>
      <c r="R45" s="17"/>
      <c r="S45" s="16" t="s">
        <v>3671</v>
      </c>
      <c r="T45" s="17"/>
      <c r="U45" s="16" t="s">
        <v>3762</v>
      </c>
      <c r="V45" s="16" t="s">
        <v>3681</v>
      </c>
      <c r="W45" s="17"/>
      <c r="X45" s="17"/>
      <c r="Y45" s="16" t="s">
        <v>3762</v>
      </c>
      <c r="Z45" s="16" t="s">
        <v>3681</v>
      </c>
      <c r="AA45" s="17"/>
      <c r="AB45" s="17"/>
    </row>
    <row r="46">
      <c r="A46" s="16">
        <f t="shared" si="2"/>
        <v>45</v>
      </c>
      <c r="B46" s="16" t="s">
        <v>154</v>
      </c>
      <c r="C46" s="16" t="s">
        <v>155</v>
      </c>
      <c r="D46" s="16" t="s">
        <v>156</v>
      </c>
      <c r="E46" s="16" t="s">
        <v>3106</v>
      </c>
      <c r="F46" s="16" t="s">
        <v>10</v>
      </c>
      <c r="G46" s="16" t="s">
        <v>2985</v>
      </c>
      <c r="H46" s="16" t="s">
        <v>157</v>
      </c>
      <c r="I46" s="17"/>
      <c r="J46" s="16" t="s">
        <v>36</v>
      </c>
      <c r="K46" s="16" t="s">
        <v>144</v>
      </c>
      <c r="L46" s="154">
        <v>43116.0</v>
      </c>
      <c r="M46" s="16">
        <f t="shared" si="1"/>
        <v>8</v>
      </c>
      <c r="N46" s="17"/>
      <c r="O46" s="16" t="s">
        <v>3670</v>
      </c>
      <c r="P46" s="16" t="s">
        <v>3121</v>
      </c>
      <c r="Q46" s="152" t="s">
        <v>3766</v>
      </c>
      <c r="R46" s="115">
        <v>45990.0</v>
      </c>
      <c r="S46" s="16" t="s">
        <v>3671</v>
      </c>
      <c r="T46" s="16" t="s">
        <v>3767</v>
      </c>
      <c r="U46" s="16" t="s">
        <v>3762</v>
      </c>
      <c r="V46" s="16" t="s">
        <v>3681</v>
      </c>
      <c r="W46" s="17"/>
      <c r="X46" s="16" t="s">
        <v>3329</v>
      </c>
      <c r="Y46" s="16" t="s">
        <v>3762</v>
      </c>
      <c r="Z46" s="16" t="s">
        <v>3681</v>
      </c>
      <c r="AA46" s="17"/>
      <c r="AB46" s="16" t="s">
        <v>2842</v>
      </c>
    </row>
    <row r="47">
      <c r="A47" s="16">
        <f t="shared" si="2"/>
        <v>46</v>
      </c>
      <c r="B47" s="16" t="s">
        <v>158</v>
      </c>
      <c r="C47" s="16" t="s">
        <v>159</v>
      </c>
      <c r="D47" s="16" t="s">
        <v>160</v>
      </c>
      <c r="E47" s="16" t="s">
        <v>3106</v>
      </c>
      <c r="F47" s="16" t="s">
        <v>10</v>
      </c>
      <c r="G47" s="16" t="s">
        <v>2985</v>
      </c>
      <c r="H47" s="16" t="s">
        <v>12</v>
      </c>
      <c r="I47" s="17"/>
      <c r="J47" s="16" t="s">
        <v>36</v>
      </c>
      <c r="K47" s="16" t="s">
        <v>144</v>
      </c>
      <c r="L47" s="154">
        <v>43116.0</v>
      </c>
      <c r="M47" s="16">
        <f t="shared" si="1"/>
        <v>8</v>
      </c>
      <c r="N47" s="17"/>
      <c r="O47" s="111"/>
      <c r="P47" s="16" t="s">
        <v>3121</v>
      </c>
      <c r="Q47" s="152" t="s">
        <v>3768</v>
      </c>
      <c r="R47" s="17"/>
      <c r="S47" s="16" t="s">
        <v>3671</v>
      </c>
      <c r="T47" s="17"/>
      <c r="U47" s="16" t="s">
        <v>3762</v>
      </c>
      <c r="V47" s="16" t="s">
        <v>3681</v>
      </c>
      <c r="W47" s="17"/>
      <c r="X47" s="17"/>
      <c r="Y47" s="16" t="s">
        <v>3762</v>
      </c>
      <c r="Z47" s="16" t="s">
        <v>3681</v>
      </c>
      <c r="AA47" s="17"/>
      <c r="AB47" s="17"/>
    </row>
    <row r="48">
      <c r="A48" s="16">
        <f t="shared" si="2"/>
        <v>47</v>
      </c>
      <c r="B48" s="16" t="s">
        <v>161</v>
      </c>
      <c r="C48" s="16" t="s">
        <v>162</v>
      </c>
      <c r="D48" s="16" t="s">
        <v>163</v>
      </c>
      <c r="E48" s="16" t="s">
        <v>3106</v>
      </c>
      <c r="F48" s="16" t="s">
        <v>10</v>
      </c>
      <c r="G48" s="16" t="s">
        <v>2985</v>
      </c>
      <c r="H48" s="16" t="s">
        <v>12</v>
      </c>
      <c r="I48" s="17"/>
      <c r="J48" s="16" t="s">
        <v>36</v>
      </c>
      <c r="K48" s="16" t="s">
        <v>144</v>
      </c>
      <c r="L48" s="154">
        <v>43116.0</v>
      </c>
      <c r="M48" s="16">
        <f t="shared" si="1"/>
        <v>8</v>
      </c>
      <c r="N48" s="17"/>
      <c r="O48" s="111"/>
      <c r="P48" s="16" t="s">
        <v>3121</v>
      </c>
      <c r="Q48" s="152" t="s">
        <v>3769</v>
      </c>
      <c r="R48" s="17"/>
      <c r="S48" s="16" t="s">
        <v>3671</v>
      </c>
      <c r="T48" s="17"/>
      <c r="U48" s="16" t="s">
        <v>3762</v>
      </c>
      <c r="V48" s="16" t="s">
        <v>3681</v>
      </c>
      <c r="W48" s="17"/>
      <c r="X48" s="17"/>
      <c r="Y48" s="16" t="s">
        <v>3762</v>
      </c>
      <c r="Z48" s="16" t="s">
        <v>3681</v>
      </c>
      <c r="AA48" s="17"/>
      <c r="AB48" s="17"/>
    </row>
    <row r="49">
      <c r="A49" s="16">
        <f t="shared" si="2"/>
        <v>48</v>
      </c>
      <c r="B49" s="16" t="s">
        <v>164</v>
      </c>
      <c r="C49" s="16" t="s">
        <v>165</v>
      </c>
      <c r="D49" s="16" t="s">
        <v>166</v>
      </c>
      <c r="E49" s="16" t="s">
        <v>3106</v>
      </c>
      <c r="F49" s="16" t="s">
        <v>10</v>
      </c>
      <c r="G49" s="16" t="s">
        <v>2985</v>
      </c>
      <c r="H49" s="16" t="s">
        <v>12</v>
      </c>
      <c r="I49" s="17"/>
      <c r="J49" s="16" t="s">
        <v>36</v>
      </c>
      <c r="K49" s="16" t="s">
        <v>144</v>
      </c>
      <c r="L49" s="154">
        <v>43116.0</v>
      </c>
      <c r="M49" s="16">
        <f t="shared" si="1"/>
        <v>8</v>
      </c>
      <c r="N49" s="17"/>
      <c r="O49" s="111"/>
      <c r="P49" s="16" t="s">
        <v>3121</v>
      </c>
      <c r="Q49" s="152" t="s">
        <v>3770</v>
      </c>
      <c r="R49" s="17"/>
      <c r="S49" s="16" t="s">
        <v>3671</v>
      </c>
      <c r="T49" s="17"/>
      <c r="U49" s="16" t="s">
        <v>3762</v>
      </c>
      <c r="V49" s="16" t="s">
        <v>3681</v>
      </c>
      <c r="W49" s="17"/>
      <c r="X49" s="17"/>
      <c r="Y49" s="16" t="s">
        <v>3762</v>
      </c>
      <c r="Z49" s="16" t="s">
        <v>3681</v>
      </c>
      <c r="AA49" s="17"/>
      <c r="AB49" s="17"/>
    </row>
    <row r="50">
      <c r="A50" s="16">
        <f t="shared" si="2"/>
        <v>49</v>
      </c>
      <c r="B50" s="16" t="s">
        <v>167</v>
      </c>
      <c r="C50" s="16" t="s">
        <v>168</v>
      </c>
      <c r="D50" s="16" t="s">
        <v>169</v>
      </c>
      <c r="E50" s="16" t="s">
        <v>3106</v>
      </c>
      <c r="F50" s="16" t="s">
        <v>10</v>
      </c>
      <c r="G50" s="16" t="s">
        <v>2985</v>
      </c>
      <c r="H50" s="16" t="s">
        <v>12</v>
      </c>
      <c r="I50" s="17"/>
      <c r="J50" s="16" t="s">
        <v>36</v>
      </c>
      <c r="K50" s="16" t="s">
        <v>144</v>
      </c>
      <c r="L50" s="154">
        <v>43116.0</v>
      </c>
      <c r="M50" s="16">
        <f t="shared" si="1"/>
        <v>8</v>
      </c>
      <c r="N50" s="17"/>
      <c r="O50" s="111"/>
      <c r="P50" s="16" t="s">
        <v>3121</v>
      </c>
      <c r="Q50" s="152" t="s">
        <v>3771</v>
      </c>
      <c r="R50" s="17"/>
      <c r="S50" s="16" t="s">
        <v>3671</v>
      </c>
      <c r="T50" s="17"/>
      <c r="U50" s="16" t="s">
        <v>3762</v>
      </c>
      <c r="V50" s="16" t="s">
        <v>3681</v>
      </c>
      <c r="W50" s="17"/>
      <c r="X50" s="17"/>
      <c r="Y50" s="16" t="s">
        <v>3762</v>
      </c>
      <c r="Z50" s="16" t="s">
        <v>3681</v>
      </c>
      <c r="AA50" s="17"/>
      <c r="AB50" s="17"/>
    </row>
    <row r="51">
      <c r="A51" s="16">
        <f t="shared" si="2"/>
        <v>50</v>
      </c>
      <c r="B51" s="16" t="s">
        <v>170</v>
      </c>
      <c r="C51" s="16" t="s">
        <v>171</v>
      </c>
      <c r="D51" s="16" t="s">
        <v>172</v>
      </c>
      <c r="E51" s="16" t="s">
        <v>3106</v>
      </c>
      <c r="F51" s="16" t="s">
        <v>10</v>
      </c>
      <c r="G51" s="16" t="s">
        <v>2985</v>
      </c>
      <c r="H51" s="16" t="s">
        <v>12</v>
      </c>
      <c r="I51" s="17"/>
      <c r="J51" s="16" t="s">
        <v>36</v>
      </c>
      <c r="K51" s="16" t="s">
        <v>144</v>
      </c>
      <c r="L51" s="154">
        <v>43116.0</v>
      </c>
      <c r="M51" s="16">
        <f t="shared" si="1"/>
        <v>8</v>
      </c>
      <c r="N51" s="17"/>
      <c r="O51" s="111"/>
      <c r="P51" s="16" t="s">
        <v>3121</v>
      </c>
      <c r="Q51" s="152" t="s">
        <v>3772</v>
      </c>
      <c r="R51" s="17"/>
      <c r="S51" s="16" t="s">
        <v>3671</v>
      </c>
      <c r="T51" s="17"/>
      <c r="U51" s="16" t="s">
        <v>3762</v>
      </c>
      <c r="V51" s="16" t="s">
        <v>3681</v>
      </c>
      <c r="W51" s="17"/>
      <c r="X51" s="17"/>
      <c r="Y51" s="16" t="s">
        <v>3762</v>
      </c>
      <c r="Z51" s="16" t="s">
        <v>3681</v>
      </c>
      <c r="AA51" s="17"/>
      <c r="AB51" s="17"/>
    </row>
    <row r="52">
      <c r="A52" s="16">
        <f t="shared" si="2"/>
        <v>51</v>
      </c>
      <c r="B52" s="16" t="s">
        <v>173</v>
      </c>
      <c r="C52" s="16" t="s">
        <v>174</v>
      </c>
      <c r="D52" s="16" t="s">
        <v>175</v>
      </c>
      <c r="E52" s="16" t="s">
        <v>3106</v>
      </c>
      <c r="F52" s="16" t="s">
        <v>10</v>
      </c>
      <c r="G52" s="16" t="s">
        <v>2985</v>
      </c>
      <c r="H52" s="16" t="s">
        <v>12</v>
      </c>
      <c r="I52" s="17"/>
      <c r="J52" s="16" t="s">
        <v>36</v>
      </c>
      <c r="K52" s="16" t="s">
        <v>144</v>
      </c>
      <c r="L52" s="154">
        <v>43116.0</v>
      </c>
      <c r="M52" s="16">
        <f t="shared" si="1"/>
        <v>8</v>
      </c>
      <c r="N52" s="17"/>
      <c r="O52" s="111"/>
      <c r="P52" s="16" t="s">
        <v>3121</v>
      </c>
      <c r="Q52" s="152" t="s">
        <v>3773</v>
      </c>
      <c r="R52" s="17"/>
      <c r="S52" s="16" t="s">
        <v>3671</v>
      </c>
      <c r="T52" s="17"/>
      <c r="U52" s="16" t="s">
        <v>3762</v>
      </c>
      <c r="V52" s="16" t="s">
        <v>3681</v>
      </c>
      <c r="W52" s="17"/>
      <c r="X52" s="17"/>
      <c r="Y52" s="16" t="s">
        <v>3762</v>
      </c>
      <c r="Z52" s="16" t="s">
        <v>3681</v>
      </c>
      <c r="AA52" s="17"/>
      <c r="AB52" s="17"/>
    </row>
    <row r="53">
      <c r="A53" s="16">
        <f t="shared" si="2"/>
        <v>52</v>
      </c>
      <c r="B53" s="16" t="s">
        <v>176</v>
      </c>
      <c r="C53" s="16" t="s">
        <v>177</v>
      </c>
      <c r="D53" s="16" t="s">
        <v>178</v>
      </c>
      <c r="E53" s="16" t="s">
        <v>3106</v>
      </c>
      <c r="F53" s="16" t="s">
        <v>10</v>
      </c>
      <c r="G53" s="16" t="s">
        <v>2985</v>
      </c>
      <c r="H53" s="16" t="s">
        <v>12</v>
      </c>
      <c r="I53" s="17"/>
      <c r="J53" s="16" t="s">
        <v>36</v>
      </c>
      <c r="K53" s="16" t="s">
        <v>144</v>
      </c>
      <c r="L53" s="154">
        <v>43116.0</v>
      </c>
      <c r="M53" s="16">
        <f t="shared" si="1"/>
        <v>8</v>
      </c>
      <c r="N53" s="17"/>
      <c r="O53" s="111"/>
      <c r="P53" s="16" t="s">
        <v>3121</v>
      </c>
      <c r="Q53" s="152" t="s">
        <v>3774</v>
      </c>
      <c r="R53" s="17"/>
      <c r="S53" s="16" t="s">
        <v>3671</v>
      </c>
      <c r="T53" s="17"/>
      <c r="U53" s="16" t="s">
        <v>3762</v>
      </c>
      <c r="V53" s="16" t="s">
        <v>3681</v>
      </c>
      <c r="W53" s="17"/>
      <c r="X53" s="17"/>
      <c r="Y53" s="16" t="s">
        <v>3762</v>
      </c>
      <c r="Z53" s="16" t="s">
        <v>3681</v>
      </c>
      <c r="AA53" s="17"/>
      <c r="AB53" s="17"/>
    </row>
    <row r="54">
      <c r="A54" s="16">
        <f t="shared" si="2"/>
        <v>53</v>
      </c>
      <c r="B54" s="16" t="s">
        <v>179</v>
      </c>
      <c r="C54" s="16" t="s">
        <v>180</v>
      </c>
      <c r="D54" s="16" t="s">
        <v>181</v>
      </c>
      <c r="E54" s="16" t="s">
        <v>3106</v>
      </c>
      <c r="F54" s="16" t="s">
        <v>10</v>
      </c>
      <c r="G54" s="16" t="s">
        <v>2985</v>
      </c>
      <c r="H54" s="16" t="s">
        <v>12</v>
      </c>
      <c r="I54" s="17"/>
      <c r="J54" s="16" t="s">
        <v>36</v>
      </c>
      <c r="K54" s="16" t="s">
        <v>144</v>
      </c>
      <c r="L54" s="154">
        <v>43116.0</v>
      </c>
      <c r="M54" s="16">
        <f t="shared" si="1"/>
        <v>8</v>
      </c>
      <c r="N54" s="17"/>
      <c r="O54" s="111"/>
      <c r="P54" s="16" t="s">
        <v>3121</v>
      </c>
      <c r="Q54" s="152" t="s">
        <v>3775</v>
      </c>
      <c r="R54" s="17"/>
      <c r="S54" s="16" t="s">
        <v>3671</v>
      </c>
      <c r="T54" s="17"/>
      <c r="U54" s="16" t="s">
        <v>3762</v>
      </c>
      <c r="V54" s="16" t="s">
        <v>3681</v>
      </c>
      <c r="W54" s="17"/>
      <c r="X54" s="17"/>
      <c r="Y54" s="16" t="s">
        <v>3762</v>
      </c>
      <c r="Z54" s="16" t="s">
        <v>3681</v>
      </c>
      <c r="AA54" s="17"/>
      <c r="AB54" s="17"/>
    </row>
    <row r="55">
      <c r="A55" s="16">
        <f t="shared" si="2"/>
        <v>54</v>
      </c>
      <c r="B55" s="16" t="s">
        <v>182</v>
      </c>
      <c r="C55" s="16" t="s">
        <v>183</v>
      </c>
      <c r="D55" s="16" t="s">
        <v>184</v>
      </c>
      <c r="E55" s="16" t="s">
        <v>3106</v>
      </c>
      <c r="F55" s="16" t="s">
        <v>10</v>
      </c>
      <c r="G55" s="16" t="s">
        <v>2985</v>
      </c>
      <c r="H55" s="16" t="s">
        <v>12</v>
      </c>
      <c r="I55" s="17"/>
      <c r="J55" s="16" t="s">
        <v>36</v>
      </c>
      <c r="K55" s="16" t="s">
        <v>144</v>
      </c>
      <c r="L55" s="154">
        <v>43116.0</v>
      </c>
      <c r="M55" s="16">
        <f t="shared" si="1"/>
        <v>8</v>
      </c>
      <c r="N55" s="17"/>
      <c r="O55" s="111"/>
      <c r="P55" s="16" t="s">
        <v>3121</v>
      </c>
      <c r="Q55" s="152" t="s">
        <v>3776</v>
      </c>
      <c r="R55" s="17"/>
      <c r="S55" s="16" t="s">
        <v>3671</v>
      </c>
      <c r="T55" s="17"/>
      <c r="U55" s="16" t="s">
        <v>3762</v>
      </c>
      <c r="V55" s="16" t="s">
        <v>3681</v>
      </c>
      <c r="W55" s="17"/>
      <c r="X55" s="17"/>
      <c r="Y55" s="16" t="s">
        <v>3762</v>
      </c>
      <c r="Z55" s="16" t="s">
        <v>3681</v>
      </c>
      <c r="AA55" s="17"/>
      <c r="AB55" s="17"/>
    </row>
    <row r="56">
      <c r="A56" s="16">
        <f t="shared" si="2"/>
        <v>55</v>
      </c>
      <c r="B56" s="16" t="s">
        <v>185</v>
      </c>
      <c r="C56" s="16" t="s">
        <v>186</v>
      </c>
      <c r="D56" s="16" t="s">
        <v>187</v>
      </c>
      <c r="E56" s="16" t="s">
        <v>3106</v>
      </c>
      <c r="F56" s="16" t="s">
        <v>10</v>
      </c>
      <c r="G56" s="16" t="s">
        <v>2985</v>
      </c>
      <c r="H56" s="16" t="s">
        <v>12</v>
      </c>
      <c r="I56" s="17"/>
      <c r="J56" s="16" t="s">
        <v>36</v>
      </c>
      <c r="K56" s="16" t="s">
        <v>144</v>
      </c>
      <c r="L56" s="154">
        <v>43116.0</v>
      </c>
      <c r="M56" s="16">
        <f t="shared" si="1"/>
        <v>8</v>
      </c>
      <c r="N56" s="17"/>
      <c r="O56" s="111"/>
      <c r="P56" s="16" t="s">
        <v>3121</v>
      </c>
      <c r="Q56" s="152" t="s">
        <v>3777</v>
      </c>
      <c r="R56" s="17"/>
      <c r="S56" s="16" t="s">
        <v>3671</v>
      </c>
      <c r="T56" s="17"/>
      <c r="U56" s="16" t="s">
        <v>3762</v>
      </c>
      <c r="V56" s="16" t="s">
        <v>3681</v>
      </c>
      <c r="W56" s="17"/>
      <c r="X56" s="17"/>
      <c r="Y56" s="16" t="s">
        <v>3762</v>
      </c>
      <c r="Z56" s="16" t="s">
        <v>3681</v>
      </c>
      <c r="AA56" s="17"/>
      <c r="AB56" s="17"/>
    </row>
    <row r="57">
      <c r="A57" s="16">
        <f t="shared" si="2"/>
        <v>56</v>
      </c>
      <c r="B57" s="16" t="s">
        <v>188</v>
      </c>
      <c r="C57" s="16" t="s">
        <v>189</v>
      </c>
      <c r="D57" s="16" t="s">
        <v>190</v>
      </c>
      <c r="E57" s="16" t="s">
        <v>3106</v>
      </c>
      <c r="F57" s="16" t="s">
        <v>10</v>
      </c>
      <c r="G57" s="16" t="s">
        <v>2985</v>
      </c>
      <c r="H57" s="16" t="s">
        <v>12</v>
      </c>
      <c r="I57" s="17"/>
      <c r="J57" s="16" t="s">
        <v>36</v>
      </c>
      <c r="K57" s="16" t="s">
        <v>144</v>
      </c>
      <c r="L57" s="154">
        <v>43116.0</v>
      </c>
      <c r="M57" s="16">
        <f t="shared" si="1"/>
        <v>8</v>
      </c>
      <c r="N57" s="17"/>
      <c r="O57" s="111"/>
      <c r="P57" s="16" t="s">
        <v>3121</v>
      </c>
      <c r="Q57" s="152" t="s">
        <v>3778</v>
      </c>
      <c r="R57" s="17"/>
      <c r="S57" s="16" t="s">
        <v>3671</v>
      </c>
      <c r="T57" s="17"/>
      <c r="U57" s="16" t="s">
        <v>3762</v>
      </c>
      <c r="V57" s="16" t="s">
        <v>3681</v>
      </c>
      <c r="W57" s="17"/>
      <c r="X57" s="17"/>
      <c r="Y57" s="16" t="s">
        <v>3762</v>
      </c>
      <c r="Z57" s="16" t="s">
        <v>3681</v>
      </c>
      <c r="AA57" s="17"/>
      <c r="AB57" s="17"/>
    </row>
    <row r="58">
      <c r="A58" s="16">
        <f t="shared" si="2"/>
        <v>57</v>
      </c>
      <c r="B58" s="16" t="s">
        <v>191</v>
      </c>
      <c r="C58" s="16" t="s">
        <v>192</v>
      </c>
      <c r="D58" s="16" t="s">
        <v>193</v>
      </c>
      <c r="E58" s="16" t="s">
        <v>3106</v>
      </c>
      <c r="F58" s="16" t="s">
        <v>10</v>
      </c>
      <c r="G58" s="16" t="s">
        <v>2985</v>
      </c>
      <c r="H58" s="16" t="s">
        <v>12</v>
      </c>
      <c r="I58" s="17"/>
      <c r="J58" s="16" t="s">
        <v>36</v>
      </c>
      <c r="K58" s="16" t="s">
        <v>144</v>
      </c>
      <c r="L58" s="154">
        <v>43116.0</v>
      </c>
      <c r="M58" s="16">
        <f t="shared" si="1"/>
        <v>8</v>
      </c>
      <c r="N58" s="17"/>
      <c r="O58" s="111"/>
      <c r="P58" s="16" t="s">
        <v>3121</v>
      </c>
      <c r="Q58" s="152" t="s">
        <v>3779</v>
      </c>
      <c r="R58" s="17"/>
      <c r="S58" s="16" t="s">
        <v>3671</v>
      </c>
      <c r="T58" s="17"/>
      <c r="U58" s="16" t="s">
        <v>3762</v>
      </c>
      <c r="V58" s="16" t="s">
        <v>3681</v>
      </c>
      <c r="W58" s="17"/>
      <c r="X58" s="17"/>
      <c r="Y58" s="16" t="s">
        <v>3762</v>
      </c>
      <c r="Z58" s="16" t="s">
        <v>3681</v>
      </c>
      <c r="AA58" s="17"/>
      <c r="AB58" s="17"/>
    </row>
    <row r="59">
      <c r="A59" s="16">
        <f t="shared" si="2"/>
        <v>58</v>
      </c>
      <c r="B59" s="16" t="s">
        <v>194</v>
      </c>
      <c r="C59" s="16" t="s">
        <v>195</v>
      </c>
      <c r="D59" s="16" t="s">
        <v>196</v>
      </c>
      <c r="E59" s="16" t="s">
        <v>3106</v>
      </c>
      <c r="F59" s="16" t="s">
        <v>10</v>
      </c>
      <c r="G59" s="16" t="s">
        <v>2985</v>
      </c>
      <c r="H59" s="16" t="s">
        <v>157</v>
      </c>
      <c r="I59" s="17"/>
      <c r="J59" s="16" t="s">
        <v>36</v>
      </c>
      <c r="K59" s="16" t="s">
        <v>144</v>
      </c>
      <c r="L59" s="154">
        <v>43116.0</v>
      </c>
      <c r="M59" s="16">
        <f t="shared" si="1"/>
        <v>8</v>
      </c>
      <c r="N59" s="17"/>
      <c r="O59" s="16" t="s">
        <v>3670</v>
      </c>
      <c r="P59" s="16" t="s">
        <v>3121</v>
      </c>
      <c r="Q59" s="152" t="s">
        <v>3780</v>
      </c>
      <c r="R59" s="123">
        <v>45990.0</v>
      </c>
      <c r="S59" s="16" t="s">
        <v>3671</v>
      </c>
      <c r="T59" s="16" t="s">
        <v>3781</v>
      </c>
      <c r="U59" s="16" t="s">
        <v>3762</v>
      </c>
      <c r="V59" s="16" t="s">
        <v>3681</v>
      </c>
      <c r="W59" s="17"/>
      <c r="X59" s="17"/>
      <c r="Y59" s="16" t="s">
        <v>3762</v>
      </c>
      <c r="Z59" s="16" t="s">
        <v>3681</v>
      </c>
      <c r="AA59" s="17"/>
      <c r="AB59" s="16" t="s">
        <v>2842</v>
      </c>
    </row>
    <row r="60">
      <c r="A60" s="16">
        <f t="shared" si="2"/>
        <v>59</v>
      </c>
      <c r="B60" s="16" t="s">
        <v>197</v>
      </c>
      <c r="C60" s="16" t="s">
        <v>198</v>
      </c>
      <c r="D60" s="16" t="s">
        <v>199</v>
      </c>
      <c r="E60" s="16" t="s">
        <v>3106</v>
      </c>
      <c r="F60" s="16" t="s">
        <v>10</v>
      </c>
      <c r="G60" s="16" t="s">
        <v>2985</v>
      </c>
      <c r="H60" s="16" t="s">
        <v>12</v>
      </c>
      <c r="I60" s="17"/>
      <c r="J60" s="16" t="s">
        <v>36</v>
      </c>
      <c r="K60" s="16" t="s">
        <v>144</v>
      </c>
      <c r="L60" s="154">
        <v>43116.0</v>
      </c>
      <c r="M60" s="16">
        <f t="shared" si="1"/>
        <v>8</v>
      </c>
      <c r="N60" s="17"/>
      <c r="O60" s="111"/>
      <c r="P60" s="16" t="s">
        <v>3121</v>
      </c>
      <c r="Q60" s="152" t="s">
        <v>3782</v>
      </c>
      <c r="R60" s="17"/>
      <c r="S60" s="16" t="s">
        <v>3671</v>
      </c>
      <c r="T60" s="17"/>
      <c r="U60" s="16" t="s">
        <v>3762</v>
      </c>
      <c r="V60" s="16" t="s">
        <v>3681</v>
      </c>
      <c r="W60" s="17"/>
      <c r="X60" s="17"/>
      <c r="Y60" s="16" t="s">
        <v>3762</v>
      </c>
      <c r="Z60" s="16" t="s">
        <v>3681</v>
      </c>
      <c r="AA60" s="17"/>
      <c r="AB60" s="17"/>
    </row>
    <row r="61">
      <c r="A61" s="16">
        <f t="shared" si="2"/>
        <v>60</v>
      </c>
      <c r="B61" s="16" t="s">
        <v>200</v>
      </c>
      <c r="C61" s="16" t="s">
        <v>201</v>
      </c>
      <c r="D61" s="16" t="s">
        <v>202</v>
      </c>
      <c r="E61" s="16" t="s">
        <v>3106</v>
      </c>
      <c r="F61" s="16" t="s">
        <v>10</v>
      </c>
      <c r="G61" s="16" t="s">
        <v>2985</v>
      </c>
      <c r="H61" s="16" t="s">
        <v>12</v>
      </c>
      <c r="I61" s="17"/>
      <c r="J61" s="16" t="s">
        <v>36</v>
      </c>
      <c r="K61" s="16" t="s">
        <v>144</v>
      </c>
      <c r="L61" s="154">
        <v>43116.0</v>
      </c>
      <c r="M61" s="16">
        <f t="shared" si="1"/>
        <v>8</v>
      </c>
      <c r="N61" s="17"/>
      <c r="O61" s="111"/>
      <c r="P61" s="16" t="s">
        <v>3121</v>
      </c>
      <c r="Q61" s="152" t="s">
        <v>3783</v>
      </c>
      <c r="R61" s="17"/>
      <c r="S61" s="16" t="s">
        <v>3671</v>
      </c>
      <c r="T61" s="17"/>
      <c r="U61" s="16" t="s">
        <v>3762</v>
      </c>
      <c r="V61" s="16" t="s">
        <v>3681</v>
      </c>
      <c r="W61" s="17"/>
      <c r="X61" s="17"/>
      <c r="Y61" s="16" t="s">
        <v>3762</v>
      </c>
      <c r="Z61" s="16" t="s">
        <v>3681</v>
      </c>
      <c r="AA61" s="17"/>
      <c r="AB61" s="17"/>
    </row>
    <row r="62">
      <c r="A62" s="16">
        <f t="shared" si="2"/>
        <v>61</v>
      </c>
      <c r="B62" s="16" t="s">
        <v>203</v>
      </c>
      <c r="C62" s="16" t="s">
        <v>204</v>
      </c>
      <c r="D62" s="16" t="s">
        <v>205</v>
      </c>
      <c r="E62" s="16" t="s">
        <v>3106</v>
      </c>
      <c r="F62" s="16" t="s">
        <v>10</v>
      </c>
      <c r="G62" s="16" t="s">
        <v>2985</v>
      </c>
      <c r="H62" s="16" t="s">
        <v>12</v>
      </c>
      <c r="I62" s="17"/>
      <c r="J62" s="16" t="s">
        <v>36</v>
      </c>
      <c r="K62" s="16" t="s">
        <v>144</v>
      </c>
      <c r="L62" s="154">
        <v>43116.0</v>
      </c>
      <c r="M62" s="16">
        <f t="shared" si="1"/>
        <v>8</v>
      </c>
      <c r="N62" s="17"/>
      <c r="O62" s="111"/>
      <c r="P62" s="16" t="s">
        <v>3121</v>
      </c>
      <c r="Q62" s="152" t="s">
        <v>3784</v>
      </c>
      <c r="R62" s="17"/>
      <c r="S62" s="16" t="s">
        <v>3671</v>
      </c>
      <c r="T62" s="17"/>
      <c r="U62" s="16" t="s">
        <v>3762</v>
      </c>
      <c r="V62" s="16" t="s">
        <v>3681</v>
      </c>
      <c r="W62" s="17"/>
      <c r="X62" s="17"/>
      <c r="Y62" s="16" t="s">
        <v>3762</v>
      </c>
      <c r="Z62" s="16" t="s">
        <v>3681</v>
      </c>
      <c r="AA62" s="17"/>
      <c r="AB62" s="17"/>
    </row>
    <row r="63">
      <c r="A63" s="16">
        <f t="shared" si="2"/>
        <v>62</v>
      </c>
      <c r="B63" s="16" t="s">
        <v>206</v>
      </c>
      <c r="C63" s="16" t="s">
        <v>207</v>
      </c>
      <c r="D63" s="16" t="s">
        <v>208</v>
      </c>
      <c r="E63" s="16" t="s">
        <v>3106</v>
      </c>
      <c r="F63" s="16" t="s">
        <v>10</v>
      </c>
      <c r="G63" s="16" t="s">
        <v>2985</v>
      </c>
      <c r="H63" s="16" t="s">
        <v>12</v>
      </c>
      <c r="I63" s="17"/>
      <c r="J63" s="16" t="s">
        <v>36</v>
      </c>
      <c r="K63" s="16" t="s">
        <v>144</v>
      </c>
      <c r="L63" s="154">
        <v>43116.0</v>
      </c>
      <c r="M63" s="16">
        <f t="shared" si="1"/>
        <v>8</v>
      </c>
      <c r="N63" s="17"/>
      <c r="O63" s="111"/>
      <c r="P63" s="16" t="s">
        <v>3121</v>
      </c>
      <c r="Q63" s="152" t="s">
        <v>3785</v>
      </c>
      <c r="R63" s="17"/>
      <c r="S63" s="16" t="s">
        <v>3671</v>
      </c>
      <c r="T63" s="17"/>
      <c r="U63" s="16" t="s">
        <v>3762</v>
      </c>
      <c r="V63" s="16" t="s">
        <v>3681</v>
      </c>
      <c r="W63" s="17"/>
      <c r="X63" s="17"/>
      <c r="Y63" s="16" t="s">
        <v>3762</v>
      </c>
      <c r="Z63" s="16" t="s">
        <v>3681</v>
      </c>
      <c r="AA63" s="17"/>
      <c r="AB63" s="17"/>
    </row>
    <row r="64">
      <c r="A64" s="16">
        <f t="shared" si="2"/>
        <v>63</v>
      </c>
      <c r="B64" s="16" t="s">
        <v>209</v>
      </c>
      <c r="C64" s="16" t="s">
        <v>210</v>
      </c>
      <c r="D64" s="16" t="s">
        <v>211</v>
      </c>
      <c r="E64" s="16" t="s">
        <v>3106</v>
      </c>
      <c r="F64" s="16" t="s">
        <v>10</v>
      </c>
      <c r="G64" s="16" t="s">
        <v>2985</v>
      </c>
      <c r="H64" s="16" t="s">
        <v>12</v>
      </c>
      <c r="I64" s="17"/>
      <c r="J64" s="16" t="s">
        <v>36</v>
      </c>
      <c r="K64" s="16" t="s">
        <v>144</v>
      </c>
      <c r="L64" s="154">
        <v>43116.0</v>
      </c>
      <c r="M64" s="16">
        <f t="shared" si="1"/>
        <v>8</v>
      </c>
      <c r="N64" s="17"/>
      <c r="O64" s="111"/>
      <c r="P64" s="16" t="s">
        <v>3121</v>
      </c>
      <c r="Q64" s="152" t="s">
        <v>3786</v>
      </c>
      <c r="R64" s="17"/>
      <c r="S64" s="16" t="s">
        <v>3671</v>
      </c>
      <c r="T64" s="17"/>
      <c r="U64" s="16" t="s">
        <v>3762</v>
      </c>
      <c r="V64" s="16" t="s">
        <v>3681</v>
      </c>
      <c r="W64" s="17"/>
      <c r="X64" s="17"/>
      <c r="Y64" s="16" t="s">
        <v>3762</v>
      </c>
      <c r="Z64" s="16" t="s">
        <v>3681</v>
      </c>
      <c r="AA64" s="17"/>
      <c r="AB64" s="17"/>
    </row>
    <row r="65">
      <c r="A65" s="16">
        <f t="shared" si="2"/>
        <v>64</v>
      </c>
      <c r="B65" s="16" t="s">
        <v>212</v>
      </c>
      <c r="C65" s="16">
        <v>6.0019681E7</v>
      </c>
      <c r="D65" s="16" t="s">
        <v>213</v>
      </c>
      <c r="E65" s="16" t="s">
        <v>3106</v>
      </c>
      <c r="F65" s="16" t="s">
        <v>10</v>
      </c>
      <c r="G65" s="16" t="s">
        <v>3787</v>
      </c>
      <c r="H65" s="16" t="s">
        <v>12</v>
      </c>
      <c r="I65" s="16" t="s">
        <v>3788</v>
      </c>
      <c r="J65" s="16" t="s">
        <v>36</v>
      </c>
      <c r="K65" s="16" t="s">
        <v>214</v>
      </c>
      <c r="L65" s="154">
        <v>44848.0</v>
      </c>
      <c r="M65" s="16">
        <f t="shared" si="1"/>
        <v>4</v>
      </c>
      <c r="N65" s="16">
        <v>4.500000469E9</v>
      </c>
      <c r="O65" s="17"/>
      <c r="P65" s="16" t="s">
        <v>3121</v>
      </c>
      <c r="Q65" s="152" t="s">
        <v>3789</v>
      </c>
      <c r="R65" s="17"/>
      <c r="S65" s="16" t="s">
        <v>3671</v>
      </c>
      <c r="T65" s="17"/>
      <c r="U65" s="16" t="s">
        <v>3310</v>
      </c>
      <c r="V65" s="17"/>
      <c r="W65" s="17"/>
      <c r="X65" s="17"/>
      <c r="Y65" s="16" t="s">
        <v>3310</v>
      </c>
      <c r="Z65" s="16" t="s">
        <v>3734</v>
      </c>
      <c r="AA65" s="17"/>
      <c r="AB65" s="17"/>
    </row>
    <row r="66">
      <c r="A66" s="16">
        <f t="shared" si="2"/>
        <v>65</v>
      </c>
      <c r="B66" s="16" t="s">
        <v>215</v>
      </c>
      <c r="C66" s="16">
        <v>6.0019682E7</v>
      </c>
      <c r="D66" s="16" t="s">
        <v>216</v>
      </c>
      <c r="E66" s="16" t="s">
        <v>3106</v>
      </c>
      <c r="F66" s="16" t="s">
        <v>10</v>
      </c>
      <c r="G66" s="16" t="s">
        <v>3787</v>
      </c>
      <c r="H66" s="16" t="s">
        <v>12</v>
      </c>
      <c r="I66" s="16" t="s">
        <v>3788</v>
      </c>
      <c r="J66" s="16" t="s">
        <v>36</v>
      </c>
      <c r="K66" s="16" t="s">
        <v>214</v>
      </c>
      <c r="L66" s="154">
        <v>44848.0</v>
      </c>
      <c r="M66" s="16">
        <f t="shared" si="1"/>
        <v>4</v>
      </c>
      <c r="N66" s="16">
        <v>4.500000469E9</v>
      </c>
      <c r="O66" s="17"/>
      <c r="P66" s="16" t="s">
        <v>3121</v>
      </c>
      <c r="Q66" s="152" t="s">
        <v>3790</v>
      </c>
      <c r="R66" s="17"/>
      <c r="S66" s="16" t="s">
        <v>3671</v>
      </c>
      <c r="T66" s="17"/>
      <c r="U66" s="16" t="s">
        <v>3310</v>
      </c>
      <c r="V66" s="17"/>
      <c r="W66" s="17"/>
      <c r="X66" s="17"/>
      <c r="Y66" s="16" t="s">
        <v>3310</v>
      </c>
      <c r="Z66" s="16" t="s">
        <v>3734</v>
      </c>
      <c r="AA66" s="17"/>
      <c r="AB66" s="17"/>
    </row>
    <row r="67">
      <c r="A67" s="16">
        <f t="shared" si="2"/>
        <v>66</v>
      </c>
      <c r="B67" s="16" t="s">
        <v>217</v>
      </c>
      <c r="C67" s="16">
        <v>6.0019683E7</v>
      </c>
      <c r="D67" s="16" t="s">
        <v>218</v>
      </c>
      <c r="E67" s="16" t="s">
        <v>3106</v>
      </c>
      <c r="F67" s="16" t="s">
        <v>10</v>
      </c>
      <c r="G67" s="16" t="s">
        <v>3787</v>
      </c>
      <c r="H67" s="16" t="s">
        <v>12</v>
      </c>
      <c r="I67" s="16" t="s">
        <v>3788</v>
      </c>
      <c r="J67" s="16" t="s">
        <v>36</v>
      </c>
      <c r="K67" s="16" t="s">
        <v>214</v>
      </c>
      <c r="L67" s="154">
        <v>44848.0</v>
      </c>
      <c r="M67" s="16">
        <f t="shared" si="1"/>
        <v>4</v>
      </c>
      <c r="N67" s="16">
        <v>4.500000469E9</v>
      </c>
      <c r="O67" s="17"/>
      <c r="P67" s="16" t="s">
        <v>2557</v>
      </c>
      <c r="Q67" s="152" t="s">
        <v>3791</v>
      </c>
      <c r="R67" s="17"/>
      <c r="S67" s="16" t="s">
        <v>3671</v>
      </c>
      <c r="T67" s="17"/>
      <c r="U67" s="16" t="s">
        <v>3310</v>
      </c>
      <c r="V67" s="17"/>
      <c r="W67" s="17"/>
      <c r="X67" s="17"/>
      <c r="Y67" s="16" t="s">
        <v>3310</v>
      </c>
      <c r="Z67" s="16" t="s">
        <v>3734</v>
      </c>
      <c r="AA67" s="17"/>
      <c r="AB67" s="17"/>
    </row>
    <row r="68">
      <c r="A68" s="16">
        <f t="shared" si="2"/>
        <v>67</v>
      </c>
      <c r="B68" s="16" t="s">
        <v>219</v>
      </c>
      <c r="C68" s="16">
        <v>6.0019684E7</v>
      </c>
      <c r="D68" s="16" t="s">
        <v>220</v>
      </c>
      <c r="E68" s="16" t="s">
        <v>3106</v>
      </c>
      <c r="F68" s="16" t="s">
        <v>10</v>
      </c>
      <c r="G68" s="16" t="s">
        <v>3787</v>
      </c>
      <c r="H68" s="16" t="s">
        <v>12</v>
      </c>
      <c r="I68" s="16" t="s">
        <v>3788</v>
      </c>
      <c r="J68" s="16" t="s">
        <v>36</v>
      </c>
      <c r="K68" s="16" t="s">
        <v>214</v>
      </c>
      <c r="L68" s="154">
        <v>44848.0</v>
      </c>
      <c r="M68" s="16">
        <f t="shared" si="1"/>
        <v>4</v>
      </c>
      <c r="N68" s="16">
        <v>4.500000469E9</v>
      </c>
      <c r="O68" s="17"/>
      <c r="P68" s="16" t="s">
        <v>3121</v>
      </c>
      <c r="Q68" s="152" t="s">
        <v>3792</v>
      </c>
      <c r="R68" s="17"/>
      <c r="S68" s="16" t="s">
        <v>3671</v>
      </c>
      <c r="T68" s="17"/>
      <c r="U68" s="16" t="s">
        <v>3310</v>
      </c>
      <c r="V68" s="17"/>
      <c r="W68" s="17"/>
      <c r="X68" s="17"/>
      <c r="Y68" s="16" t="s">
        <v>3310</v>
      </c>
      <c r="Z68" s="16" t="s">
        <v>3734</v>
      </c>
      <c r="AA68" s="17"/>
      <c r="AB68" s="17"/>
    </row>
    <row r="69">
      <c r="A69" s="16">
        <f t="shared" si="2"/>
        <v>68</v>
      </c>
      <c r="B69" s="16" t="s">
        <v>221</v>
      </c>
      <c r="C69" s="16" t="s">
        <v>222</v>
      </c>
      <c r="D69" s="16" t="s">
        <v>223</v>
      </c>
      <c r="E69" s="16" t="s">
        <v>3106</v>
      </c>
      <c r="F69" s="16" t="s">
        <v>10</v>
      </c>
      <c r="G69" s="16" t="s">
        <v>3793</v>
      </c>
      <c r="H69" s="16" t="s">
        <v>12</v>
      </c>
      <c r="I69" s="17"/>
      <c r="J69" s="16" t="s">
        <v>13</v>
      </c>
      <c r="K69" s="16" t="s">
        <v>224</v>
      </c>
      <c r="L69" s="154">
        <v>43081.0</v>
      </c>
      <c r="M69" s="16">
        <f t="shared" si="1"/>
        <v>9</v>
      </c>
      <c r="N69" s="17"/>
      <c r="O69" s="111"/>
      <c r="P69" s="16" t="s">
        <v>3121</v>
      </c>
      <c r="Q69" s="152" t="s">
        <v>3794</v>
      </c>
      <c r="R69" s="17"/>
      <c r="S69" s="16" t="s">
        <v>3671</v>
      </c>
      <c r="T69" s="17"/>
      <c r="U69" s="16" t="s">
        <v>3310</v>
      </c>
      <c r="V69" s="17"/>
      <c r="W69" s="17"/>
      <c r="X69" s="17"/>
      <c r="Y69" s="16" t="s">
        <v>3310</v>
      </c>
      <c r="Z69" s="16" t="s">
        <v>3734</v>
      </c>
      <c r="AA69" s="17"/>
      <c r="AB69" s="17"/>
    </row>
    <row r="70">
      <c r="A70" s="16">
        <f t="shared" si="2"/>
        <v>69</v>
      </c>
      <c r="B70" s="16" t="s">
        <v>225</v>
      </c>
      <c r="C70" s="16" t="s">
        <v>226</v>
      </c>
      <c r="D70" s="16" t="s">
        <v>227</v>
      </c>
      <c r="E70" s="16" t="s">
        <v>3106</v>
      </c>
      <c r="F70" s="16" t="s">
        <v>10</v>
      </c>
      <c r="G70" s="16" t="s">
        <v>3793</v>
      </c>
      <c r="H70" s="16" t="s">
        <v>12</v>
      </c>
      <c r="I70" s="17"/>
      <c r="J70" s="16" t="s">
        <v>13</v>
      </c>
      <c r="K70" s="16" t="s">
        <v>224</v>
      </c>
      <c r="L70" s="154">
        <v>43081.0</v>
      </c>
      <c r="M70" s="16">
        <f t="shared" si="1"/>
        <v>9</v>
      </c>
      <c r="N70" s="17"/>
      <c r="O70" s="111"/>
      <c r="P70" s="16" t="s">
        <v>2557</v>
      </c>
      <c r="Q70" s="152" t="s">
        <v>3795</v>
      </c>
      <c r="R70" s="17"/>
      <c r="S70" s="16" t="s">
        <v>3671</v>
      </c>
      <c r="T70" s="17"/>
      <c r="U70" s="16" t="s">
        <v>3310</v>
      </c>
      <c r="V70" s="17"/>
      <c r="W70" s="17"/>
      <c r="X70" s="17"/>
      <c r="Y70" s="16" t="s">
        <v>3310</v>
      </c>
      <c r="Z70" s="16" t="s">
        <v>3734</v>
      </c>
      <c r="AA70" s="17"/>
      <c r="AB70" s="17"/>
    </row>
    <row r="71">
      <c r="A71" s="16">
        <f t="shared" si="2"/>
        <v>70</v>
      </c>
      <c r="B71" s="16" t="s">
        <v>228</v>
      </c>
      <c r="C71" s="16" t="s">
        <v>229</v>
      </c>
      <c r="D71" s="16" t="s">
        <v>230</v>
      </c>
      <c r="E71" s="16" t="s">
        <v>3106</v>
      </c>
      <c r="F71" s="16" t="s">
        <v>10</v>
      </c>
      <c r="G71" s="16" t="s">
        <v>3793</v>
      </c>
      <c r="H71" s="16" t="s">
        <v>12</v>
      </c>
      <c r="I71" s="17"/>
      <c r="J71" s="16" t="s">
        <v>13</v>
      </c>
      <c r="K71" s="16" t="s">
        <v>224</v>
      </c>
      <c r="L71" s="154">
        <v>43278.0</v>
      </c>
      <c r="M71" s="16">
        <f t="shared" si="1"/>
        <v>8</v>
      </c>
      <c r="N71" s="17"/>
      <c r="O71" s="111"/>
      <c r="P71" s="16" t="s">
        <v>2557</v>
      </c>
      <c r="Q71" s="152" t="s">
        <v>3796</v>
      </c>
      <c r="R71" s="17"/>
      <c r="S71" s="16" t="s">
        <v>3671</v>
      </c>
      <c r="T71" s="17"/>
      <c r="U71" s="16" t="s">
        <v>3310</v>
      </c>
      <c r="V71" s="17"/>
      <c r="W71" s="17"/>
      <c r="X71" s="17"/>
      <c r="Y71" s="16" t="s">
        <v>3310</v>
      </c>
      <c r="Z71" s="16" t="s">
        <v>3734</v>
      </c>
      <c r="AA71" s="17"/>
      <c r="AB71" s="17"/>
    </row>
    <row r="72">
      <c r="A72" s="16">
        <f t="shared" si="2"/>
        <v>71</v>
      </c>
      <c r="B72" s="16" t="s">
        <v>231</v>
      </c>
      <c r="C72" s="16" t="s">
        <v>232</v>
      </c>
      <c r="D72" s="16" t="s">
        <v>233</v>
      </c>
      <c r="E72" s="16" t="s">
        <v>3106</v>
      </c>
      <c r="F72" s="16" t="s">
        <v>10</v>
      </c>
      <c r="G72" s="16" t="s">
        <v>3793</v>
      </c>
      <c r="H72" s="16" t="s">
        <v>12</v>
      </c>
      <c r="I72" s="17"/>
      <c r="J72" s="16" t="s">
        <v>13</v>
      </c>
      <c r="K72" s="16" t="s">
        <v>224</v>
      </c>
      <c r="L72" s="154">
        <v>42956.0</v>
      </c>
      <c r="M72" s="16">
        <f t="shared" si="1"/>
        <v>9</v>
      </c>
      <c r="N72" s="17"/>
      <c r="O72" s="111"/>
      <c r="P72" s="16" t="s">
        <v>2557</v>
      </c>
      <c r="Q72" s="152" t="s">
        <v>3797</v>
      </c>
      <c r="R72" s="17"/>
      <c r="S72" s="16" t="s">
        <v>3671</v>
      </c>
      <c r="T72" s="17"/>
      <c r="U72" s="16" t="s">
        <v>3310</v>
      </c>
      <c r="V72" s="17"/>
      <c r="W72" s="17"/>
      <c r="X72" s="17"/>
      <c r="Y72" s="16" t="s">
        <v>3310</v>
      </c>
      <c r="Z72" s="16" t="s">
        <v>3734</v>
      </c>
      <c r="AA72" s="17"/>
      <c r="AB72" s="17"/>
    </row>
    <row r="73">
      <c r="A73" s="16">
        <f t="shared" si="2"/>
        <v>72</v>
      </c>
      <c r="B73" s="16" t="s">
        <v>234</v>
      </c>
      <c r="C73" s="16" t="s">
        <v>235</v>
      </c>
      <c r="D73" s="16" t="s">
        <v>236</v>
      </c>
      <c r="E73" s="16" t="s">
        <v>3106</v>
      </c>
      <c r="F73" s="16" t="s">
        <v>10</v>
      </c>
      <c r="G73" s="16" t="s">
        <v>3793</v>
      </c>
      <c r="H73" s="16" t="s">
        <v>12</v>
      </c>
      <c r="I73" s="17"/>
      <c r="J73" s="16" t="s">
        <v>13</v>
      </c>
      <c r="K73" s="16" t="s">
        <v>224</v>
      </c>
      <c r="L73" s="154">
        <v>43081.0</v>
      </c>
      <c r="M73" s="16">
        <f t="shared" si="1"/>
        <v>9</v>
      </c>
      <c r="N73" s="17"/>
      <c r="O73" s="111"/>
      <c r="P73" s="16" t="s">
        <v>3136</v>
      </c>
      <c r="Q73" s="152" t="s">
        <v>3798</v>
      </c>
      <c r="R73" s="17"/>
      <c r="S73" s="16" t="s">
        <v>3671</v>
      </c>
      <c r="T73" s="17"/>
      <c r="U73" s="16" t="s">
        <v>3310</v>
      </c>
      <c r="V73" s="17"/>
      <c r="W73" s="17"/>
      <c r="X73" s="17"/>
      <c r="Y73" s="16" t="s">
        <v>3310</v>
      </c>
      <c r="Z73" s="16" t="s">
        <v>3734</v>
      </c>
      <c r="AA73" s="17"/>
      <c r="AB73" s="17"/>
    </row>
    <row r="74">
      <c r="A74" s="16">
        <f t="shared" si="2"/>
        <v>73</v>
      </c>
      <c r="B74" s="16" t="s">
        <v>237</v>
      </c>
      <c r="C74" s="16" t="s">
        <v>238</v>
      </c>
      <c r="D74" s="16" t="s">
        <v>239</v>
      </c>
      <c r="E74" s="16" t="s">
        <v>3106</v>
      </c>
      <c r="F74" s="16" t="s">
        <v>10</v>
      </c>
      <c r="G74" s="16" t="s">
        <v>3793</v>
      </c>
      <c r="H74" s="16" t="s">
        <v>12</v>
      </c>
      <c r="I74" s="17"/>
      <c r="J74" s="16" t="s">
        <v>13</v>
      </c>
      <c r="K74" s="16" t="s">
        <v>224</v>
      </c>
      <c r="L74" s="154">
        <v>42956.0</v>
      </c>
      <c r="M74" s="16">
        <f t="shared" si="1"/>
        <v>9</v>
      </c>
      <c r="N74" s="17"/>
      <c r="O74" s="111"/>
      <c r="P74" s="16" t="s">
        <v>3136</v>
      </c>
      <c r="Q74" s="152" t="s">
        <v>3799</v>
      </c>
      <c r="R74" s="17"/>
      <c r="S74" s="16" t="s">
        <v>3671</v>
      </c>
      <c r="T74" s="17"/>
      <c r="U74" s="16" t="s">
        <v>3310</v>
      </c>
      <c r="V74" s="17"/>
      <c r="W74" s="17"/>
      <c r="X74" s="17"/>
      <c r="Y74" s="16" t="s">
        <v>3310</v>
      </c>
      <c r="Z74" s="16" t="s">
        <v>3734</v>
      </c>
      <c r="AA74" s="17"/>
      <c r="AB74" s="17"/>
    </row>
    <row r="75">
      <c r="A75" s="16">
        <f t="shared" si="2"/>
        <v>74</v>
      </c>
      <c r="B75" s="16" t="s">
        <v>240</v>
      </c>
      <c r="C75" s="16" t="s">
        <v>241</v>
      </c>
      <c r="D75" s="16" t="s">
        <v>242</v>
      </c>
      <c r="E75" s="16" t="s">
        <v>3106</v>
      </c>
      <c r="F75" s="16" t="s">
        <v>10</v>
      </c>
      <c r="G75" s="16" t="s">
        <v>3793</v>
      </c>
      <c r="H75" s="16" t="s">
        <v>12</v>
      </c>
      <c r="I75" s="17"/>
      <c r="J75" s="16" t="s">
        <v>13</v>
      </c>
      <c r="K75" s="16" t="s">
        <v>224</v>
      </c>
      <c r="L75" s="154">
        <v>43278.0</v>
      </c>
      <c r="M75" s="16">
        <f t="shared" si="1"/>
        <v>8</v>
      </c>
      <c r="N75" s="17"/>
      <c r="O75" s="111"/>
      <c r="P75" s="16" t="s">
        <v>3136</v>
      </c>
      <c r="Q75" s="152" t="s">
        <v>3800</v>
      </c>
      <c r="R75" s="17"/>
      <c r="S75" s="16" t="s">
        <v>3671</v>
      </c>
      <c r="T75" s="17"/>
      <c r="U75" s="16" t="s">
        <v>3310</v>
      </c>
      <c r="V75" s="17"/>
      <c r="W75" s="17"/>
      <c r="X75" s="17"/>
      <c r="Y75" s="16" t="s">
        <v>3310</v>
      </c>
      <c r="Z75" s="16" t="s">
        <v>3734</v>
      </c>
      <c r="AA75" s="17"/>
      <c r="AB75" s="17"/>
    </row>
    <row r="76">
      <c r="A76" s="16">
        <f t="shared" si="2"/>
        <v>75</v>
      </c>
      <c r="B76" s="16" t="s">
        <v>243</v>
      </c>
      <c r="C76" s="16" t="s">
        <v>244</v>
      </c>
      <c r="D76" s="16" t="s">
        <v>245</v>
      </c>
      <c r="E76" s="16" t="s">
        <v>3106</v>
      </c>
      <c r="F76" s="16" t="s">
        <v>10</v>
      </c>
      <c r="G76" s="16" t="s">
        <v>3793</v>
      </c>
      <c r="H76" s="16" t="s">
        <v>12</v>
      </c>
      <c r="I76" s="17"/>
      <c r="J76" s="16" t="s">
        <v>13</v>
      </c>
      <c r="K76" s="16" t="s">
        <v>224</v>
      </c>
      <c r="L76" s="154">
        <v>43081.0</v>
      </c>
      <c r="M76" s="16">
        <f t="shared" si="1"/>
        <v>9</v>
      </c>
      <c r="N76" s="17"/>
      <c r="O76" s="111"/>
      <c r="P76" s="16" t="s">
        <v>3136</v>
      </c>
      <c r="Q76" s="152" t="s">
        <v>3801</v>
      </c>
      <c r="R76" s="17"/>
      <c r="S76" s="16" t="s">
        <v>3671</v>
      </c>
      <c r="T76" s="17"/>
      <c r="U76" s="16" t="s">
        <v>3310</v>
      </c>
      <c r="V76" s="17"/>
      <c r="W76" s="17"/>
      <c r="X76" s="17"/>
      <c r="Y76" s="16" t="s">
        <v>3310</v>
      </c>
      <c r="Z76" s="16" t="s">
        <v>3734</v>
      </c>
      <c r="AA76" s="17"/>
      <c r="AB76" s="17"/>
    </row>
    <row r="77">
      <c r="A77" s="16">
        <f t="shared" si="2"/>
        <v>76</v>
      </c>
      <c r="B77" s="16" t="s">
        <v>246</v>
      </c>
      <c r="C77" s="16" t="s">
        <v>247</v>
      </c>
      <c r="D77" s="16" t="s">
        <v>248</v>
      </c>
      <c r="E77" s="16" t="s">
        <v>3106</v>
      </c>
      <c r="F77" s="16" t="s">
        <v>10</v>
      </c>
      <c r="G77" s="16" t="s">
        <v>3793</v>
      </c>
      <c r="H77" s="16" t="s">
        <v>12</v>
      </c>
      <c r="I77" s="17"/>
      <c r="J77" s="16" t="s">
        <v>13</v>
      </c>
      <c r="K77" s="16" t="s">
        <v>224</v>
      </c>
      <c r="L77" s="154">
        <v>42956.0</v>
      </c>
      <c r="M77" s="16">
        <f t="shared" si="1"/>
        <v>9</v>
      </c>
      <c r="N77" s="17"/>
      <c r="O77" s="111"/>
      <c r="P77" s="16" t="s">
        <v>3136</v>
      </c>
      <c r="Q77" s="152" t="s">
        <v>3802</v>
      </c>
      <c r="R77" s="17"/>
      <c r="S77" s="16" t="s">
        <v>3671</v>
      </c>
      <c r="T77" s="17"/>
      <c r="U77" s="16" t="s">
        <v>3310</v>
      </c>
      <c r="V77" s="17"/>
      <c r="W77" s="17"/>
      <c r="X77" s="17"/>
      <c r="Y77" s="16" t="s">
        <v>3310</v>
      </c>
      <c r="Z77" s="16" t="s">
        <v>3734</v>
      </c>
      <c r="AA77" s="17"/>
      <c r="AB77" s="17"/>
    </row>
    <row r="78">
      <c r="A78" s="16">
        <f t="shared" si="2"/>
        <v>77</v>
      </c>
      <c r="B78" s="16" t="s">
        <v>249</v>
      </c>
      <c r="C78" s="16" t="s">
        <v>250</v>
      </c>
      <c r="D78" s="16" t="s">
        <v>251</v>
      </c>
      <c r="E78" s="16" t="s">
        <v>3106</v>
      </c>
      <c r="F78" s="16" t="s">
        <v>10</v>
      </c>
      <c r="G78" s="16" t="s">
        <v>3793</v>
      </c>
      <c r="H78" s="16" t="s">
        <v>12</v>
      </c>
      <c r="I78" s="17"/>
      <c r="J78" s="16" t="s">
        <v>13</v>
      </c>
      <c r="K78" s="16" t="s">
        <v>224</v>
      </c>
      <c r="L78" s="154">
        <v>43137.0</v>
      </c>
      <c r="M78" s="16">
        <f t="shared" si="1"/>
        <v>8</v>
      </c>
      <c r="N78" s="17"/>
      <c r="O78" s="111"/>
      <c r="P78" s="16" t="s">
        <v>3121</v>
      </c>
      <c r="Q78" s="152" t="s">
        <v>3803</v>
      </c>
      <c r="R78" s="17"/>
      <c r="S78" s="16" t="s">
        <v>3671</v>
      </c>
      <c r="T78" s="17"/>
      <c r="U78" s="16" t="s">
        <v>3310</v>
      </c>
      <c r="V78" s="17"/>
      <c r="W78" s="17"/>
      <c r="X78" s="17"/>
      <c r="Y78" s="16" t="s">
        <v>3310</v>
      </c>
      <c r="Z78" s="16" t="s">
        <v>3734</v>
      </c>
      <c r="AA78" s="17"/>
      <c r="AB78" s="17"/>
    </row>
    <row r="79">
      <c r="A79" s="16">
        <f t="shared" si="2"/>
        <v>78</v>
      </c>
      <c r="B79" s="16" t="s">
        <v>252</v>
      </c>
      <c r="C79" s="16">
        <v>6.001969E7</v>
      </c>
      <c r="D79" s="16" t="s">
        <v>253</v>
      </c>
      <c r="E79" s="16" t="s">
        <v>3106</v>
      </c>
      <c r="F79" s="16" t="s">
        <v>10</v>
      </c>
      <c r="G79" s="16" t="s">
        <v>3787</v>
      </c>
      <c r="H79" s="16" t="s">
        <v>12</v>
      </c>
      <c r="I79" s="16" t="s">
        <v>3788</v>
      </c>
      <c r="J79" s="16" t="s">
        <v>36</v>
      </c>
      <c r="K79" s="16" t="s">
        <v>214</v>
      </c>
      <c r="L79" s="154">
        <v>44848.0</v>
      </c>
      <c r="M79" s="16">
        <f t="shared" si="1"/>
        <v>4</v>
      </c>
      <c r="N79" s="16">
        <v>4.500000469E9</v>
      </c>
      <c r="O79" s="17"/>
      <c r="P79" s="16" t="s">
        <v>3136</v>
      </c>
      <c r="Q79" s="152" t="s">
        <v>3804</v>
      </c>
      <c r="R79" s="17"/>
      <c r="S79" s="16" t="s">
        <v>3671</v>
      </c>
      <c r="T79" s="17"/>
      <c r="U79" s="16" t="s">
        <v>3310</v>
      </c>
      <c r="V79" s="17"/>
      <c r="W79" s="17"/>
      <c r="X79" s="17"/>
      <c r="Y79" s="16" t="s">
        <v>3310</v>
      </c>
      <c r="Z79" s="16" t="s">
        <v>3734</v>
      </c>
      <c r="AA79" s="17"/>
      <c r="AB79" s="17"/>
    </row>
    <row r="80">
      <c r="A80" s="16">
        <f t="shared" si="2"/>
        <v>79</v>
      </c>
      <c r="B80" s="16" t="s">
        <v>254</v>
      </c>
      <c r="C80" s="16">
        <v>6.0019675E7</v>
      </c>
      <c r="D80" s="16" t="s">
        <v>255</v>
      </c>
      <c r="E80" s="16" t="s">
        <v>3106</v>
      </c>
      <c r="F80" s="16" t="s">
        <v>10</v>
      </c>
      <c r="G80" s="16" t="s">
        <v>3787</v>
      </c>
      <c r="H80" s="16" t="s">
        <v>12</v>
      </c>
      <c r="I80" s="16" t="s">
        <v>3788</v>
      </c>
      <c r="J80" s="16" t="s">
        <v>36</v>
      </c>
      <c r="K80" s="16" t="s">
        <v>214</v>
      </c>
      <c r="L80" s="154">
        <v>44848.0</v>
      </c>
      <c r="M80" s="16">
        <f t="shared" si="1"/>
        <v>4</v>
      </c>
      <c r="N80" s="16">
        <v>4.500000469E9</v>
      </c>
      <c r="O80" s="17"/>
      <c r="P80" s="16" t="s">
        <v>3136</v>
      </c>
      <c r="Q80" s="152" t="s">
        <v>3805</v>
      </c>
      <c r="R80" s="17"/>
      <c r="S80" s="16" t="s">
        <v>3671</v>
      </c>
      <c r="T80" s="17"/>
      <c r="U80" s="16" t="s">
        <v>3310</v>
      </c>
      <c r="V80" s="17"/>
      <c r="W80" s="17"/>
      <c r="X80" s="17"/>
      <c r="Y80" s="16" t="s">
        <v>3310</v>
      </c>
      <c r="Z80" s="16" t="s">
        <v>3734</v>
      </c>
      <c r="AA80" s="17"/>
      <c r="AB80" s="17"/>
    </row>
    <row r="81">
      <c r="A81" s="16">
        <f t="shared" si="2"/>
        <v>80</v>
      </c>
      <c r="B81" s="16" t="s">
        <v>256</v>
      </c>
      <c r="C81" s="16">
        <v>6.0019676E7</v>
      </c>
      <c r="D81" s="16" t="s">
        <v>257</v>
      </c>
      <c r="E81" s="16" t="s">
        <v>3106</v>
      </c>
      <c r="F81" s="16" t="s">
        <v>10</v>
      </c>
      <c r="G81" s="16" t="s">
        <v>3787</v>
      </c>
      <c r="H81" s="16" t="s">
        <v>12</v>
      </c>
      <c r="I81" s="16" t="s">
        <v>3788</v>
      </c>
      <c r="J81" s="16" t="s">
        <v>36</v>
      </c>
      <c r="K81" s="16" t="s">
        <v>214</v>
      </c>
      <c r="L81" s="154">
        <v>44848.0</v>
      </c>
      <c r="M81" s="16">
        <f t="shared" si="1"/>
        <v>4</v>
      </c>
      <c r="N81" s="16">
        <v>4.500000469E9</v>
      </c>
      <c r="O81" s="17"/>
      <c r="P81" s="16" t="s">
        <v>3136</v>
      </c>
      <c r="Q81" s="152" t="s">
        <v>3806</v>
      </c>
      <c r="R81" s="17"/>
      <c r="S81" s="16" t="s">
        <v>3671</v>
      </c>
      <c r="T81" s="17"/>
      <c r="U81" s="16" t="s">
        <v>3310</v>
      </c>
      <c r="V81" s="17"/>
      <c r="W81" s="17"/>
      <c r="X81" s="17"/>
      <c r="Y81" s="16" t="s">
        <v>3310</v>
      </c>
      <c r="Z81" s="16" t="s">
        <v>3734</v>
      </c>
      <c r="AA81" s="17"/>
      <c r="AB81" s="17"/>
    </row>
    <row r="82">
      <c r="A82" s="16">
        <f t="shared" si="2"/>
        <v>81</v>
      </c>
      <c r="B82" s="16" t="s">
        <v>258</v>
      </c>
      <c r="C82" s="16">
        <v>6.0019677E7</v>
      </c>
      <c r="D82" s="16" t="s">
        <v>259</v>
      </c>
      <c r="E82" s="16" t="s">
        <v>3106</v>
      </c>
      <c r="F82" s="16" t="s">
        <v>10</v>
      </c>
      <c r="G82" s="16" t="s">
        <v>3787</v>
      </c>
      <c r="H82" s="16" t="s">
        <v>12</v>
      </c>
      <c r="I82" s="16" t="s">
        <v>3788</v>
      </c>
      <c r="J82" s="16" t="s">
        <v>36</v>
      </c>
      <c r="K82" s="16" t="s">
        <v>214</v>
      </c>
      <c r="L82" s="154">
        <v>44848.0</v>
      </c>
      <c r="M82" s="16">
        <f t="shared" si="1"/>
        <v>4</v>
      </c>
      <c r="N82" s="16">
        <v>4.500000469E9</v>
      </c>
      <c r="O82" s="17"/>
      <c r="P82" s="16" t="s">
        <v>3136</v>
      </c>
      <c r="Q82" s="152" t="s">
        <v>3807</v>
      </c>
      <c r="R82" s="17"/>
      <c r="S82" s="16" t="s">
        <v>3671</v>
      </c>
      <c r="T82" s="17"/>
      <c r="U82" s="16" t="s">
        <v>3310</v>
      </c>
      <c r="V82" s="17"/>
      <c r="W82" s="17"/>
      <c r="X82" s="17"/>
      <c r="Y82" s="16" t="s">
        <v>3310</v>
      </c>
      <c r="Z82" s="16" t="s">
        <v>3734</v>
      </c>
      <c r="AA82" s="17"/>
      <c r="AB82" s="17"/>
    </row>
    <row r="83">
      <c r="A83" s="16">
        <f t="shared" si="2"/>
        <v>82</v>
      </c>
      <c r="B83" s="16" t="s">
        <v>260</v>
      </c>
      <c r="C83" s="16">
        <v>6.0019678E7</v>
      </c>
      <c r="D83" s="16" t="s">
        <v>261</v>
      </c>
      <c r="E83" s="16" t="s">
        <v>3106</v>
      </c>
      <c r="F83" s="16" t="s">
        <v>10</v>
      </c>
      <c r="G83" s="16" t="s">
        <v>3787</v>
      </c>
      <c r="H83" s="16" t="s">
        <v>12</v>
      </c>
      <c r="I83" s="16" t="s">
        <v>3788</v>
      </c>
      <c r="J83" s="16" t="s">
        <v>36</v>
      </c>
      <c r="K83" s="16" t="s">
        <v>214</v>
      </c>
      <c r="L83" s="154">
        <v>44848.0</v>
      </c>
      <c r="M83" s="16">
        <f t="shared" si="1"/>
        <v>4</v>
      </c>
      <c r="N83" s="16">
        <v>4.500000469E9</v>
      </c>
      <c r="O83" s="17"/>
      <c r="P83" s="16" t="s">
        <v>3136</v>
      </c>
      <c r="Q83" s="152" t="s">
        <v>3808</v>
      </c>
      <c r="R83" s="17"/>
      <c r="S83" s="16" t="s">
        <v>3671</v>
      </c>
      <c r="T83" s="17"/>
      <c r="U83" s="16" t="s">
        <v>3310</v>
      </c>
      <c r="V83" s="17"/>
      <c r="W83" s="17"/>
      <c r="X83" s="17"/>
      <c r="Y83" s="16" t="s">
        <v>3310</v>
      </c>
      <c r="Z83" s="16" t="s">
        <v>3734</v>
      </c>
      <c r="AA83" s="17"/>
      <c r="AB83" s="17"/>
    </row>
    <row r="84">
      <c r="A84" s="16">
        <f t="shared" si="2"/>
        <v>83</v>
      </c>
      <c r="B84" s="16" t="s">
        <v>262</v>
      </c>
      <c r="C84" s="16">
        <v>6.0019679E7</v>
      </c>
      <c r="D84" s="16" t="s">
        <v>263</v>
      </c>
      <c r="E84" s="16" t="s">
        <v>3106</v>
      </c>
      <c r="F84" s="16" t="s">
        <v>10</v>
      </c>
      <c r="G84" s="16" t="s">
        <v>3787</v>
      </c>
      <c r="H84" s="16" t="s">
        <v>12</v>
      </c>
      <c r="I84" s="16" t="s">
        <v>3788</v>
      </c>
      <c r="J84" s="16" t="s">
        <v>36</v>
      </c>
      <c r="K84" s="16" t="s">
        <v>214</v>
      </c>
      <c r="L84" s="154">
        <v>44848.0</v>
      </c>
      <c r="M84" s="16">
        <f t="shared" si="1"/>
        <v>4</v>
      </c>
      <c r="N84" s="16">
        <v>4.500000469E9</v>
      </c>
      <c r="O84" s="17"/>
      <c r="P84" s="16" t="s">
        <v>3136</v>
      </c>
      <c r="Q84" s="152" t="s">
        <v>3809</v>
      </c>
      <c r="R84" s="17"/>
      <c r="S84" s="16" t="s">
        <v>3671</v>
      </c>
      <c r="T84" s="17"/>
      <c r="U84" s="16" t="s">
        <v>3310</v>
      </c>
      <c r="V84" s="17"/>
      <c r="W84" s="17"/>
      <c r="X84" s="17"/>
      <c r="Y84" s="16" t="s">
        <v>3310</v>
      </c>
      <c r="Z84" s="16" t="s">
        <v>3734</v>
      </c>
      <c r="AA84" s="17"/>
      <c r="AB84" s="17"/>
    </row>
    <row r="85">
      <c r="A85" s="16">
        <f t="shared" si="2"/>
        <v>84</v>
      </c>
      <c r="B85" s="16" t="s">
        <v>264</v>
      </c>
      <c r="C85" s="16">
        <v>6.001968E7</v>
      </c>
      <c r="D85" s="16" t="s">
        <v>265</v>
      </c>
      <c r="E85" s="16" t="s">
        <v>3106</v>
      </c>
      <c r="F85" s="16" t="s">
        <v>10</v>
      </c>
      <c r="G85" s="16" t="s">
        <v>3787</v>
      </c>
      <c r="H85" s="16" t="s">
        <v>12</v>
      </c>
      <c r="I85" s="16" t="s">
        <v>3788</v>
      </c>
      <c r="J85" s="16" t="s">
        <v>36</v>
      </c>
      <c r="K85" s="16" t="s">
        <v>214</v>
      </c>
      <c r="L85" s="154">
        <v>44848.0</v>
      </c>
      <c r="M85" s="16">
        <f t="shared" si="1"/>
        <v>4</v>
      </c>
      <c r="N85" s="16">
        <v>4.500000469E9</v>
      </c>
      <c r="O85" s="17"/>
      <c r="P85" s="16" t="s">
        <v>3136</v>
      </c>
      <c r="Q85" s="152" t="s">
        <v>3810</v>
      </c>
      <c r="R85" s="17"/>
      <c r="S85" s="16" t="s">
        <v>3671</v>
      </c>
      <c r="T85" s="17"/>
      <c r="U85" s="16" t="s">
        <v>3310</v>
      </c>
      <c r="V85" s="17"/>
      <c r="W85" s="17"/>
      <c r="X85" s="17"/>
      <c r="Y85" s="16" t="s">
        <v>3310</v>
      </c>
      <c r="Z85" s="16" t="s">
        <v>3734</v>
      </c>
      <c r="AA85" s="17"/>
      <c r="AB85" s="17"/>
    </row>
    <row r="86">
      <c r="A86" s="16">
        <f t="shared" si="2"/>
        <v>85</v>
      </c>
      <c r="B86" s="16" t="s">
        <v>266</v>
      </c>
      <c r="C86" s="16">
        <v>6.001967E7</v>
      </c>
      <c r="D86" s="16" t="s">
        <v>267</v>
      </c>
      <c r="E86" s="16" t="s">
        <v>3106</v>
      </c>
      <c r="F86" s="16" t="s">
        <v>10</v>
      </c>
      <c r="G86" s="16" t="s">
        <v>3787</v>
      </c>
      <c r="H86" s="16" t="s">
        <v>12</v>
      </c>
      <c r="I86" s="16" t="s">
        <v>3788</v>
      </c>
      <c r="J86" s="16" t="s">
        <v>36</v>
      </c>
      <c r="K86" s="16" t="s">
        <v>214</v>
      </c>
      <c r="L86" s="154">
        <v>44848.0</v>
      </c>
      <c r="M86" s="16">
        <f t="shared" si="1"/>
        <v>4</v>
      </c>
      <c r="N86" s="16">
        <v>4.500000469E9</v>
      </c>
      <c r="O86" s="17"/>
      <c r="P86" s="16" t="s">
        <v>3121</v>
      </c>
      <c r="Q86" s="152" t="s">
        <v>3811</v>
      </c>
      <c r="R86" s="17"/>
      <c r="S86" s="16" t="s">
        <v>3671</v>
      </c>
      <c r="T86" s="17"/>
      <c r="U86" s="16" t="s">
        <v>3310</v>
      </c>
      <c r="V86" s="17"/>
      <c r="W86" s="17"/>
      <c r="X86" s="17"/>
      <c r="Y86" s="16" t="s">
        <v>3310</v>
      </c>
      <c r="Z86" s="16" t="s">
        <v>3734</v>
      </c>
      <c r="AA86" s="17"/>
      <c r="AB86" s="17"/>
    </row>
    <row r="87">
      <c r="A87" s="16">
        <f t="shared" si="2"/>
        <v>86</v>
      </c>
      <c r="B87" s="16" t="s">
        <v>268</v>
      </c>
      <c r="C87" s="16">
        <v>6.0019671E7</v>
      </c>
      <c r="D87" s="16" t="s">
        <v>269</v>
      </c>
      <c r="E87" s="16" t="s">
        <v>3106</v>
      </c>
      <c r="F87" s="16" t="s">
        <v>10</v>
      </c>
      <c r="G87" s="16" t="s">
        <v>3787</v>
      </c>
      <c r="H87" s="16" t="s">
        <v>12</v>
      </c>
      <c r="I87" s="16" t="s">
        <v>3788</v>
      </c>
      <c r="J87" s="16" t="s">
        <v>36</v>
      </c>
      <c r="K87" s="16" t="s">
        <v>214</v>
      </c>
      <c r="L87" s="154">
        <v>44848.0</v>
      </c>
      <c r="M87" s="16">
        <f t="shared" si="1"/>
        <v>4</v>
      </c>
      <c r="N87" s="16">
        <v>4.500000469E9</v>
      </c>
      <c r="O87" s="17"/>
      <c r="P87" s="16" t="s">
        <v>2557</v>
      </c>
      <c r="Q87" s="152" t="s">
        <v>3812</v>
      </c>
      <c r="R87" s="17"/>
      <c r="S87" s="16" t="s">
        <v>3671</v>
      </c>
      <c r="T87" s="17"/>
      <c r="U87" s="16" t="s">
        <v>3310</v>
      </c>
      <c r="V87" s="17"/>
      <c r="W87" s="17"/>
      <c r="X87" s="17"/>
      <c r="Y87" s="16" t="s">
        <v>3310</v>
      </c>
      <c r="Z87" s="16" t="s">
        <v>3734</v>
      </c>
      <c r="AA87" s="17"/>
      <c r="AB87" s="17"/>
    </row>
    <row r="88">
      <c r="A88" s="16">
        <f t="shared" si="2"/>
        <v>87</v>
      </c>
      <c r="B88" s="16" t="s">
        <v>270</v>
      </c>
      <c r="C88" s="16">
        <v>6.0019672E7</v>
      </c>
      <c r="D88" s="16" t="s">
        <v>271</v>
      </c>
      <c r="E88" s="16" t="s">
        <v>3106</v>
      </c>
      <c r="F88" s="16" t="s">
        <v>10</v>
      </c>
      <c r="G88" s="16" t="s">
        <v>3787</v>
      </c>
      <c r="H88" s="16" t="s">
        <v>12</v>
      </c>
      <c r="I88" s="16" t="s">
        <v>3788</v>
      </c>
      <c r="J88" s="16" t="s">
        <v>36</v>
      </c>
      <c r="K88" s="16" t="s">
        <v>214</v>
      </c>
      <c r="L88" s="154">
        <v>44848.0</v>
      </c>
      <c r="M88" s="16">
        <f t="shared" si="1"/>
        <v>4</v>
      </c>
      <c r="N88" s="16">
        <v>4.500000469E9</v>
      </c>
      <c r="O88" s="17"/>
      <c r="P88" s="16" t="s">
        <v>3136</v>
      </c>
      <c r="Q88" s="152" t="s">
        <v>3813</v>
      </c>
      <c r="R88" s="17"/>
      <c r="S88" s="16" t="s">
        <v>3671</v>
      </c>
      <c r="T88" s="17"/>
      <c r="U88" s="16" t="s">
        <v>3310</v>
      </c>
      <c r="V88" s="17"/>
      <c r="W88" s="17"/>
      <c r="X88" s="17"/>
      <c r="Y88" s="16" t="s">
        <v>3310</v>
      </c>
      <c r="Z88" s="16" t="s">
        <v>3734</v>
      </c>
      <c r="AA88" s="17"/>
      <c r="AB88" s="17"/>
    </row>
    <row r="89">
      <c r="A89" s="16">
        <f t="shared" si="2"/>
        <v>88</v>
      </c>
      <c r="B89" s="16" t="s">
        <v>272</v>
      </c>
      <c r="C89" s="16">
        <v>6.0019673E7</v>
      </c>
      <c r="D89" s="16" t="s">
        <v>273</v>
      </c>
      <c r="E89" s="16" t="s">
        <v>3106</v>
      </c>
      <c r="F89" s="16" t="s">
        <v>10</v>
      </c>
      <c r="G89" s="16" t="s">
        <v>3787</v>
      </c>
      <c r="H89" s="16" t="s">
        <v>12</v>
      </c>
      <c r="I89" s="16" t="s">
        <v>3788</v>
      </c>
      <c r="J89" s="16" t="s">
        <v>36</v>
      </c>
      <c r="K89" s="16" t="s">
        <v>214</v>
      </c>
      <c r="L89" s="154">
        <v>44848.0</v>
      </c>
      <c r="M89" s="16">
        <f t="shared" si="1"/>
        <v>4</v>
      </c>
      <c r="N89" s="16">
        <v>4.500000469E9</v>
      </c>
      <c r="O89" s="17"/>
      <c r="P89" s="16" t="s">
        <v>3136</v>
      </c>
      <c r="Q89" s="152" t="s">
        <v>3814</v>
      </c>
      <c r="R89" s="17"/>
      <c r="S89" s="16" t="s">
        <v>3671</v>
      </c>
      <c r="T89" s="17"/>
      <c r="U89" s="16" t="s">
        <v>3310</v>
      </c>
      <c r="V89" s="17"/>
      <c r="W89" s="17"/>
      <c r="X89" s="17"/>
      <c r="Y89" s="16" t="s">
        <v>3310</v>
      </c>
      <c r="Z89" s="16" t="s">
        <v>3734</v>
      </c>
      <c r="AA89" s="17"/>
      <c r="AB89" s="17"/>
    </row>
    <row r="90">
      <c r="A90" s="16">
        <f t="shared" si="2"/>
        <v>89</v>
      </c>
      <c r="B90" s="16" t="s">
        <v>274</v>
      </c>
      <c r="C90" s="16">
        <v>6.0019674E7</v>
      </c>
      <c r="D90" s="16" t="s">
        <v>275</v>
      </c>
      <c r="E90" s="16" t="s">
        <v>3106</v>
      </c>
      <c r="F90" s="16" t="s">
        <v>10</v>
      </c>
      <c r="G90" s="16" t="s">
        <v>3787</v>
      </c>
      <c r="H90" s="16" t="s">
        <v>12</v>
      </c>
      <c r="I90" s="16" t="s">
        <v>3788</v>
      </c>
      <c r="J90" s="16" t="s">
        <v>36</v>
      </c>
      <c r="K90" s="16" t="s">
        <v>214</v>
      </c>
      <c r="L90" s="154">
        <v>44848.0</v>
      </c>
      <c r="M90" s="16">
        <f t="shared" si="1"/>
        <v>4</v>
      </c>
      <c r="N90" s="16">
        <v>4.500000469E9</v>
      </c>
      <c r="O90" s="17"/>
      <c r="P90" s="16" t="s">
        <v>3136</v>
      </c>
      <c r="Q90" s="152" t="s">
        <v>3815</v>
      </c>
      <c r="R90" s="17"/>
      <c r="S90" s="16" t="s">
        <v>3671</v>
      </c>
      <c r="T90" s="17"/>
      <c r="U90" s="16" t="s">
        <v>3310</v>
      </c>
      <c r="V90" s="17"/>
      <c r="W90" s="17"/>
      <c r="X90" s="17"/>
      <c r="Y90" s="16" t="s">
        <v>3310</v>
      </c>
      <c r="Z90" s="16" t="s">
        <v>3734</v>
      </c>
      <c r="AA90" s="17"/>
      <c r="AB90" s="17"/>
    </row>
    <row r="91">
      <c r="A91" s="16">
        <f t="shared" si="2"/>
        <v>90</v>
      </c>
      <c r="B91" s="16" t="s">
        <v>276</v>
      </c>
      <c r="C91" s="16">
        <v>6.0019685E7</v>
      </c>
      <c r="D91" s="16" t="s">
        <v>277</v>
      </c>
      <c r="E91" s="16" t="s">
        <v>3106</v>
      </c>
      <c r="F91" s="16" t="s">
        <v>10</v>
      </c>
      <c r="G91" s="16" t="s">
        <v>3787</v>
      </c>
      <c r="H91" s="16" t="s">
        <v>12</v>
      </c>
      <c r="I91" s="16" t="s">
        <v>3788</v>
      </c>
      <c r="J91" s="16" t="s">
        <v>36</v>
      </c>
      <c r="K91" s="16" t="s">
        <v>214</v>
      </c>
      <c r="L91" s="154">
        <v>44848.0</v>
      </c>
      <c r="M91" s="16">
        <f t="shared" si="1"/>
        <v>4</v>
      </c>
      <c r="N91" s="16">
        <v>4.500000469E9</v>
      </c>
      <c r="O91" s="17"/>
      <c r="P91" s="16" t="s">
        <v>3121</v>
      </c>
      <c r="Q91" s="152" t="s">
        <v>3816</v>
      </c>
      <c r="R91" s="17"/>
      <c r="S91" s="16" t="s">
        <v>3671</v>
      </c>
      <c r="T91" s="17"/>
      <c r="U91" s="16" t="s">
        <v>3310</v>
      </c>
      <c r="V91" s="17"/>
      <c r="W91" s="17"/>
      <c r="X91" s="17"/>
      <c r="Y91" s="16" t="s">
        <v>3310</v>
      </c>
      <c r="Z91" s="16" t="s">
        <v>3734</v>
      </c>
      <c r="AA91" s="17"/>
      <c r="AB91" s="17"/>
    </row>
    <row r="92">
      <c r="A92" s="16">
        <f t="shared" si="2"/>
        <v>91</v>
      </c>
      <c r="B92" s="16" t="s">
        <v>278</v>
      </c>
      <c r="C92" s="16" t="s">
        <v>279</v>
      </c>
      <c r="D92" s="16" t="s">
        <v>280</v>
      </c>
      <c r="E92" s="16" t="s">
        <v>3106</v>
      </c>
      <c r="F92" s="16" t="s">
        <v>10</v>
      </c>
      <c r="G92" s="16" t="s">
        <v>3748</v>
      </c>
      <c r="H92" s="16" t="s">
        <v>12</v>
      </c>
      <c r="I92" s="17"/>
      <c r="J92" s="16" t="s">
        <v>36</v>
      </c>
      <c r="K92" s="16" t="s">
        <v>131</v>
      </c>
      <c r="L92" s="154">
        <v>42766.0</v>
      </c>
      <c r="M92" s="16">
        <f t="shared" si="1"/>
        <v>9</v>
      </c>
      <c r="N92" s="17"/>
      <c r="O92" s="111"/>
      <c r="P92" s="16" t="s">
        <v>3136</v>
      </c>
      <c r="Q92" s="152" t="s">
        <v>3817</v>
      </c>
      <c r="R92" s="17"/>
      <c r="S92" s="16" t="s">
        <v>3671</v>
      </c>
      <c r="T92" s="17"/>
      <c r="U92" s="16" t="s">
        <v>3310</v>
      </c>
      <c r="V92" s="17"/>
      <c r="W92" s="17"/>
      <c r="X92" s="17"/>
      <c r="Y92" s="16" t="s">
        <v>3310</v>
      </c>
      <c r="Z92" s="16" t="s">
        <v>3734</v>
      </c>
      <c r="AA92" s="17"/>
      <c r="AB92" s="17"/>
    </row>
    <row r="93">
      <c r="A93" s="16">
        <f t="shared" si="2"/>
        <v>92</v>
      </c>
      <c r="B93" s="16" t="s">
        <v>281</v>
      </c>
      <c r="C93" s="16">
        <v>6.0019689E7</v>
      </c>
      <c r="D93" s="16" t="s">
        <v>282</v>
      </c>
      <c r="E93" s="16" t="s">
        <v>3106</v>
      </c>
      <c r="F93" s="16" t="s">
        <v>10</v>
      </c>
      <c r="G93" s="16" t="s">
        <v>3787</v>
      </c>
      <c r="H93" s="16" t="s">
        <v>12</v>
      </c>
      <c r="I93" s="16" t="s">
        <v>3788</v>
      </c>
      <c r="J93" s="16" t="s">
        <v>36</v>
      </c>
      <c r="K93" s="16" t="s">
        <v>214</v>
      </c>
      <c r="L93" s="154">
        <v>44848.0</v>
      </c>
      <c r="M93" s="16">
        <f t="shared" si="1"/>
        <v>4</v>
      </c>
      <c r="N93" s="16">
        <v>4.500000469E9</v>
      </c>
      <c r="O93" s="17"/>
      <c r="P93" s="16" t="s">
        <v>3136</v>
      </c>
      <c r="Q93" s="152" t="s">
        <v>3818</v>
      </c>
      <c r="R93" s="17"/>
      <c r="S93" s="16" t="s">
        <v>3671</v>
      </c>
      <c r="T93" s="17"/>
      <c r="U93" s="16" t="s">
        <v>3310</v>
      </c>
      <c r="V93" s="17"/>
      <c r="W93" s="17"/>
      <c r="X93" s="17"/>
      <c r="Y93" s="16" t="s">
        <v>3310</v>
      </c>
      <c r="Z93" s="16" t="s">
        <v>3734</v>
      </c>
      <c r="AA93" s="17"/>
      <c r="AB93" s="17"/>
    </row>
    <row r="94">
      <c r="A94" s="16">
        <f t="shared" si="2"/>
        <v>93</v>
      </c>
      <c r="B94" s="16" t="s">
        <v>283</v>
      </c>
      <c r="C94" s="16" t="s">
        <v>284</v>
      </c>
      <c r="D94" s="16" t="s">
        <v>285</v>
      </c>
      <c r="E94" s="16" t="s">
        <v>3106</v>
      </c>
      <c r="F94" s="16" t="s">
        <v>10</v>
      </c>
      <c r="G94" s="16" t="s">
        <v>3678</v>
      </c>
      <c r="H94" s="16" t="s">
        <v>12</v>
      </c>
      <c r="I94" s="17"/>
      <c r="J94" s="16" t="s">
        <v>36</v>
      </c>
      <c r="K94" s="16" t="s">
        <v>35</v>
      </c>
      <c r="L94" s="154">
        <v>43454.0</v>
      </c>
      <c r="M94" s="16">
        <f t="shared" si="1"/>
        <v>8</v>
      </c>
      <c r="N94" s="17"/>
      <c r="O94" s="111"/>
      <c r="P94" s="16" t="s">
        <v>3136</v>
      </c>
      <c r="Q94" s="152" t="s">
        <v>3819</v>
      </c>
      <c r="R94" s="17"/>
      <c r="S94" s="16" t="s">
        <v>3671</v>
      </c>
      <c r="T94" s="17"/>
      <c r="U94" s="16" t="s">
        <v>3310</v>
      </c>
      <c r="V94" s="17"/>
      <c r="W94" s="17"/>
      <c r="X94" s="17"/>
      <c r="Y94" s="16" t="s">
        <v>3310</v>
      </c>
      <c r="Z94" s="16" t="s">
        <v>3734</v>
      </c>
      <c r="AA94" s="17"/>
      <c r="AB94" s="17"/>
    </row>
    <row r="95">
      <c r="A95" s="16">
        <f t="shared" si="2"/>
        <v>94</v>
      </c>
      <c r="B95" s="16" t="s">
        <v>286</v>
      </c>
      <c r="C95" s="16" t="s">
        <v>287</v>
      </c>
      <c r="D95" s="16" t="s">
        <v>288</v>
      </c>
      <c r="E95" s="16" t="s">
        <v>3106</v>
      </c>
      <c r="F95" s="16" t="s">
        <v>10</v>
      </c>
      <c r="G95" s="16" t="s">
        <v>3793</v>
      </c>
      <c r="H95" s="16" t="s">
        <v>12</v>
      </c>
      <c r="I95" s="17"/>
      <c r="J95" s="16" t="s">
        <v>13</v>
      </c>
      <c r="K95" s="16" t="s">
        <v>224</v>
      </c>
      <c r="L95" s="154">
        <v>42956.0</v>
      </c>
      <c r="M95" s="16">
        <f t="shared" si="1"/>
        <v>9</v>
      </c>
      <c r="N95" s="17"/>
      <c r="O95" s="111"/>
      <c r="P95" s="16" t="s">
        <v>3136</v>
      </c>
      <c r="Q95" s="152" t="s">
        <v>3820</v>
      </c>
      <c r="R95" s="17"/>
      <c r="S95" s="16" t="s">
        <v>3671</v>
      </c>
      <c r="T95" s="17"/>
      <c r="U95" s="16" t="s">
        <v>3310</v>
      </c>
      <c r="V95" s="17"/>
      <c r="W95" s="17"/>
      <c r="X95" s="17"/>
      <c r="Y95" s="16" t="s">
        <v>3310</v>
      </c>
      <c r="Z95" s="16" t="s">
        <v>3734</v>
      </c>
      <c r="AA95" s="17"/>
      <c r="AB95" s="17"/>
    </row>
    <row r="96">
      <c r="A96" s="16">
        <f t="shared" si="2"/>
        <v>95</v>
      </c>
      <c r="B96" s="16" t="s">
        <v>289</v>
      </c>
      <c r="C96" s="16">
        <v>6.0019688E7</v>
      </c>
      <c r="D96" s="16" t="s">
        <v>290</v>
      </c>
      <c r="E96" s="16" t="s">
        <v>3106</v>
      </c>
      <c r="F96" s="16" t="s">
        <v>10</v>
      </c>
      <c r="G96" s="16" t="s">
        <v>3787</v>
      </c>
      <c r="H96" s="16" t="s">
        <v>12</v>
      </c>
      <c r="I96" s="16" t="s">
        <v>3788</v>
      </c>
      <c r="J96" s="16" t="s">
        <v>36</v>
      </c>
      <c r="K96" s="16" t="s">
        <v>214</v>
      </c>
      <c r="L96" s="154">
        <v>44848.0</v>
      </c>
      <c r="M96" s="16">
        <f t="shared" si="1"/>
        <v>4</v>
      </c>
      <c r="N96" s="16">
        <v>4.500000469E9</v>
      </c>
      <c r="O96" s="17"/>
      <c r="P96" s="16" t="s">
        <v>3136</v>
      </c>
      <c r="Q96" s="152" t="s">
        <v>3821</v>
      </c>
      <c r="R96" s="17"/>
      <c r="S96" s="16" t="s">
        <v>3671</v>
      </c>
      <c r="T96" s="17"/>
      <c r="U96" s="16" t="s">
        <v>3310</v>
      </c>
      <c r="V96" s="17"/>
      <c r="W96" s="17"/>
      <c r="X96" s="17"/>
      <c r="Y96" s="16" t="s">
        <v>3310</v>
      </c>
      <c r="Z96" s="16" t="s">
        <v>3734</v>
      </c>
      <c r="AA96" s="17"/>
      <c r="AB96" s="17"/>
    </row>
    <row r="97">
      <c r="A97" s="16">
        <f t="shared" si="2"/>
        <v>96</v>
      </c>
      <c r="B97" s="16" t="s">
        <v>291</v>
      </c>
      <c r="C97" s="16" t="s">
        <v>292</v>
      </c>
      <c r="D97" s="16" t="s">
        <v>293</v>
      </c>
      <c r="E97" s="16" t="s">
        <v>3106</v>
      </c>
      <c r="F97" s="16" t="s">
        <v>10</v>
      </c>
      <c r="G97" s="16" t="s">
        <v>3678</v>
      </c>
      <c r="H97" s="16" t="s">
        <v>12</v>
      </c>
      <c r="I97" s="17"/>
      <c r="J97" s="16" t="s">
        <v>36</v>
      </c>
      <c r="K97" s="16" t="s">
        <v>35</v>
      </c>
      <c r="L97" s="154">
        <v>43454.0</v>
      </c>
      <c r="M97" s="16">
        <f t="shared" si="1"/>
        <v>8</v>
      </c>
      <c r="N97" s="17"/>
      <c r="O97" s="111"/>
      <c r="P97" s="16" t="s">
        <v>3136</v>
      </c>
      <c r="Q97" s="152" t="s">
        <v>3822</v>
      </c>
      <c r="R97" s="17"/>
      <c r="S97" s="16" t="s">
        <v>3671</v>
      </c>
      <c r="T97" s="17"/>
      <c r="U97" s="16" t="s">
        <v>3310</v>
      </c>
      <c r="V97" s="17"/>
      <c r="W97" s="17"/>
      <c r="X97" s="17"/>
      <c r="Y97" s="16" t="s">
        <v>3310</v>
      </c>
      <c r="Z97" s="16" t="s">
        <v>3734</v>
      </c>
      <c r="AA97" s="17"/>
      <c r="AB97" s="17"/>
    </row>
    <row r="98">
      <c r="A98" s="16">
        <f t="shared" si="2"/>
        <v>97</v>
      </c>
      <c r="B98" s="16" t="s">
        <v>294</v>
      </c>
      <c r="C98" s="16">
        <v>6.0019687E7</v>
      </c>
      <c r="D98" s="16" t="s">
        <v>295</v>
      </c>
      <c r="E98" s="16" t="s">
        <v>3106</v>
      </c>
      <c r="F98" s="16" t="s">
        <v>10</v>
      </c>
      <c r="G98" s="16" t="s">
        <v>3787</v>
      </c>
      <c r="H98" s="16" t="s">
        <v>12</v>
      </c>
      <c r="I98" s="16" t="s">
        <v>3788</v>
      </c>
      <c r="J98" s="16" t="s">
        <v>36</v>
      </c>
      <c r="K98" s="16" t="s">
        <v>214</v>
      </c>
      <c r="L98" s="154">
        <v>44848.0</v>
      </c>
      <c r="M98" s="16">
        <f t="shared" si="1"/>
        <v>4</v>
      </c>
      <c r="N98" s="16">
        <v>4.500000469E9</v>
      </c>
      <c r="O98" s="17"/>
      <c r="P98" s="16" t="s">
        <v>3136</v>
      </c>
      <c r="Q98" s="152" t="s">
        <v>3823</v>
      </c>
      <c r="R98" s="17"/>
      <c r="S98" s="16" t="s">
        <v>3671</v>
      </c>
      <c r="T98" s="17"/>
      <c r="U98" s="16" t="s">
        <v>3310</v>
      </c>
      <c r="V98" s="17"/>
      <c r="W98" s="17"/>
      <c r="X98" s="17"/>
      <c r="Y98" s="16" t="s">
        <v>3310</v>
      </c>
      <c r="Z98" s="16" t="s">
        <v>3734</v>
      </c>
      <c r="AA98" s="17"/>
      <c r="AB98" s="17"/>
    </row>
    <row r="99">
      <c r="A99" s="16">
        <f t="shared" si="2"/>
        <v>98</v>
      </c>
      <c r="B99" s="16" t="s">
        <v>296</v>
      </c>
      <c r="C99" s="16" t="s">
        <v>297</v>
      </c>
      <c r="D99" s="16" t="s">
        <v>298</v>
      </c>
      <c r="E99" s="16" t="s">
        <v>3106</v>
      </c>
      <c r="F99" s="16" t="s">
        <v>10</v>
      </c>
      <c r="G99" s="16" t="s">
        <v>3748</v>
      </c>
      <c r="H99" s="16" t="s">
        <v>12</v>
      </c>
      <c r="I99" s="17"/>
      <c r="J99" s="16" t="s">
        <v>36</v>
      </c>
      <c r="K99" s="16" t="s">
        <v>131</v>
      </c>
      <c r="L99" s="154">
        <v>42766.0</v>
      </c>
      <c r="M99" s="16">
        <f t="shared" si="1"/>
        <v>9</v>
      </c>
      <c r="N99" s="17"/>
      <c r="O99" s="111"/>
      <c r="P99" s="16" t="s">
        <v>3136</v>
      </c>
      <c r="Q99" s="152" t="s">
        <v>3824</v>
      </c>
      <c r="R99" s="17"/>
      <c r="S99" s="16" t="s">
        <v>3671</v>
      </c>
      <c r="T99" s="17"/>
      <c r="U99" s="16" t="s">
        <v>3310</v>
      </c>
      <c r="V99" s="17"/>
      <c r="W99" s="17"/>
      <c r="X99" s="17"/>
      <c r="Y99" s="16" t="s">
        <v>3310</v>
      </c>
      <c r="Z99" s="16" t="s">
        <v>3734</v>
      </c>
      <c r="AA99" s="17"/>
      <c r="AB99" s="17"/>
    </row>
    <row r="100">
      <c r="A100" s="16">
        <f t="shared" si="2"/>
        <v>99</v>
      </c>
      <c r="B100" s="16" t="s">
        <v>299</v>
      </c>
      <c r="C100" s="16" t="s">
        <v>300</v>
      </c>
      <c r="D100" s="16" t="s">
        <v>301</v>
      </c>
      <c r="E100" s="16" t="s">
        <v>3106</v>
      </c>
      <c r="F100" s="16" t="s">
        <v>10</v>
      </c>
      <c r="G100" s="16" t="s">
        <v>3748</v>
      </c>
      <c r="H100" s="16" t="s">
        <v>12</v>
      </c>
      <c r="I100" s="17"/>
      <c r="J100" s="16" t="s">
        <v>36</v>
      </c>
      <c r="K100" s="16" t="s">
        <v>131</v>
      </c>
      <c r="L100" s="154">
        <v>42766.0</v>
      </c>
      <c r="M100" s="16">
        <f t="shared" si="1"/>
        <v>9</v>
      </c>
      <c r="N100" s="17"/>
      <c r="O100" s="111"/>
      <c r="P100" s="16" t="s">
        <v>3136</v>
      </c>
      <c r="Q100" s="152" t="s">
        <v>3825</v>
      </c>
      <c r="R100" s="17"/>
      <c r="S100" s="16" t="s">
        <v>3671</v>
      </c>
      <c r="T100" s="17"/>
      <c r="U100" s="16" t="s">
        <v>3310</v>
      </c>
      <c r="V100" s="17"/>
      <c r="W100" s="17"/>
      <c r="X100" s="17"/>
      <c r="Y100" s="16" t="s">
        <v>3310</v>
      </c>
      <c r="Z100" s="16" t="s">
        <v>3734</v>
      </c>
      <c r="AA100" s="17"/>
      <c r="AB100" s="17"/>
    </row>
    <row r="101">
      <c r="A101" s="16">
        <f t="shared" si="2"/>
        <v>100</v>
      </c>
      <c r="B101" s="16" t="s">
        <v>302</v>
      </c>
      <c r="C101" s="16" t="s">
        <v>303</v>
      </c>
      <c r="D101" s="16" t="s">
        <v>304</v>
      </c>
      <c r="E101" s="16" t="s">
        <v>3106</v>
      </c>
      <c r="F101" s="16" t="s">
        <v>10</v>
      </c>
      <c r="G101" s="16" t="s">
        <v>3748</v>
      </c>
      <c r="H101" s="16" t="s">
        <v>12</v>
      </c>
      <c r="I101" s="17"/>
      <c r="J101" s="16" t="s">
        <v>36</v>
      </c>
      <c r="K101" s="16" t="s">
        <v>131</v>
      </c>
      <c r="L101" s="154">
        <v>42766.0</v>
      </c>
      <c r="M101" s="16">
        <f t="shared" si="1"/>
        <v>9</v>
      </c>
      <c r="N101" s="17"/>
      <c r="O101" s="111"/>
      <c r="P101" s="16" t="s">
        <v>3136</v>
      </c>
      <c r="Q101" s="152" t="s">
        <v>3826</v>
      </c>
      <c r="R101" s="17"/>
      <c r="S101" s="16" t="s">
        <v>3671</v>
      </c>
      <c r="T101" s="17"/>
      <c r="U101" s="16" t="s">
        <v>3310</v>
      </c>
      <c r="V101" s="17"/>
      <c r="W101" s="17"/>
      <c r="X101" s="17"/>
      <c r="Y101" s="16" t="s">
        <v>3310</v>
      </c>
      <c r="Z101" s="16" t="s">
        <v>3734</v>
      </c>
      <c r="AA101" s="17"/>
      <c r="AB101" s="17"/>
    </row>
    <row r="102">
      <c r="A102" s="16">
        <f t="shared" si="2"/>
        <v>101</v>
      </c>
      <c r="B102" s="16" t="s">
        <v>305</v>
      </c>
      <c r="C102" s="16" t="s">
        <v>306</v>
      </c>
      <c r="D102" s="16" t="s">
        <v>307</v>
      </c>
      <c r="E102" s="16" t="s">
        <v>3106</v>
      </c>
      <c r="F102" s="16" t="s">
        <v>10</v>
      </c>
      <c r="G102" s="16" t="s">
        <v>3748</v>
      </c>
      <c r="H102" s="16" t="s">
        <v>12</v>
      </c>
      <c r="I102" s="17"/>
      <c r="J102" s="16" t="s">
        <v>36</v>
      </c>
      <c r="K102" s="16" t="s">
        <v>131</v>
      </c>
      <c r="L102" s="154">
        <v>42766.0</v>
      </c>
      <c r="M102" s="16">
        <f t="shared" si="1"/>
        <v>9</v>
      </c>
      <c r="N102" s="17"/>
      <c r="O102" s="111"/>
      <c r="P102" s="16" t="s">
        <v>3121</v>
      </c>
      <c r="Q102" s="152" t="s">
        <v>3827</v>
      </c>
      <c r="R102" s="17"/>
      <c r="S102" s="16" t="s">
        <v>3671</v>
      </c>
      <c r="T102" s="17"/>
      <c r="U102" s="16" t="s">
        <v>3310</v>
      </c>
      <c r="V102" s="17"/>
      <c r="W102" s="17"/>
      <c r="X102" s="17"/>
      <c r="Y102" s="16" t="s">
        <v>3310</v>
      </c>
      <c r="Z102" s="16" t="s">
        <v>3734</v>
      </c>
      <c r="AA102" s="17"/>
      <c r="AB102" s="17"/>
    </row>
    <row r="103">
      <c r="A103" s="16">
        <f t="shared" si="2"/>
        <v>102</v>
      </c>
      <c r="B103" s="16" t="s">
        <v>308</v>
      </c>
      <c r="C103" s="16" t="s">
        <v>309</v>
      </c>
      <c r="D103" s="16" t="s">
        <v>310</v>
      </c>
      <c r="E103" s="16" t="s">
        <v>3106</v>
      </c>
      <c r="F103" s="16" t="s">
        <v>10</v>
      </c>
      <c r="G103" s="16" t="s">
        <v>3748</v>
      </c>
      <c r="H103" s="16" t="s">
        <v>12</v>
      </c>
      <c r="I103" s="17"/>
      <c r="J103" s="16" t="s">
        <v>36</v>
      </c>
      <c r="K103" s="16" t="s">
        <v>131</v>
      </c>
      <c r="L103" s="154">
        <v>42766.0</v>
      </c>
      <c r="M103" s="16">
        <f t="shared" si="1"/>
        <v>9</v>
      </c>
      <c r="N103" s="17"/>
      <c r="O103" s="111"/>
      <c r="P103" s="16" t="s">
        <v>3136</v>
      </c>
      <c r="Q103" s="152" t="s">
        <v>3828</v>
      </c>
      <c r="R103" s="17"/>
      <c r="S103" s="16" t="s">
        <v>3671</v>
      </c>
      <c r="T103" s="17"/>
      <c r="U103" s="16" t="s">
        <v>3310</v>
      </c>
      <c r="V103" s="17"/>
      <c r="W103" s="17"/>
      <c r="X103" s="17"/>
      <c r="Y103" s="16" t="s">
        <v>3310</v>
      </c>
      <c r="Z103" s="16" t="s">
        <v>3734</v>
      </c>
      <c r="AA103" s="17"/>
      <c r="AB103" s="17"/>
    </row>
    <row r="104">
      <c r="A104" s="16">
        <f t="shared" si="2"/>
        <v>103</v>
      </c>
      <c r="B104" s="16" t="s">
        <v>311</v>
      </c>
      <c r="C104" s="16" t="s">
        <v>312</v>
      </c>
      <c r="D104" s="16" t="s">
        <v>313</v>
      </c>
      <c r="E104" s="16" t="s">
        <v>3106</v>
      </c>
      <c r="F104" s="16" t="s">
        <v>10</v>
      </c>
      <c r="G104" s="16" t="s">
        <v>3748</v>
      </c>
      <c r="H104" s="16" t="s">
        <v>12</v>
      </c>
      <c r="I104" s="17"/>
      <c r="J104" s="16" t="s">
        <v>36</v>
      </c>
      <c r="K104" s="16" t="s">
        <v>131</v>
      </c>
      <c r="L104" s="154">
        <v>42766.0</v>
      </c>
      <c r="M104" s="16">
        <f t="shared" si="1"/>
        <v>9</v>
      </c>
      <c r="N104" s="17"/>
      <c r="O104" s="111"/>
      <c r="P104" s="16" t="s">
        <v>3136</v>
      </c>
      <c r="Q104" s="152" t="s">
        <v>3829</v>
      </c>
      <c r="R104" s="17"/>
      <c r="S104" s="16" t="s">
        <v>3671</v>
      </c>
      <c r="T104" s="17"/>
      <c r="U104" s="16" t="s">
        <v>3310</v>
      </c>
      <c r="V104" s="17"/>
      <c r="W104" s="17"/>
      <c r="X104" s="17"/>
      <c r="Y104" s="16" t="s">
        <v>3310</v>
      </c>
      <c r="Z104" s="16" t="s">
        <v>3734</v>
      </c>
      <c r="AA104" s="17"/>
      <c r="AB104" s="17"/>
    </row>
    <row r="105">
      <c r="A105" s="16">
        <f t="shared" si="2"/>
        <v>104</v>
      </c>
      <c r="B105" s="16" t="s">
        <v>314</v>
      </c>
      <c r="C105" s="16" t="s">
        <v>315</v>
      </c>
      <c r="D105" s="16" t="s">
        <v>316</v>
      </c>
      <c r="E105" s="16" t="s">
        <v>3106</v>
      </c>
      <c r="F105" s="16" t="s">
        <v>10</v>
      </c>
      <c r="G105" s="16" t="s">
        <v>3748</v>
      </c>
      <c r="H105" s="16" t="s">
        <v>12</v>
      </c>
      <c r="I105" s="17"/>
      <c r="J105" s="16" t="s">
        <v>36</v>
      </c>
      <c r="K105" s="16" t="s">
        <v>131</v>
      </c>
      <c r="L105" s="154">
        <v>42766.0</v>
      </c>
      <c r="M105" s="16">
        <f t="shared" si="1"/>
        <v>9</v>
      </c>
      <c r="N105" s="17"/>
      <c r="O105" s="111"/>
      <c r="P105" s="16" t="s">
        <v>3136</v>
      </c>
      <c r="Q105" s="152" t="s">
        <v>3830</v>
      </c>
      <c r="R105" s="17"/>
      <c r="S105" s="16" t="s">
        <v>3671</v>
      </c>
      <c r="T105" s="17"/>
      <c r="U105" s="16" t="s">
        <v>3310</v>
      </c>
      <c r="V105" s="17"/>
      <c r="W105" s="17"/>
      <c r="X105" s="17"/>
      <c r="Y105" s="16" t="s">
        <v>3310</v>
      </c>
      <c r="Z105" s="16" t="s">
        <v>3734</v>
      </c>
      <c r="AA105" s="17"/>
      <c r="AB105" s="17"/>
    </row>
    <row r="106">
      <c r="A106" s="16">
        <f t="shared" si="2"/>
        <v>105</v>
      </c>
      <c r="B106" s="16" t="s">
        <v>317</v>
      </c>
      <c r="C106" s="16">
        <v>6.0019686E7</v>
      </c>
      <c r="D106" s="16" t="s">
        <v>318</v>
      </c>
      <c r="E106" s="16" t="s">
        <v>3106</v>
      </c>
      <c r="F106" s="16" t="s">
        <v>10</v>
      </c>
      <c r="G106" s="16" t="s">
        <v>3787</v>
      </c>
      <c r="H106" s="16" t="s">
        <v>12</v>
      </c>
      <c r="I106" s="16" t="s">
        <v>3788</v>
      </c>
      <c r="J106" s="16" t="s">
        <v>36</v>
      </c>
      <c r="K106" s="16" t="s">
        <v>214</v>
      </c>
      <c r="L106" s="154">
        <v>44848.0</v>
      </c>
      <c r="M106" s="16">
        <f t="shared" si="1"/>
        <v>4</v>
      </c>
      <c r="N106" s="16">
        <v>4.500000469E9</v>
      </c>
      <c r="O106" s="17"/>
      <c r="P106" s="16" t="s">
        <v>3136</v>
      </c>
      <c r="Q106" s="152" t="s">
        <v>3831</v>
      </c>
      <c r="R106" s="17"/>
      <c r="S106" s="16" t="s">
        <v>3671</v>
      </c>
      <c r="T106" s="17"/>
      <c r="U106" s="16" t="s">
        <v>3310</v>
      </c>
      <c r="V106" s="17"/>
      <c r="W106" s="17"/>
      <c r="X106" s="17"/>
      <c r="Y106" s="16" t="s">
        <v>3310</v>
      </c>
      <c r="Z106" s="16" t="s">
        <v>3734</v>
      </c>
      <c r="AA106" s="17"/>
      <c r="AB106" s="17"/>
    </row>
    <row r="107">
      <c r="A107" s="16">
        <f t="shared" si="2"/>
        <v>106</v>
      </c>
      <c r="B107" s="16" t="s">
        <v>319</v>
      </c>
      <c r="C107" s="16" t="s">
        <v>320</v>
      </c>
      <c r="D107" s="16" t="s">
        <v>321</v>
      </c>
      <c r="E107" s="16" t="s">
        <v>3106</v>
      </c>
      <c r="F107" s="16" t="s">
        <v>10</v>
      </c>
      <c r="G107" s="16" t="s">
        <v>3748</v>
      </c>
      <c r="H107" s="16" t="s">
        <v>12</v>
      </c>
      <c r="I107" s="17"/>
      <c r="J107" s="16" t="s">
        <v>36</v>
      </c>
      <c r="K107" s="16" t="s">
        <v>131</v>
      </c>
      <c r="L107" s="154">
        <v>42766.0</v>
      </c>
      <c r="M107" s="16">
        <f t="shared" si="1"/>
        <v>9</v>
      </c>
      <c r="N107" s="17"/>
      <c r="O107" s="111"/>
      <c r="P107" s="16" t="s">
        <v>3136</v>
      </c>
      <c r="Q107" s="152" t="s">
        <v>3832</v>
      </c>
      <c r="R107" s="17"/>
      <c r="S107" s="16" t="s">
        <v>3671</v>
      </c>
      <c r="T107" s="17"/>
      <c r="U107" s="16" t="s">
        <v>3310</v>
      </c>
      <c r="V107" s="17"/>
      <c r="W107" s="17"/>
      <c r="X107" s="17"/>
      <c r="Y107" s="16" t="s">
        <v>3310</v>
      </c>
      <c r="Z107" s="16" t="s">
        <v>3734</v>
      </c>
      <c r="AA107" s="17"/>
      <c r="AB107" s="17"/>
    </row>
    <row r="108">
      <c r="A108" s="16">
        <f t="shared" si="2"/>
        <v>107</v>
      </c>
      <c r="B108" s="16" t="s">
        <v>322</v>
      </c>
      <c r="C108" s="16" t="s">
        <v>323</v>
      </c>
      <c r="D108" s="16" t="s">
        <v>324</v>
      </c>
      <c r="E108" s="16" t="s">
        <v>3106</v>
      </c>
      <c r="F108" s="16" t="s">
        <v>10</v>
      </c>
      <c r="G108" s="16" t="s">
        <v>3748</v>
      </c>
      <c r="H108" s="16" t="s">
        <v>12</v>
      </c>
      <c r="I108" s="17"/>
      <c r="J108" s="16" t="s">
        <v>36</v>
      </c>
      <c r="K108" s="16" t="s">
        <v>131</v>
      </c>
      <c r="L108" s="154">
        <v>42766.0</v>
      </c>
      <c r="M108" s="16">
        <f t="shared" si="1"/>
        <v>9</v>
      </c>
      <c r="N108" s="17"/>
      <c r="O108" s="111"/>
      <c r="P108" s="16" t="s">
        <v>3136</v>
      </c>
      <c r="Q108" s="152" t="s">
        <v>3833</v>
      </c>
      <c r="R108" s="17"/>
      <c r="S108" s="16" t="s">
        <v>3671</v>
      </c>
      <c r="T108" s="17"/>
      <c r="U108" s="16" t="s">
        <v>3310</v>
      </c>
      <c r="V108" s="17"/>
      <c r="W108" s="17"/>
      <c r="X108" s="17"/>
      <c r="Y108" s="16" t="s">
        <v>3310</v>
      </c>
      <c r="Z108" s="16" t="s">
        <v>3734</v>
      </c>
      <c r="AA108" s="17"/>
      <c r="AB108" s="17"/>
    </row>
    <row r="109">
      <c r="A109" s="16">
        <f t="shared" si="2"/>
        <v>108</v>
      </c>
      <c r="B109" s="16" t="s">
        <v>325</v>
      </c>
      <c r="C109" s="16" t="s">
        <v>326</v>
      </c>
      <c r="D109" s="16" t="s">
        <v>327</v>
      </c>
      <c r="E109" s="16" t="s">
        <v>3106</v>
      </c>
      <c r="F109" s="16" t="s">
        <v>10</v>
      </c>
      <c r="G109" s="16" t="s">
        <v>3678</v>
      </c>
      <c r="H109" s="16" t="s">
        <v>12</v>
      </c>
      <c r="I109" s="17"/>
      <c r="J109" s="16" t="s">
        <v>36</v>
      </c>
      <c r="K109" s="16" t="s">
        <v>35</v>
      </c>
      <c r="L109" s="154">
        <v>43116.0</v>
      </c>
      <c r="M109" s="16">
        <f t="shared" si="1"/>
        <v>8</v>
      </c>
      <c r="N109" s="17"/>
      <c r="O109" s="111"/>
      <c r="P109" s="16" t="s">
        <v>3136</v>
      </c>
      <c r="Q109" s="152" t="s">
        <v>3834</v>
      </c>
      <c r="R109" s="17"/>
      <c r="S109" s="16" t="s">
        <v>3671</v>
      </c>
      <c r="T109" s="17"/>
      <c r="U109" s="16" t="s">
        <v>3310</v>
      </c>
      <c r="V109" s="17"/>
      <c r="W109" s="17"/>
      <c r="X109" s="17"/>
      <c r="Y109" s="16" t="s">
        <v>3310</v>
      </c>
      <c r="Z109" s="16" t="s">
        <v>3734</v>
      </c>
      <c r="AA109" s="17"/>
      <c r="AB109" s="17"/>
    </row>
    <row r="110">
      <c r="A110" s="16">
        <f t="shared" si="2"/>
        <v>109</v>
      </c>
      <c r="B110" s="16" t="s">
        <v>328</v>
      </c>
      <c r="C110" s="16" t="s">
        <v>329</v>
      </c>
      <c r="D110" s="16" t="s">
        <v>330</v>
      </c>
      <c r="E110" s="16" t="s">
        <v>3106</v>
      </c>
      <c r="F110" s="16" t="s">
        <v>10</v>
      </c>
      <c r="G110" s="16" t="s">
        <v>3678</v>
      </c>
      <c r="H110" s="16" t="s">
        <v>12</v>
      </c>
      <c r="I110" s="17"/>
      <c r="J110" s="16" t="s">
        <v>36</v>
      </c>
      <c r="K110" s="16" t="s">
        <v>35</v>
      </c>
      <c r="L110" s="154">
        <v>43116.0</v>
      </c>
      <c r="M110" s="16">
        <f t="shared" si="1"/>
        <v>8</v>
      </c>
      <c r="N110" s="17"/>
      <c r="O110" s="111"/>
      <c r="P110" s="16" t="s">
        <v>3136</v>
      </c>
      <c r="Q110" s="152" t="s">
        <v>3835</v>
      </c>
      <c r="R110" s="17"/>
      <c r="S110" s="16" t="s">
        <v>3671</v>
      </c>
      <c r="T110" s="17"/>
      <c r="U110" s="16" t="s">
        <v>3310</v>
      </c>
      <c r="V110" s="17"/>
      <c r="W110" s="17"/>
      <c r="X110" s="17"/>
      <c r="Y110" s="16" t="s">
        <v>3310</v>
      </c>
      <c r="Z110" s="16" t="s">
        <v>3734</v>
      </c>
      <c r="AA110" s="17"/>
      <c r="AB110" s="17"/>
    </row>
    <row r="111">
      <c r="A111" s="16">
        <f t="shared" si="2"/>
        <v>110</v>
      </c>
      <c r="B111" s="16" t="s">
        <v>331</v>
      </c>
      <c r="C111" s="16" t="s">
        <v>332</v>
      </c>
      <c r="D111" s="16" t="s">
        <v>333</v>
      </c>
      <c r="E111" s="16" t="s">
        <v>3106</v>
      </c>
      <c r="F111" s="16" t="s">
        <v>10</v>
      </c>
      <c r="G111" s="16" t="s">
        <v>3678</v>
      </c>
      <c r="H111" s="16" t="s">
        <v>12</v>
      </c>
      <c r="I111" s="17"/>
      <c r="J111" s="16" t="s">
        <v>36</v>
      </c>
      <c r="K111" s="16" t="s">
        <v>35</v>
      </c>
      <c r="L111" s="154">
        <v>43116.0</v>
      </c>
      <c r="M111" s="16">
        <f t="shared" si="1"/>
        <v>8</v>
      </c>
      <c r="N111" s="17"/>
      <c r="O111" s="111"/>
      <c r="P111" s="16" t="s">
        <v>3136</v>
      </c>
      <c r="Q111" s="152" t="s">
        <v>3836</v>
      </c>
      <c r="R111" s="17"/>
      <c r="S111" s="16" t="s">
        <v>3671</v>
      </c>
      <c r="T111" s="17"/>
      <c r="U111" s="16" t="s">
        <v>3310</v>
      </c>
      <c r="V111" s="17"/>
      <c r="W111" s="17"/>
      <c r="X111" s="17"/>
      <c r="Y111" s="16" t="s">
        <v>3310</v>
      </c>
      <c r="Z111" s="16" t="s">
        <v>3734</v>
      </c>
      <c r="AA111" s="17"/>
      <c r="AB111" s="17"/>
    </row>
    <row r="112">
      <c r="A112" s="16">
        <f t="shared" si="2"/>
        <v>111</v>
      </c>
      <c r="B112" s="16" t="s">
        <v>334</v>
      </c>
      <c r="C112" s="16" t="s">
        <v>335</v>
      </c>
      <c r="D112" s="16" t="s">
        <v>336</v>
      </c>
      <c r="E112" s="16" t="s">
        <v>3106</v>
      </c>
      <c r="F112" s="16" t="s">
        <v>10</v>
      </c>
      <c r="G112" s="16" t="s">
        <v>2985</v>
      </c>
      <c r="H112" s="16" t="s">
        <v>12</v>
      </c>
      <c r="I112" s="17"/>
      <c r="J112" s="16" t="s">
        <v>36</v>
      </c>
      <c r="K112" s="16" t="s">
        <v>144</v>
      </c>
      <c r="L112" s="154">
        <v>43116.0</v>
      </c>
      <c r="M112" s="16">
        <f t="shared" si="1"/>
        <v>8</v>
      </c>
      <c r="N112" s="17"/>
      <c r="O112" s="111"/>
      <c r="P112" s="16" t="s">
        <v>3136</v>
      </c>
      <c r="Q112" s="152" t="s">
        <v>3837</v>
      </c>
      <c r="R112" s="17"/>
      <c r="S112" s="16" t="s">
        <v>3671</v>
      </c>
      <c r="T112" s="17"/>
      <c r="U112" s="16" t="s">
        <v>3310</v>
      </c>
      <c r="V112" s="17"/>
      <c r="W112" s="17"/>
      <c r="X112" s="17"/>
      <c r="Y112" s="16" t="s">
        <v>3310</v>
      </c>
      <c r="Z112" s="16" t="s">
        <v>3734</v>
      </c>
      <c r="AA112" s="17"/>
      <c r="AB112" s="17"/>
    </row>
    <row r="113">
      <c r="A113" s="16">
        <f t="shared" si="2"/>
        <v>112</v>
      </c>
      <c r="B113" s="16" t="s">
        <v>337</v>
      </c>
      <c r="C113" s="16" t="s">
        <v>338</v>
      </c>
      <c r="D113" s="16" t="s">
        <v>339</v>
      </c>
      <c r="E113" s="16" t="s">
        <v>3106</v>
      </c>
      <c r="F113" s="16" t="s">
        <v>10</v>
      </c>
      <c r="G113" s="16" t="s">
        <v>2985</v>
      </c>
      <c r="H113" s="16" t="s">
        <v>12</v>
      </c>
      <c r="I113" s="17"/>
      <c r="J113" s="16" t="s">
        <v>36</v>
      </c>
      <c r="K113" s="16" t="s">
        <v>144</v>
      </c>
      <c r="L113" s="154">
        <v>42919.0</v>
      </c>
      <c r="M113" s="16">
        <f t="shared" si="1"/>
        <v>9</v>
      </c>
      <c r="N113" s="17"/>
      <c r="O113" s="111"/>
      <c r="P113" s="16" t="s">
        <v>3136</v>
      </c>
      <c r="Q113" s="152" t="s">
        <v>3838</v>
      </c>
      <c r="R113" s="17"/>
      <c r="S113" s="16" t="s">
        <v>3671</v>
      </c>
      <c r="T113" s="17"/>
      <c r="U113" s="16" t="s">
        <v>3762</v>
      </c>
      <c r="V113" s="16" t="s">
        <v>3681</v>
      </c>
      <c r="W113" s="17"/>
      <c r="X113" s="17"/>
      <c r="Y113" s="16" t="s">
        <v>3762</v>
      </c>
      <c r="Z113" s="16" t="s">
        <v>3681</v>
      </c>
      <c r="AA113" s="17"/>
      <c r="AB113" s="17"/>
    </row>
    <row r="114">
      <c r="A114" s="16">
        <f t="shared" si="2"/>
        <v>113</v>
      </c>
      <c r="B114" s="16" t="s">
        <v>340</v>
      </c>
      <c r="C114" s="16" t="s">
        <v>341</v>
      </c>
      <c r="D114" s="16" t="s">
        <v>342</v>
      </c>
      <c r="E114" s="16" t="s">
        <v>3106</v>
      </c>
      <c r="F114" s="16" t="s">
        <v>10</v>
      </c>
      <c r="G114" s="16" t="s">
        <v>2985</v>
      </c>
      <c r="H114" s="16" t="s">
        <v>12</v>
      </c>
      <c r="I114" s="17"/>
      <c r="J114" s="16" t="s">
        <v>36</v>
      </c>
      <c r="K114" s="16" t="s">
        <v>144</v>
      </c>
      <c r="L114" s="154">
        <v>42919.0</v>
      </c>
      <c r="M114" s="16">
        <f t="shared" si="1"/>
        <v>9</v>
      </c>
      <c r="N114" s="17"/>
      <c r="O114" s="111"/>
      <c r="P114" s="16" t="s">
        <v>3136</v>
      </c>
      <c r="Q114" s="152" t="s">
        <v>3839</v>
      </c>
      <c r="R114" s="17"/>
      <c r="S114" s="16" t="s">
        <v>3671</v>
      </c>
      <c r="T114" s="17"/>
      <c r="U114" s="16" t="s">
        <v>3762</v>
      </c>
      <c r="V114" s="16" t="s">
        <v>3681</v>
      </c>
      <c r="W114" s="17"/>
      <c r="X114" s="17"/>
      <c r="Y114" s="16" t="s">
        <v>3762</v>
      </c>
      <c r="Z114" s="16" t="s">
        <v>3681</v>
      </c>
      <c r="AA114" s="17"/>
      <c r="AB114" s="17"/>
    </row>
    <row r="115">
      <c r="A115" s="16">
        <f t="shared" si="2"/>
        <v>114</v>
      </c>
      <c r="B115" s="16" t="s">
        <v>343</v>
      </c>
      <c r="C115" s="16" t="s">
        <v>344</v>
      </c>
      <c r="D115" s="16" t="s">
        <v>345</v>
      </c>
      <c r="E115" s="16" t="s">
        <v>3106</v>
      </c>
      <c r="F115" s="16" t="s">
        <v>10</v>
      </c>
      <c r="G115" s="16" t="s">
        <v>2985</v>
      </c>
      <c r="H115" s="16" t="s">
        <v>12</v>
      </c>
      <c r="I115" s="17"/>
      <c r="J115" s="16" t="s">
        <v>36</v>
      </c>
      <c r="K115" s="16" t="s">
        <v>144</v>
      </c>
      <c r="L115" s="154">
        <v>42919.0</v>
      </c>
      <c r="M115" s="16">
        <f t="shared" si="1"/>
        <v>9</v>
      </c>
      <c r="N115" s="17"/>
      <c r="O115" s="111"/>
      <c r="P115" s="16" t="s">
        <v>3136</v>
      </c>
      <c r="Q115" s="152" t="s">
        <v>3840</v>
      </c>
      <c r="R115" s="17"/>
      <c r="S115" s="16" t="s">
        <v>3671</v>
      </c>
      <c r="T115" s="17"/>
      <c r="U115" s="16" t="s">
        <v>3762</v>
      </c>
      <c r="V115" s="16" t="s">
        <v>3681</v>
      </c>
      <c r="W115" s="17"/>
      <c r="X115" s="17"/>
      <c r="Y115" s="16" t="s">
        <v>3762</v>
      </c>
      <c r="Z115" s="16" t="s">
        <v>3681</v>
      </c>
      <c r="AA115" s="17"/>
      <c r="AB115" s="17"/>
    </row>
    <row r="116">
      <c r="A116" s="16">
        <f t="shared" si="2"/>
        <v>115</v>
      </c>
      <c r="B116" s="16" t="s">
        <v>346</v>
      </c>
      <c r="C116" s="16" t="s">
        <v>347</v>
      </c>
      <c r="D116" s="16" t="s">
        <v>348</v>
      </c>
      <c r="E116" s="16" t="s">
        <v>3106</v>
      </c>
      <c r="F116" s="16" t="s">
        <v>10</v>
      </c>
      <c r="G116" s="16" t="s">
        <v>2985</v>
      </c>
      <c r="H116" s="16" t="s">
        <v>12</v>
      </c>
      <c r="I116" s="17"/>
      <c r="J116" s="16" t="s">
        <v>36</v>
      </c>
      <c r="K116" s="16" t="s">
        <v>144</v>
      </c>
      <c r="L116" s="154">
        <v>42919.0</v>
      </c>
      <c r="M116" s="16">
        <f t="shared" si="1"/>
        <v>9</v>
      </c>
      <c r="N116" s="17"/>
      <c r="O116" s="111"/>
      <c r="P116" s="16" t="s">
        <v>3136</v>
      </c>
      <c r="Q116" s="152" t="s">
        <v>3841</v>
      </c>
      <c r="R116" s="17"/>
      <c r="S116" s="16" t="s">
        <v>3671</v>
      </c>
      <c r="T116" s="17"/>
      <c r="U116" s="16" t="s">
        <v>3762</v>
      </c>
      <c r="V116" s="16" t="s">
        <v>3681</v>
      </c>
      <c r="W116" s="17"/>
      <c r="X116" s="17"/>
      <c r="Y116" s="16" t="s">
        <v>3762</v>
      </c>
      <c r="Z116" s="16" t="s">
        <v>3681</v>
      </c>
      <c r="AA116" s="17"/>
      <c r="AB116" s="17"/>
    </row>
    <row r="117">
      <c r="A117" s="16">
        <f t="shared" si="2"/>
        <v>116</v>
      </c>
      <c r="B117" s="16" t="s">
        <v>349</v>
      </c>
      <c r="C117" s="16" t="s">
        <v>350</v>
      </c>
      <c r="D117" s="16" t="s">
        <v>351</v>
      </c>
      <c r="E117" s="16" t="s">
        <v>3106</v>
      </c>
      <c r="F117" s="16" t="s">
        <v>10</v>
      </c>
      <c r="G117" s="16" t="s">
        <v>2985</v>
      </c>
      <c r="H117" s="16" t="s">
        <v>12</v>
      </c>
      <c r="I117" s="17"/>
      <c r="J117" s="16" t="s">
        <v>36</v>
      </c>
      <c r="K117" s="16" t="s">
        <v>144</v>
      </c>
      <c r="L117" s="154">
        <v>42919.0</v>
      </c>
      <c r="M117" s="16">
        <f t="shared" si="1"/>
        <v>9</v>
      </c>
      <c r="N117" s="17"/>
      <c r="O117" s="111"/>
      <c r="P117" s="16" t="s">
        <v>3136</v>
      </c>
      <c r="Q117" s="152" t="s">
        <v>3842</v>
      </c>
      <c r="R117" s="17"/>
      <c r="S117" s="16" t="s">
        <v>3671</v>
      </c>
      <c r="T117" s="17"/>
      <c r="U117" s="16" t="s">
        <v>3762</v>
      </c>
      <c r="V117" s="16" t="s">
        <v>3681</v>
      </c>
      <c r="W117" s="17"/>
      <c r="X117" s="17"/>
      <c r="Y117" s="16" t="s">
        <v>3762</v>
      </c>
      <c r="Z117" s="16" t="s">
        <v>3681</v>
      </c>
      <c r="AA117" s="17"/>
      <c r="AB117" s="17"/>
    </row>
    <row r="118">
      <c r="A118" s="16">
        <f t="shared" si="2"/>
        <v>117</v>
      </c>
      <c r="B118" s="16" t="s">
        <v>352</v>
      </c>
      <c r="C118" s="16" t="s">
        <v>353</v>
      </c>
      <c r="D118" s="16" t="s">
        <v>354</v>
      </c>
      <c r="E118" s="16" t="s">
        <v>3106</v>
      </c>
      <c r="F118" s="16" t="s">
        <v>10</v>
      </c>
      <c r="G118" s="16" t="s">
        <v>2985</v>
      </c>
      <c r="H118" s="16" t="s">
        <v>12</v>
      </c>
      <c r="I118" s="17"/>
      <c r="J118" s="16" t="s">
        <v>36</v>
      </c>
      <c r="K118" s="16" t="s">
        <v>144</v>
      </c>
      <c r="L118" s="154">
        <v>42919.0</v>
      </c>
      <c r="M118" s="16">
        <f t="shared" si="1"/>
        <v>9</v>
      </c>
      <c r="N118" s="17"/>
      <c r="O118" s="111"/>
      <c r="P118" s="16" t="s">
        <v>3136</v>
      </c>
      <c r="Q118" s="152" t="s">
        <v>3843</v>
      </c>
      <c r="R118" s="17"/>
      <c r="S118" s="16" t="s">
        <v>3671</v>
      </c>
      <c r="T118" s="17"/>
      <c r="U118" s="16" t="s">
        <v>3762</v>
      </c>
      <c r="V118" s="16" t="s">
        <v>3681</v>
      </c>
      <c r="W118" s="17"/>
      <c r="X118" s="17"/>
      <c r="Y118" s="16" t="s">
        <v>3762</v>
      </c>
      <c r="Z118" s="16" t="s">
        <v>3681</v>
      </c>
      <c r="AA118" s="17"/>
      <c r="AB118" s="17"/>
    </row>
    <row r="119">
      <c r="A119" s="16">
        <f t="shared" si="2"/>
        <v>118</v>
      </c>
      <c r="B119" s="16" t="s">
        <v>355</v>
      </c>
      <c r="C119" s="16" t="s">
        <v>356</v>
      </c>
      <c r="D119" s="16" t="s">
        <v>357</v>
      </c>
      <c r="E119" s="16" t="s">
        <v>3106</v>
      </c>
      <c r="F119" s="16" t="s">
        <v>10</v>
      </c>
      <c r="G119" s="16" t="s">
        <v>3678</v>
      </c>
      <c r="H119" s="16" t="s">
        <v>12</v>
      </c>
      <c r="I119" s="17"/>
      <c r="J119" s="16" t="s">
        <v>36</v>
      </c>
      <c r="K119" s="16" t="s">
        <v>35</v>
      </c>
      <c r="L119" s="154">
        <v>43691.0</v>
      </c>
      <c r="M119" s="16">
        <f t="shared" si="1"/>
        <v>7</v>
      </c>
      <c r="N119" s="17"/>
      <c r="O119" s="111"/>
      <c r="P119" s="16" t="s">
        <v>3136</v>
      </c>
      <c r="Q119" s="152" t="s">
        <v>3844</v>
      </c>
      <c r="R119" s="17"/>
      <c r="S119" s="16" t="s">
        <v>3671</v>
      </c>
      <c r="T119" s="17"/>
      <c r="U119" s="16" t="s">
        <v>3186</v>
      </c>
      <c r="V119" s="16" t="s">
        <v>3681</v>
      </c>
      <c r="W119" s="17"/>
      <c r="X119" s="17"/>
      <c r="Y119" s="16" t="s">
        <v>3186</v>
      </c>
      <c r="Z119" s="16" t="s">
        <v>3681</v>
      </c>
      <c r="AA119" s="17"/>
      <c r="AB119" s="17"/>
    </row>
    <row r="120">
      <c r="A120" s="16">
        <f t="shared" si="2"/>
        <v>119</v>
      </c>
      <c r="B120" s="16" t="s">
        <v>358</v>
      </c>
      <c r="C120" s="16" t="s">
        <v>359</v>
      </c>
      <c r="D120" s="16" t="s">
        <v>360</v>
      </c>
      <c r="E120" s="16" t="s">
        <v>3106</v>
      </c>
      <c r="F120" s="16" t="s">
        <v>10</v>
      </c>
      <c r="G120" s="16" t="s">
        <v>3705</v>
      </c>
      <c r="H120" s="16" t="s">
        <v>12</v>
      </c>
      <c r="I120" s="17"/>
      <c r="J120" s="16" t="s">
        <v>79</v>
      </c>
      <c r="K120" s="16" t="s">
        <v>78</v>
      </c>
      <c r="L120" s="154">
        <v>41927.0</v>
      </c>
      <c r="M120" s="16">
        <f t="shared" si="1"/>
        <v>12</v>
      </c>
      <c r="N120" s="17"/>
      <c r="O120" s="111"/>
      <c r="P120" s="16" t="s">
        <v>3136</v>
      </c>
      <c r="Q120" s="152" t="s">
        <v>3845</v>
      </c>
      <c r="R120" s="17"/>
      <c r="S120" s="16" t="s">
        <v>3671</v>
      </c>
      <c r="T120" s="17"/>
      <c r="U120" s="16" t="s">
        <v>3186</v>
      </c>
      <c r="V120" s="16" t="s">
        <v>3681</v>
      </c>
      <c r="W120" s="17"/>
      <c r="X120" s="17"/>
      <c r="Y120" s="16" t="s">
        <v>3186</v>
      </c>
      <c r="Z120" s="16" t="s">
        <v>3681</v>
      </c>
      <c r="AA120" s="17"/>
      <c r="AB120" s="17"/>
    </row>
    <row r="121">
      <c r="A121" s="16">
        <f t="shared" si="2"/>
        <v>120</v>
      </c>
      <c r="B121" s="16" t="s">
        <v>361</v>
      </c>
      <c r="C121" s="16" t="s">
        <v>362</v>
      </c>
      <c r="D121" s="16" t="s">
        <v>363</v>
      </c>
      <c r="E121" s="16" t="s">
        <v>3106</v>
      </c>
      <c r="F121" s="16" t="s">
        <v>10</v>
      </c>
      <c r="G121" s="16" t="s">
        <v>3678</v>
      </c>
      <c r="H121" s="16" t="s">
        <v>12</v>
      </c>
      <c r="I121" s="17"/>
      <c r="J121" s="16" t="s">
        <v>36</v>
      </c>
      <c r="K121" s="16" t="s">
        <v>35</v>
      </c>
      <c r="L121" s="154">
        <v>43153.0</v>
      </c>
      <c r="M121" s="16">
        <f t="shared" si="1"/>
        <v>8</v>
      </c>
      <c r="N121" s="17"/>
      <c r="O121" s="111"/>
      <c r="P121" s="16" t="s">
        <v>3136</v>
      </c>
      <c r="Q121" s="152" t="s">
        <v>3846</v>
      </c>
      <c r="R121" s="17"/>
      <c r="S121" s="16" t="s">
        <v>3671</v>
      </c>
      <c r="T121" s="17"/>
      <c r="U121" s="16" t="s">
        <v>3186</v>
      </c>
      <c r="V121" s="16" t="s">
        <v>3681</v>
      </c>
      <c r="W121" s="17"/>
      <c r="X121" s="17"/>
      <c r="Y121" s="16" t="s">
        <v>3186</v>
      </c>
      <c r="Z121" s="16" t="s">
        <v>3681</v>
      </c>
      <c r="AA121" s="17"/>
      <c r="AB121" s="17"/>
    </row>
    <row r="122">
      <c r="A122" s="16">
        <f t="shared" si="2"/>
        <v>121</v>
      </c>
      <c r="B122" s="16" t="s">
        <v>364</v>
      </c>
      <c r="C122" s="16" t="s">
        <v>365</v>
      </c>
      <c r="D122" s="16" t="s">
        <v>366</v>
      </c>
      <c r="E122" s="16" t="s">
        <v>3106</v>
      </c>
      <c r="F122" s="16" t="s">
        <v>10</v>
      </c>
      <c r="G122" s="16" t="s">
        <v>3705</v>
      </c>
      <c r="H122" s="16" t="s">
        <v>12</v>
      </c>
      <c r="I122" s="17"/>
      <c r="J122" s="16" t="s">
        <v>79</v>
      </c>
      <c r="K122" s="16" t="s">
        <v>78</v>
      </c>
      <c r="L122" s="154">
        <v>42219.0</v>
      </c>
      <c r="M122" s="16">
        <f t="shared" si="1"/>
        <v>11</v>
      </c>
      <c r="N122" s="17"/>
      <c r="O122" s="111"/>
      <c r="P122" s="16" t="s">
        <v>3136</v>
      </c>
      <c r="Q122" s="152" t="s">
        <v>3847</v>
      </c>
      <c r="R122" s="17"/>
      <c r="S122" s="16" t="s">
        <v>3671</v>
      </c>
      <c r="T122" s="17"/>
      <c r="U122" s="16" t="s">
        <v>3186</v>
      </c>
      <c r="V122" s="16" t="s">
        <v>3681</v>
      </c>
      <c r="W122" s="17"/>
      <c r="X122" s="17"/>
      <c r="Y122" s="16" t="s">
        <v>3186</v>
      </c>
      <c r="Z122" s="16" t="s">
        <v>3681</v>
      </c>
      <c r="AA122" s="17"/>
      <c r="AB122" s="17"/>
    </row>
    <row r="123">
      <c r="A123" s="16">
        <f t="shared" si="2"/>
        <v>122</v>
      </c>
      <c r="B123" s="16" t="s">
        <v>367</v>
      </c>
      <c r="C123" s="16">
        <v>6.0019705E7</v>
      </c>
      <c r="D123" s="16" t="s">
        <v>368</v>
      </c>
      <c r="E123" s="16" t="s">
        <v>3106</v>
      </c>
      <c r="F123" s="16" t="s">
        <v>10</v>
      </c>
      <c r="G123" s="16" t="s">
        <v>3787</v>
      </c>
      <c r="H123" s="16" t="s">
        <v>12</v>
      </c>
      <c r="I123" s="16" t="s">
        <v>3788</v>
      </c>
      <c r="J123" s="16" t="s">
        <v>36</v>
      </c>
      <c r="K123" s="16" t="s">
        <v>214</v>
      </c>
      <c r="L123" s="154">
        <v>44848.0</v>
      </c>
      <c r="M123" s="16">
        <f t="shared" si="1"/>
        <v>4</v>
      </c>
      <c r="N123" s="16">
        <v>4.500000469E9</v>
      </c>
      <c r="O123" s="16" t="s">
        <v>3848</v>
      </c>
      <c r="P123" s="16" t="s">
        <v>3136</v>
      </c>
      <c r="Q123" s="152" t="s">
        <v>3849</v>
      </c>
      <c r="R123" s="118">
        <v>45671.0</v>
      </c>
      <c r="S123" s="16" t="s">
        <v>3671</v>
      </c>
      <c r="T123" s="17"/>
      <c r="U123" s="16" t="s">
        <v>3186</v>
      </c>
      <c r="V123" s="16" t="s">
        <v>3681</v>
      </c>
      <c r="W123" s="17"/>
      <c r="X123" s="17"/>
      <c r="Y123" s="16" t="s">
        <v>3186</v>
      </c>
      <c r="Z123" s="16" t="s">
        <v>3681</v>
      </c>
      <c r="AA123" s="17"/>
      <c r="AB123" s="17"/>
    </row>
    <row r="124">
      <c r="A124" s="16">
        <f t="shared" si="2"/>
        <v>123</v>
      </c>
      <c r="B124" s="16" t="s">
        <v>369</v>
      </c>
      <c r="C124" s="16">
        <v>6.0019706E7</v>
      </c>
      <c r="D124" s="16" t="s">
        <v>370</v>
      </c>
      <c r="E124" s="16" t="s">
        <v>3106</v>
      </c>
      <c r="F124" s="16" t="s">
        <v>10</v>
      </c>
      <c r="G124" s="16" t="s">
        <v>3787</v>
      </c>
      <c r="H124" s="16" t="s">
        <v>12</v>
      </c>
      <c r="I124" s="16" t="s">
        <v>3788</v>
      </c>
      <c r="J124" s="16" t="s">
        <v>36</v>
      </c>
      <c r="K124" s="16" t="s">
        <v>214</v>
      </c>
      <c r="L124" s="154">
        <v>44848.0</v>
      </c>
      <c r="M124" s="16">
        <f t="shared" si="1"/>
        <v>4</v>
      </c>
      <c r="N124" s="16">
        <v>4.500000469E9</v>
      </c>
      <c r="O124" s="16" t="s">
        <v>3850</v>
      </c>
      <c r="P124" s="16" t="s">
        <v>3136</v>
      </c>
      <c r="Q124" s="152" t="s">
        <v>3851</v>
      </c>
      <c r="R124" s="118">
        <v>45671.0</v>
      </c>
      <c r="S124" s="16" t="s">
        <v>3671</v>
      </c>
      <c r="T124" s="17"/>
      <c r="U124" s="16" t="s">
        <v>3186</v>
      </c>
      <c r="V124" s="16" t="s">
        <v>3681</v>
      </c>
      <c r="W124" s="17"/>
      <c r="X124" s="17"/>
      <c r="Y124" s="16" t="s">
        <v>3186</v>
      </c>
      <c r="Z124" s="16" t="s">
        <v>3681</v>
      </c>
      <c r="AA124" s="17"/>
      <c r="AB124" s="17"/>
    </row>
    <row r="125">
      <c r="A125" s="16">
        <f t="shared" si="2"/>
        <v>124</v>
      </c>
      <c r="B125" s="16" t="s">
        <v>371</v>
      </c>
      <c r="C125" s="16" t="s">
        <v>372</v>
      </c>
      <c r="D125" s="16" t="s">
        <v>373</v>
      </c>
      <c r="E125" s="16" t="s">
        <v>3106</v>
      </c>
      <c r="F125" s="16" t="s">
        <v>10</v>
      </c>
      <c r="G125" s="16" t="s">
        <v>3678</v>
      </c>
      <c r="H125" s="16" t="s">
        <v>12</v>
      </c>
      <c r="I125" s="17"/>
      <c r="J125" s="16" t="s">
        <v>36</v>
      </c>
      <c r="K125" s="16" t="s">
        <v>35</v>
      </c>
      <c r="L125" s="154">
        <v>43691.0</v>
      </c>
      <c r="M125" s="16">
        <f t="shared" si="1"/>
        <v>7</v>
      </c>
      <c r="N125" s="17"/>
      <c r="O125" s="111"/>
      <c r="P125" s="16" t="s">
        <v>3136</v>
      </c>
      <c r="Q125" s="152" t="s">
        <v>3852</v>
      </c>
      <c r="R125" s="17"/>
      <c r="S125" s="16" t="s">
        <v>3671</v>
      </c>
      <c r="T125" s="17"/>
      <c r="U125" s="16" t="s">
        <v>3186</v>
      </c>
      <c r="V125" s="16" t="s">
        <v>3681</v>
      </c>
      <c r="W125" s="17"/>
      <c r="X125" s="17"/>
      <c r="Y125" s="16" t="s">
        <v>3186</v>
      </c>
      <c r="Z125" s="16" t="s">
        <v>3681</v>
      </c>
      <c r="AA125" s="17"/>
      <c r="AB125" s="17"/>
    </row>
    <row r="126">
      <c r="A126" s="16">
        <f t="shared" si="2"/>
        <v>125</v>
      </c>
      <c r="B126" s="16" t="s">
        <v>374</v>
      </c>
      <c r="C126" s="16" t="s">
        <v>375</v>
      </c>
      <c r="D126" s="16" t="s">
        <v>376</v>
      </c>
      <c r="E126" s="16" t="s">
        <v>3106</v>
      </c>
      <c r="F126" s="16" t="s">
        <v>10</v>
      </c>
      <c r="G126" s="16" t="s">
        <v>3705</v>
      </c>
      <c r="H126" s="16" t="s">
        <v>12</v>
      </c>
      <c r="I126" s="17"/>
      <c r="J126" s="16" t="s">
        <v>79</v>
      </c>
      <c r="K126" s="16" t="s">
        <v>78</v>
      </c>
      <c r="L126" s="154">
        <v>42096.0</v>
      </c>
      <c r="M126" s="16">
        <f t="shared" si="1"/>
        <v>11</v>
      </c>
      <c r="N126" s="16">
        <v>5.0000835E7</v>
      </c>
      <c r="O126" s="17"/>
      <c r="P126" s="16" t="s">
        <v>3136</v>
      </c>
      <c r="Q126" s="152" t="s">
        <v>3853</v>
      </c>
      <c r="R126" s="17"/>
      <c r="S126" s="16" t="s">
        <v>3671</v>
      </c>
      <c r="T126" s="17"/>
      <c r="U126" s="16" t="s">
        <v>3186</v>
      </c>
      <c r="V126" s="16" t="s">
        <v>3681</v>
      </c>
      <c r="W126" s="17"/>
      <c r="X126" s="17"/>
      <c r="Y126" s="16" t="s">
        <v>3186</v>
      </c>
      <c r="Z126" s="16" t="s">
        <v>3681</v>
      </c>
      <c r="AA126" s="17"/>
      <c r="AB126" s="17"/>
    </row>
    <row r="127">
      <c r="A127" s="16">
        <f t="shared" si="2"/>
        <v>126</v>
      </c>
      <c r="B127" s="16" t="s">
        <v>377</v>
      </c>
      <c r="C127" s="16" t="s">
        <v>378</v>
      </c>
      <c r="D127" s="16" t="s">
        <v>379</v>
      </c>
      <c r="E127" s="16" t="s">
        <v>3106</v>
      </c>
      <c r="F127" s="16" t="s">
        <v>10</v>
      </c>
      <c r="G127" s="16" t="s">
        <v>3705</v>
      </c>
      <c r="H127" s="16" t="s">
        <v>12</v>
      </c>
      <c r="I127" s="17"/>
      <c r="J127" s="16" t="s">
        <v>79</v>
      </c>
      <c r="K127" s="16" t="s">
        <v>78</v>
      </c>
      <c r="L127" s="154">
        <v>41827.0</v>
      </c>
      <c r="M127" s="16">
        <f t="shared" si="1"/>
        <v>12</v>
      </c>
      <c r="N127" s="17"/>
      <c r="O127" s="17"/>
      <c r="P127" s="16" t="s">
        <v>3136</v>
      </c>
      <c r="Q127" s="152" t="s">
        <v>3854</v>
      </c>
      <c r="R127" s="17"/>
      <c r="S127" s="16" t="s">
        <v>3671</v>
      </c>
      <c r="T127" s="17"/>
      <c r="U127" s="16" t="s">
        <v>3186</v>
      </c>
      <c r="V127" s="16" t="s">
        <v>3681</v>
      </c>
      <c r="W127" s="17"/>
      <c r="X127" s="17"/>
      <c r="Y127" s="16" t="s">
        <v>3186</v>
      </c>
      <c r="Z127" s="16" t="s">
        <v>3681</v>
      </c>
      <c r="AA127" s="17"/>
      <c r="AB127" s="17"/>
    </row>
    <row r="128">
      <c r="A128" s="16">
        <f t="shared" si="2"/>
        <v>127</v>
      </c>
      <c r="B128" s="16" t="s">
        <v>380</v>
      </c>
      <c r="C128" s="16">
        <v>6.0019707E7</v>
      </c>
      <c r="D128" s="16" t="s">
        <v>381</v>
      </c>
      <c r="E128" s="16" t="s">
        <v>3106</v>
      </c>
      <c r="F128" s="16" t="s">
        <v>10</v>
      </c>
      <c r="G128" s="16" t="s">
        <v>3787</v>
      </c>
      <c r="H128" s="16" t="s">
        <v>12</v>
      </c>
      <c r="I128" s="16" t="s">
        <v>3788</v>
      </c>
      <c r="J128" s="16" t="s">
        <v>36</v>
      </c>
      <c r="K128" s="16" t="s">
        <v>214</v>
      </c>
      <c r="L128" s="154">
        <v>44848.0</v>
      </c>
      <c r="M128" s="16">
        <f t="shared" si="1"/>
        <v>4</v>
      </c>
      <c r="N128" s="16">
        <v>4.500000469E9</v>
      </c>
      <c r="O128" s="17"/>
      <c r="P128" s="16" t="s">
        <v>3136</v>
      </c>
      <c r="Q128" s="152" t="s">
        <v>3855</v>
      </c>
      <c r="R128" s="17"/>
      <c r="S128" s="16" t="s">
        <v>3671</v>
      </c>
      <c r="T128" s="17"/>
      <c r="U128" s="16" t="s">
        <v>3180</v>
      </c>
      <c r="V128" s="16" t="s">
        <v>3681</v>
      </c>
      <c r="W128" s="17"/>
      <c r="X128" s="17"/>
      <c r="Y128" s="16" t="s">
        <v>3180</v>
      </c>
      <c r="Z128" s="16" t="s">
        <v>3681</v>
      </c>
      <c r="AA128" s="17"/>
      <c r="AB128" s="17"/>
    </row>
    <row r="129">
      <c r="A129" s="16">
        <f t="shared" si="2"/>
        <v>128</v>
      </c>
      <c r="B129" s="16" t="s">
        <v>382</v>
      </c>
      <c r="C129" s="16" t="s">
        <v>383</v>
      </c>
      <c r="D129" s="16" t="s">
        <v>384</v>
      </c>
      <c r="E129" s="16" t="s">
        <v>3106</v>
      </c>
      <c r="F129" s="16" t="s">
        <v>10</v>
      </c>
      <c r="G129" s="16" t="s">
        <v>3678</v>
      </c>
      <c r="H129" s="16" t="s">
        <v>12</v>
      </c>
      <c r="I129" s="17"/>
      <c r="J129" s="16" t="s">
        <v>36</v>
      </c>
      <c r="K129" s="16" t="s">
        <v>35</v>
      </c>
      <c r="L129" s="154">
        <v>43557.0</v>
      </c>
      <c r="M129" s="16">
        <f t="shared" si="1"/>
        <v>7</v>
      </c>
      <c r="N129" s="17"/>
      <c r="O129" s="111"/>
      <c r="P129" s="16" t="s">
        <v>3136</v>
      </c>
      <c r="Q129" s="152" t="s">
        <v>3856</v>
      </c>
      <c r="R129" s="17"/>
      <c r="S129" s="16" t="s">
        <v>3671</v>
      </c>
      <c r="T129" s="17"/>
      <c r="U129" s="16" t="s">
        <v>3180</v>
      </c>
      <c r="V129" s="16" t="s">
        <v>3681</v>
      </c>
      <c r="W129" s="17"/>
      <c r="X129" s="17"/>
      <c r="Y129" s="16" t="s">
        <v>3180</v>
      </c>
      <c r="Z129" s="16" t="s">
        <v>3681</v>
      </c>
      <c r="AA129" s="17"/>
      <c r="AB129" s="17"/>
    </row>
    <row r="130">
      <c r="A130" s="16">
        <f t="shared" si="2"/>
        <v>129</v>
      </c>
      <c r="B130" s="16" t="s">
        <v>385</v>
      </c>
      <c r="C130" s="16" t="s">
        <v>386</v>
      </c>
      <c r="D130" s="16" t="s">
        <v>387</v>
      </c>
      <c r="E130" s="16" t="s">
        <v>3106</v>
      </c>
      <c r="F130" s="16" t="s">
        <v>10</v>
      </c>
      <c r="G130" s="16" t="s">
        <v>3678</v>
      </c>
      <c r="H130" s="16" t="s">
        <v>12</v>
      </c>
      <c r="I130" s="17"/>
      <c r="J130" s="16" t="s">
        <v>36</v>
      </c>
      <c r="K130" s="16" t="s">
        <v>35</v>
      </c>
      <c r="L130" s="154">
        <v>43691.0</v>
      </c>
      <c r="M130" s="16">
        <f t="shared" si="1"/>
        <v>7</v>
      </c>
      <c r="N130" s="17"/>
      <c r="O130" s="111"/>
      <c r="P130" s="16" t="s">
        <v>3136</v>
      </c>
      <c r="Q130" s="152" t="s">
        <v>3857</v>
      </c>
      <c r="R130" s="17"/>
      <c r="S130" s="16" t="s">
        <v>3671</v>
      </c>
      <c r="T130" s="17"/>
      <c r="U130" s="16" t="s">
        <v>3180</v>
      </c>
      <c r="V130" s="16" t="s">
        <v>3681</v>
      </c>
      <c r="W130" s="17"/>
      <c r="X130" s="17"/>
      <c r="Y130" s="16" t="s">
        <v>3180</v>
      </c>
      <c r="Z130" s="16" t="s">
        <v>3681</v>
      </c>
      <c r="AA130" s="17"/>
      <c r="AB130" s="17"/>
    </row>
    <row r="131">
      <c r="A131" s="16">
        <f t="shared" si="2"/>
        <v>130</v>
      </c>
      <c r="B131" s="16" t="s">
        <v>388</v>
      </c>
      <c r="C131" s="16">
        <v>6.0019708E7</v>
      </c>
      <c r="D131" s="16" t="s">
        <v>389</v>
      </c>
      <c r="E131" s="16" t="s">
        <v>3106</v>
      </c>
      <c r="F131" s="16" t="s">
        <v>10</v>
      </c>
      <c r="G131" s="16" t="s">
        <v>3787</v>
      </c>
      <c r="H131" s="16" t="s">
        <v>12</v>
      </c>
      <c r="I131" s="16" t="s">
        <v>3788</v>
      </c>
      <c r="J131" s="16" t="s">
        <v>36</v>
      </c>
      <c r="K131" s="16" t="s">
        <v>214</v>
      </c>
      <c r="L131" s="154">
        <v>44848.0</v>
      </c>
      <c r="M131" s="16">
        <f t="shared" si="1"/>
        <v>4</v>
      </c>
      <c r="N131" s="16">
        <v>4.500000469E9</v>
      </c>
      <c r="O131" s="16" t="s">
        <v>3858</v>
      </c>
      <c r="P131" s="16" t="s">
        <v>3136</v>
      </c>
      <c r="Q131" s="152" t="s">
        <v>3859</v>
      </c>
      <c r="R131" s="17"/>
      <c r="S131" s="16" t="s">
        <v>3673</v>
      </c>
      <c r="T131" s="16" t="s">
        <v>3860</v>
      </c>
      <c r="U131" s="16" t="s">
        <v>3180</v>
      </c>
      <c r="V131" s="16" t="s">
        <v>3681</v>
      </c>
      <c r="W131" s="17"/>
      <c r="X131" s="16" t="s">
        <v>3860</v>
      </c>
      <c r="Y131" s="16" t="s">
        <v>3180</v>
      </c>
      <c r="Z131" s="16" t="s">
        <v>3681</v>
      </c>
      <c r="AA131" s="17"/>
      <c r="AB131" s="17"/>
    </row>
    <row r="132">
      <c r="A132" s="16">
        <f t="shared" si="2"/>
        <v>131</v>
      </c>
      <c r="B132" s="16" t="s">
        <v>390</v>
      </c>
      <c r="C132" s="16" t="s">
        <v>391</v>
      </c>
      <c r="D132" s="16" t="s">
        <v>392</v>
      </c>
      <c r="E132" s="16" t="s">
        <v>3106</v>
      </c>
      <c r="F132" s="16" t="s">
        <v>10</v>
      </c>
      <c r="G132" s="16" t="s">
        <v>3678</v>
      </c>
      <c r="H132" s="16" t="s">
        <v>12</v>
      </c>
      <c r="I132" s="17"/>
      <c r="J132" s="16" t="s">
        <v>36</v>
      </c>
      <c r="K132" s="16" t="s">
        <v>35</v>
      </c>
      <c r="L132" s="154">
        <v>43691.0</v>
      </c>
      <c r="M132" s="16">
        <f t="shared" si="1"/>
        <v>7</v>
      </c>
      <c r="N132" s="17"/>
      <c r="O132" s="16" t="s">
        <v>3861</v>
      </c>
      <c r="P132" s="16" t="s">
        <v>3136</v>
      </c>
      <c r="Q132" s="152" t="s">
        <v>3862</v>
      </c>
      <c r="R132" s="17"/>
      <c r="S132" s="16" t="s">
        <v>3671</v>
      </c>
      <c r="T132" s="17"/>
      <c r="U132" s="16" t="s">
        <v>3863</v>
      </c>
      <c r="V132" s="16" t="s">
        <v>3681</v>
      </c>
      <c r="W132" s="17"/>
      <c r="X132" s="17"/>
      <c r="Y132" s="16" t="s">
        <v>3863</v>
      </c>
      <c r="Z132" s="16" t="s">
        <v>3681</v>
      </c>
      <c r="AA132" s="17"/>
      <c r="AB132" s="17"/>
    </row>
    <row r="133">
      <c r="A133" s="16">
        <f t="shared" si="2"/>
        <v>132</v>
      </c>
      <c r="B133" s="16" t="s">
        <v>393</v>
      </c>
      <c r="C133" s="16">
        <v>6.0019699E7</v>
      </c>
      <c r="D133" s="16" t="s">
        <v>394</v>
      </c>
      <c r="E133" s="16" t="s">
        <v>3106</v>
      </c>
      <c r="F133" s="16" t="s">
        <v>10</v>
      </c>
      <c r="G133" s="16" t="s">
        <v>3787</v>
      </c>
      <c r="H133" s="16" t="s">
        <v>12</v>
      </c>
      <c r="I133" s="16" t="s">
        <v>3788</v>
      </c>
      <c r="J133" s="16" t="s">
        <v>36</v>
      </c>
      <c r="K133" s="16" t="s">
        <v>214</v>
      </c>
      <c r="L133" s="154">
        <v>44848.0</v>
      </c>
      <c r="M133" s="16">
        <f t="shared" si="1"/>
        <v>4</v>
      </c>
      <c r="N133" s="16">
        <v>4.500000469E9</v>
      </c>
      <c r="O133" s="16" t="s">
        <v>3864</v>
      </c>
      <c r="P133" s="16" t="s">
        <v>3136</v>
      </c>
      <c r="Q133" s="152" t="s">
        <v>3865</v>
      </c>
      <c r="R133" s="17"/>
      <c r="S133" s="16" t="s">
        <v>3671</v>
      </c>
      <c r="T133" s="16" t="s">
        <v>3866</v>
      </c>
      <c r="U133" s="16" t="s">
        <v>3863</v>
      </c>
      <c r="V133" s="16" t="s">
        <v>3681</v>
      </c>
      <c r="W133" s="17"/>
      <c r="X133" s="16" t="s">
        <v>3866</v>
      </c>
      <c r="Y133" s="16" t="s">
        <v>3863</v>
      </c>
      <c r="Z133" s="16" t="s">
        <v>3681</v>
      </c>
      <c r="AA133" s="17"/>
      <c r="AB133" s="17"/>
    </row>
    <row r="134">
      <c r="A134" s="16">
        <f t="shared" si="2"/>
        <v>133</v>
      </c>
      <c r="B134" s="16" t="s">
        <v>395</v>
      </c>
      <c r="C134" s="16">
        <v>6.0019694E7</v>
      </c>
      <c r="D134" s="16" t="s">
        <v>396</v>
      </c>
      <c r="E134" s="16" t="s">
        <v>3106</v>
      </c>
      <c r="F134" s="16" t="s">
        <v>10</v>
      </c>
      <c r="G134" s="16" t="s">
        <v>3787</v>
      </c>
      <c r="H134" s="16" t="s">
        <v>12</v>
      </c>
      <c r="I134" s="16" t="s">
        <v>3788</v>
      </c>
      <c r="J134" s="16" t="s">
        <v>36</v>
      </c>
      <c r="K134" s="16" t="s">
        <v>214</v>
      </c>
      <c r="L134" s="154">
        <v>44848.0</v>
      </c>
      <c r="M134" s="16">
        <f t="shared" si="1"/>
        <v>4</v>
      </c>
      <c r="N134" s="16">
        <v>4.500000469E9</v>
      </c>
      <c r="O134" s="17"/>
      <c r="P134" s="16" t="s">
        <v>3136</v>
      </c>
      <c r="Q134" s="152" t="s">
        <v>3867</v>
      </c>
      <c r="R134" s="17"/>
      <c r="S134" s="16" t="s">
        <v>3671</v>
      </c>
      <c r="T134" s="17"/>
      <c r="U134" s="16" t="s">
        <v>3863</v>
      </c>
      <c r="V134" s="16" t="s">
        <v>3681</v>
      </c>
      <c r="W134" s="17"/>
      <c r="X134" s="17"/>
      <c r="Y134" s="16" t="s">
        <v>3863</v>
      </c>
      <c r="Z134" s="16" t="s">
        <v>3681</v>
      </c>
      <c r="AA134" s="17"/>
      <c r="AB134" s="17"/>
    </row>
    <row r="135">
      <c r="A135" s="16">
        <f t="shared" si="2"/>
        <v>134</v>
      </c>
      <c r="B135" s="16" t="s">
        <v>397</v>
      </c>
      <c r="C135" s="16">
        <v>6.0019697E7</v>
      </c>
      <c r="D135" s="16" t="s">
        <v>398</v>
      </c>
      <c r="E135" s="16" t="s">
        <v>3106</v>
      </c>
      <c r="F135" s="16" t="s">
        <v>10</v>
      </c>
      <c r="G135" s="16" t="s">
        <v>3787</v>
      </c>
      <c r="H135" s="16" t="s">
        <v>12</v>
      </c>
      <c r="I135" s="16" t="s">
        <v>3788</v>
      </c>
      <c r="J135" s="16" t="s">
        <v>36</v>
      </c>
      <c r="K135" s="16" t="s">
        <v>214</v>
      </c>
      <c r="L135" s="154">
        <v>44848.0</v>
      </c>
      <c r="M135" s="16">
        <f t="shared" si="1"/>
        <v>4</v>
      </c>
      <c r="N135" s="16">
        <v>4.500000469E9</v>
      </c>
      <c r="O135" s="16" t="s">
        <v>3868</v>
      </c>
      <c r="P135" s="16" t="s">
        <v>3136</v>
      </c>
      <c r="Q135" s="152" t="s">
        <v>3869</v>
      </c>
      <c r="R135" s="123">
        <v>46001.0</v>
      </c>
      <c r="S135" s="16" t="s">
        <v>3671</v>
      </c>
      <c r="T135" s="16" t="s">
        <v>3870</v>
      </c>
      <c r="U135" s="16" t="s">
        <v>3863</v>
      </c>
      <c r="V135" s="16" t="s">
        <v>3681</v>
      </c>
      <c r="W135" s="17"/>
      <c r="X135" s="16" t="s">
        <v>3870</v>
      </c>
      <c r="Y135" s="16" t="s">
        <v>3863</v>
      </c>
      <c r="Z135" s="16" t="s">
        <v>3681</v>
      </c>
      <c r="AA135" s="17"/>
      <c r="AB135" s="17"/>
    </row>
    <row r="136">
      <c r="A136" s="16">
        <f t="shared" si="2"/>
        <v>135</v>
      </c>
      <c r="B136" s="16" t="s">
        <v>399</v>
      </c>
      <c r="C136" s="16">
        <v>6.0019691E7</v>
      </c>
      <c r="D136" s="16" t="s">
        <v>400</v>
      </c>
      <c r="E136" s="16" t="s">
        <v>3106</v>
      </c>
      <c r="F136" s="16" t="s">
        <v>10</v>
      </c>
      <c r="G136" s="16" t="s">
        <v>3787</v>
      </c>
      <c r="H136" s="16" t="s">
        <v>12</v>
      </c>
      <c r="I136" s="16" t="s">
        <v>3788</v>
      </c>
      <c r="J136" s="16" t="s">
        <v>36</v>
      </c>
      <c r="K136" s="16" t="s">
        <v>214</v>
      </c>
      <c r="L136" s="154">
        <v>44848.0</v>
      </c>
      <c r="M136" s="16">
        <f t="shared" si="1"/>
        <v>4</v>
      </c>
      <c r="N136" s="16">
        <v>4.500000469E9</v>
      </c>
      <c r="O136" s="16" t="s">
        <v>3871</v>
      </c>
      <c r="P136" s="16" t="s">
        <v>3136</v>
      </c>
      <c r="Q136" s="152" t="s">
        <v>3872</v>
      </c>
      <c r="R136" s="115">
        <v>45630.0</v>
      </c>
      <c r="S136" s="16" t="s">
        <v>3673</v>
      </c>
      <c r="T136" s="16" t="s">
        <v>3873</v>
      </c>
      <c r="U136" s="16" t="s">
        <v>3863</v>
      </c>
      <c r="V136" s="16" t="s">
        <v>3681</v>
      </c>
      <c r="W136" s="17"/>
      <c r="X136" s="16" t="s">
        <v>3873</v>
      </c>
      <c r="Y136" s="16" t="s">
        <v>3863</v>
      </c>
      <c r="Z136" s="16" t="s">
        <v>3681</v>
      </c>
      <c r="AA136" s="17"/>
      <c r="AB136" s="17"/>
    </row>
    <row r="137">
      <c r="A137" s="16">
        <f t="shared" si="2"/>
        <v>136</v>
      </c>
      <c r="B137" s="16" t="s">
        <v>401</v>
      </c>
      <c r="C137" s="16" t="s">
        <v>402</v>
      </c>
      <c r="D137" s="16" t="s">
        <v>403</v>
      </c>
      <c r="E137" s="16" t="s">
        <v>3106</v>
      </c>
      <c r="F137" s="16" t="s">
        <v>10</v>
      </c>
      <c r="G137" s="16" t="s">
        <v>3678</v>
      </c>
      <c r="H137" s="16" t="s">
        <v>12</v>
      </c>
      <c r="I137" s="17"/>
      <c r="J137" s="16" t="s">
        <v>36</v>
      </c>
      <c r="K137" s="16" t="s">
        <v>35</v>
      </c>
      <c r="L137" s="154">
        <v>43691.0</v>
      </c>
      <c r="M137" s="16">
        <f t="shared" si="1"/>
        <v>7</v>
      </c>
      <c r="N137" s="17"/>
      <c r="O137" s="16" t="s">
        <v>3874</v>
      </c>
      <c r="P137" s="16" t="s">
        <v>3136</v>
      </c>
      <c r="Q137" s="152" t="s">
        <v>3875</v>
      </c>
      <c r="R137" s="17"/>
      <c r="S137" s="16" t="s">
        <v>3673</v>
      </c>
      <c r="T137" s="16" t="s">
        <v>3876</v>
      </c>
      <c r="U137" s="16" t="s">
        <v>3863</v>
      </c>
      <c r="V137" s="16" t="s">
        <v>3681</v>
      </c>
      <c r="W137" s="17"/>
      <c r="X137" s="16" t="s">
        <v>3876</v>
      </c>
      <c r="Y137" s="16" t="s">
        <v>3863</v>
      </c>
      <c r="Z137" s="16" t="s">
        <v>3681</v>
      </c>
      <c r="AA137" s="17"/>
      <c r="AB137" s="17"/>
    </row>
    <row r="138">
      <c r="A138" s="16">
        <f t="shared" si="2"/>
        <v>137</v>
      </c>
      <c r="B138" s="16" t="s">
        <v>404</v>
      </c>
      <c r="C138" s="16">
        <v>6.0019693E7</v>
      </c>
      <c r="D138" s="16" t="s">
        <v>405</v>
      </c>
      <c r="E138" s="16" t="s">
        <v>3106</v>
      </c>
      <c r="F138" s="16" t="s">
        <v>10</v>
      </c>
      <c r="G138" s="16" t="s">
        <v>3787</v>
      </c>
      <c r="H138" s="16" t="s">
        <v>12</v>
      </c>
      <c r="I138" s="16" t="s">
        <v>3788</v>
      </c>
      <c r="J138" s="16" t="s">
        <v>36</v>
      </c>
      <c r="K138" s="16" t="s">
        <v>214</v>
      </c>
      <c r="L138" s="154">
        <v>44848.0</v>
      </c>
      <c r="M138" s="16">
        <f t="shared" si="1"/>
        <v>4</v>
      </c>
      <c r="N138" s="16">
        <v>4.500000469E9</v>
      </c>
      <c r="O138" s="16" t="s">
        <v>3877</v>
      </c>
      <c r="P138" s="16" t="s">
        <v>3136</v>
      </c>
      <c r="Q138" s="152" t="s">
        <v>3878</v>
      </c>
      <c r="R138" s="17"/>
      <c r="S138" s="16" t="s">
        <v>3673</v>
      </c>
      <c r="T138" s="16" t="s">
        <v>3879</v>
      </c>
      <c r="U138" s="16" t="s">
        <v>3863</v>
      </c>
      <c r="V138" s="16" t="s">
        <v>3681</v>
      </c>
      <c r="W138" s="17"/>
      <c r="X138" s="16" t="s">
        <v>3879</v>
      </c>
      <c r="Y138" s="16" t="s">
        <v>3863</v>
      </c>
      <c r="Z138" s="16" t="s">
        <v>3681</v>
      </c>
      <c r="AA138" s="17"/>
      <c r="AB138" s="17"/>
    </row>
    <row r="139">
      <c r="A139" s="16">
        <f t="shared" si="2"/>
        <v>138</v>
      </c>
      <c r="B139" s="16" t="s">
        <v>406</v>
      </c>
      <c r="C139" s="16">
        <v>6.0019692E7</v>
      </c>
      <c r="D139" s="16" t="s">
        <v>407</v>
      </c>
      <c r="E139" s="16" t="s">
        <v>3106</v>
      </c>
      <c r="F139" s="16" t="s">
        <v>10</v>
      </c>
      <c r="G139" s="16" t="s">
        <v>3787</v>
      </c>
      <c r="H139" s="16" t="s">
        <v>12</v>
      </c>
      <c r="I139" s="16" t="s">
        <v>3788</v>
      </c>
      <c r="J139" s="16" t="s">
        <v>36</v>
      </c>
      <c r="K139" s="16" t="s">
        <v>214</v>
      </c>
      <c r="L139" s="154">
        <v>44848.0</v>
      </c>
      <c r="M139" s="16">
        <f t="shared" si="1"/>
        <v>4</v>
      </c>
      <c r="N139" s="16">
        <v>4.500000469E9</v>
      </c>
      <c r="O139" s="16" t="s">
        <v>3880</v>
      </c>
      <c r="P139" s="16" t="s">
        <v>3136</v>
      </c>
      <c r="Q139" s="152" t="s">
        <v>3881</v>
      </c>
      <c r="R139" s="17"/>
      <c r="S139" s="16" t="s">
        <v>3673</v>
      </c>
      <c r="T139" s="16" t="s">
        <v>3882</v>
      </c>
      <c r="U139" s="16" t="s">
        <v>3863</v>
      </c>
      <c r="V139" s="16" t="s">
        <v>3681</v>
      </c>
      <c r="W139" s="17"/>
      <c r="X139" s="16" t="s">
        <v>3882</v>
      </c>
      <c r="Y139" s="16" t="s">
        <v>3863</v>
      </c>
      <c r="Z139" s="16" t="s">
        <v>3681</v>
      </c>
      <c r="AA139" s="17"/>
      <c r="AB139" s="17"/>
    </row>
    <row r="140">
      <c r="A140" s="16">
        <f t="shared" si="2"/>
        <v>139</v>
      </c>
      <c r="B140" s="16" t="s">
        <v>408</v>
      </c>
      <c r="C140" s="16" t="s">
        <v>409</v>
      </c>
      <c r="D140" s="16" t="s">
        <v>410</v>
      </c>
      <c r="E140" s="16" t="s">
        <v>3106</v>
      </c>
      <c r="F140" s="16" t="s">
        <v>10</v>
      </c>
      <c r="G140" s="16" t="s">
        <v>3748</v>
      </c>
      <c r="H140" s="16" t="s">
        <v>12</v>
      </c>
      <c r="I140" s="17"/>
      <c r="J140" s="16" t="s">
        <v>36</v>
      </c>
      <c r="K140" s="16" t="s">
        <v>131</v>
      </c>
      <c r="L140" s="154">
        <v>43691.0</v>
      </c>
      <c r="M140" s="16">
        <f t="shared" si="1"/>
        <v>7</v>
      </c>
      <c r="N140" s="17"/>
      <c r="O140" s="16" t="s">
        <v>3883</v>
      </c>
      <c r="P140" s="16" t="s">
        <v>3136</v>
      </c>
      <c r="Q140" s="152" t="s">
        <v>3884</v>
      </c>
      <c r="R140" s="17"/>
      <c r="S140" s="16" t="s">
        <v>3671</v>
      </c>
      <c r="T140" s="17"/>
      <c r="U140" s="16" t="s">
        <v>3863</v>
      </c>
      <c r="V140" s="16" t="s">
        <v>3681</v>
      </c>
      <c r="W140" s="17"/>
      <c r="X140" s="17"/>
      <c r="Y140" s="16" t="s">
        <v>3863</v>
      </c>
      <c r="Z140" s="16" t="s">
        <v>3681</v>
      </c>
      <c r="AA140" s="17"/>
      <c r="AB140" s="17"/>
    </row>
    <row r="141">
      <c r="A141" s="16">
        <f t="shared" si="2"/>
        <v>140</v>
      </c>
      <c r="B141" s="16" t="s">
        <v>411</v>
      </c>
      <c r="C141" s="16">
        <v>6.0019698E7</v>
      </c>
      <c r="D141" s="16" t="s">
        <v>412</v>
      </c>
      <c r="E141" s="16" t="s">
        <v>3106</v>
      </c>
      <c r="F141" s="16" t="s">
        <v>10</v>
      </c>
      <c r="G141" s="16" t="s">
        <v>3787</v>
      </c>
      <c r="H141" s="16" t="s">
        <v>12</v>
      </c>
      <c r="I141" s="16" t="s">
        <v>3788</v>
      </c>
      <c r="J141" s="16" t="s">
        <v>36</v>
      </c>
      <c r="K141" s="16" t="s">
        <v>214</v>
      </c>
      <c r="L141" s="154">
        <v>44848.0</v>
      </c>
      <c r="M141" s="16">
        <f t="shared" si="1"/>
        <v>4</v>
      </c>
      <c r="N141" s="16">
        <v>4.500000469E9</v>
      </c>
      <c r="O141" s="16" t="s">
        <v>3885</v>
      </c>
      <c r="P141" s="16" t="s">
        <v>3136</v>
      </c>
      <c r="Q141" s="152" t="s">
        <v>3886</v>
      </c>
      <c r="R141" s="17"/>
      <c r="S141" s="16" t="s">
        <v>3673</v>
      </c>
      <c r="T141" s="16" t="s">
        <v>3887</v>
      </c>
      <c r="U141" s="16" t="s">
        <v>3863</v>
      </c>
      <c r="V141" s="16" t="s">
        <v>3681</v>
      </c>
      <c r="W141" s="17"/>
      <c r="X141" s="16" t="s">
        <v>3887</v>
      </c>
      <c r="Y141" s="16" t="s">
        <v>3863</v>
      </c>
      <c r="Z141" s="16" t="s">
        <v>3681</v>
      </c>
      <c r="AA141" s="17"/>
      <c r="AB141" s="17"/>
    </row>
    <row r="142">
      <c r="A142" s="16">
        <f t="shared" si="2"/>
        <v>141</v>
      </c>
      <c r="B142" s="16" t="s">
        <v>413</v>
      </c>
      <c r="C142" s="16" t="s">
        <v>414</v>
      </c>
      <c r="D142" s="16" t="s">
        <v>415</v>
      </c>
      <c r="E142" s="16" t="s">
        <v>3106</v>
      </c>
      <c r="F142" s="16" t="s">
        <v>10</v>
      </c>
      <c r="G142" s="16" t="s">
        <v>3678</v>
      </c>
      <c r="H142" s="16" t="s">
        <v>12</v>
      </c>
      <c r="I142" s="17"/>
      <c r="J142" s="16" t="s">
        <v>36</v>
      </c>
      <c r="K142" s="16" t="s">
        <v>35</v>
      </c>
      <c r="L142" s="154">
        <v>43567.0</v>
      </c>
      <c r="M142" s="16">
        <f t="shared" si="1"/>
        <v>7</v>
      </c>
      <c r="N142" s="17"/>
      <c r="O142" s="16" t="s">
        <v>2557</v>
      </c>
      <c r="P142" s="16" t="s">
        <v>3136</v>
      </c>
      <c r="Q142" s="152" t="s">
        <v>3888</v>
      </c>
      <c r="R142" s="17"/>
      <c r="S142" s="16" t="s">
        <v>3673</v>
      </c>
      <c r="T142" s="16" t="s">
        <v>3889</v>
      </c>
      <c r="U142" s="16" t="s">
        <v>3175</v>
      </c>
      <c r="V142" s="16" t="s">
        <v>3681</v>
      </c>
      <c r="W142" s="17"/>
      <c r="X142" s="16" t="s">
        <v>3889</v>
      </c>
      <c r="Y142" s="16" t="s">
        <v>3175</v>
      </c>
      <c r="Z142" s="16" t="s">
        <v>3681</v>
      </c>
      <c r="AA142" s="17"/>
      <c r="AB142" s="17"/>
    </row>
    <row r="143">
      <c r="A143" s="16">
        <f t="shared" si="2"/>
        <v>142</v>
      </c>
      <c r="B143" s="16" t="s">
        <v>416</v>
      </c>
      <c r="C143" s="16" t="s">
        <v>417</v>
      </c>
      <c r="D143" s="16" t="s">
        <v>418</v>
      </c>
      <c r="E143" s="16" t="s">
        <v>3106</v>
      </c>
      <c r="F143" s="16" t="s">
        <v>10</v>
      </c>
      <c r="G143" s="16" t="s">
        <v>3748</v>
      </c>
      <c r="H143" s="16" t="s">
        <v>12</v>
      </c>
      <c r="I143" s="17"/>
      <c r="J143" s="16" t="s">
        <v>36</v>
      </c>
      <c r="K143" s="16" t="s">
        <v>131</v>
      </c>
      <c r="L143" s="154">
        <v>42811.0</v>
      </c>
      <c r="M143" s="16">
        <f t="shared" si="1"/>
        <v>9</v>
      </c>
      <c r="N143" s="17"/>
      <c r="O143" s="16" t="s">
        <v>3858</v>
      </c>
      <c r="P143" s="16" t="s">
        <v>3136</v>
      </c>
      <c r="Q143" s="152" t="s">
        <v>3890</v>
      </c>
      <c r="R143" s="115">
        <v>45330.0</v>
      </c>
      <c r="S143" s="16" t="s">
        <v>3671</v>
      </c>
      <c r="T143" s="17"/>
      <c r="U143" s="16" t="s">
        <v>3180</v>
      </c>
      <c r="V143" s="16" t="s">
        <v>3681</v>
      </c>
      <c r="W143" s="17"/>
      <c r="X143" s="17"/>
      <c r="Y143" s="16" t="s">
        <v>3180</v>
      </c>
      <c r="Z143" s="16" t="s">
        <v>3681</v>
      </c>
      <c r="AA143" s="17"/>
      <c r="AB143" s="17"/>
    </row>
    <row r="144">
      <c r="A144" s="16">
        <f t="shared" si="2"/>
        <v>143</v>
      </c>
      <c r="B144" s="16" t="s">
        <v>419</v>
      </c>
      <c r="C144" s="16" t="s">
        <v>420</v>
      </c>
      <c r="D144" s="16" t="s">
        <v>421</v>
      </c>
      <c r="E144" s="16" t="s">
        <v>3106</v>
      </c>
      <c r="F144" s="16" t="s">
        <v>10</v>
      </c>
      <c r="G144" s="16" t="s">
        <v>3748</v>
      </c>
      <c r="H144" s="16" t="s">
        <v>12</v>
      </c>
      <c r="I144" s="17"/>
      <c r="J144" s="16" t="s">
        <v>36</v>
      </c>
      <c r="K144" s="16" t="s">
        <v>131</v>
      </c>
      <c r="L144" s="154">
        <v>43361.0</v>
      </c>
      <c r="M144" s="16">
        <f t="shared" si="1"/>
        <v>8</v>
      </c>
      <c r="N144" s="17"/>
      <c r="O144" s="16" t="s">
        <v>3891</v>
      </c>
      <c r="P144" s="16" t="s">
        <v>3136</v>
      </c>
      <c r="Q144" s="152" t="s">
        <v>3892</v>
      </c>
      <c r="R144" s="16" t="s">
        <v>3495</v>
      </c>
      <c r="S144" s="16" t="s">
        <v>3671</v>
      </c>
      <c r="T144" s="17"/>
      <c r="U144" s="16" t="s">
        <v>3180</v>
      </c>
      <c r="V144" s="16" t="s">
        <v>3681</v>
      </c>
      <c r="W144" s="17"/>
      <c r="X144" s="17"/>
      <c r="Y144" s="16" t="s">
        <v>3180</v>
      </c>
      <c r="Z144" s="16" t="s">
        <v>3681</v>
      </c>
      <c r="AA144" s="17"/>
      <c r="AB144" s="17"/>
    </row>
    <row r="145">
      <c r="A145" s="16">
        <f t="shared" si="2"/>
        <v>144</v>
      </c>
      <c r="B145" s="16" t="s">
        <v>422</v>
      </c>
      <c r="C145" s="16" t="s">
        <v>423</v>
      </c>
      <c r="D145" s="16" t="s">
        <v>424</v>
      </c>
      <c r="E145" s="16" t="s">
        <v>3106</v>
      </c>
      <c r="F145" s="16" t="s">
        <v>10</v>
      </c>
      <c r="G145" s="16" t="s">
        <v>3678</v>
      </c>
      <c r="H145" s="16" t="s">
        <v>12</v>
      </c>
      <c r="I145" s="17"/>
      <c r="J145" s="16" t="s">
        <v>36</v>
      </c>
      <c r="K145" s="16" t="s">
        <v>35</v>
      </c>
      <c r="L145" s="154">
        <v>43499.0</v>
      </c>
      <c r="M145" s="16">
        <f t="shared" si="1"/>
        <v>7</v>
      </c>
      <c r="N145" s="17"/>
      <c r="O145" s="16" t="s">
        <v>3893</v>
      </c>
      <c r="P145" s="16" t="s">
        <v>3136</v>
      </c>
      <c r="Q145" s="152" t="s">
        <v>3894</v>
      </c>
      <c r="R145" s="16" t="s">
        <v>3495</v>
      </c>
      <c r="S145" s="16" t="s">
        <v>3671</v>
      </c>
      <c r="T145" s="17"/>
      <c r="U145" s="16" t="s">
        <v>3180</v>
      </c>
      <c r="V145" s="16" t="s">
        <v>3681</v>
      </c>
      <c r="W145" s="17"/>
      <c r="X145" s="17"/>
      <c r="Y145" s="16" t="s">
        <v>3180</v>
      </c>
      <c r="Z145" s="16" t="s">
        <v>3681</v>
      </c>
      <c r="AA145" s="17"/>
      <c r="AB145" s="17"/>
    </row>
    <row r="146">
      <c r="A146" s="16">
        <f t="shared" si="2"/>
        <v>145</v>
      </c>
      <c r="B146" s="16" t="s">
        <v>425</v>
      </c>
      <c r="C146" s="16" t="s">
        <v>426</v>
      </c>
      <c r="D146" s="16" t="s">
        <v>427</v>
      </c>
      <c r="E146" s="16" t="s">
        <v>3106</v>
      </c>
      <c r="F146" s="16" t="s">
        <v>10</v>
      </c>
      <c r="G146" s="16" t="s">
        <v>3678</v>
      </c>
      <c r="H146" s="16" t="s">
        <v>12</v>
      </c>
      <c r="I146" s="17"/>
      <c r="J146" s="16" t="s">
        <v>36</v>
      </c>
      <c r="K146" s="16" t="s">
        <v>35</v>
      </c>
      <c r="L146" s="154">
        <v>43153.0</v>
      </c>
      <c r="M146" s="16">
        <f t="shared" si="1"/>
        <v>8</v>
      </c>
      <c r="N146" s="17"/>
      <c r="O146" s="16" t="s">
        <v>3895</v>
      </c>
      <c r="P146" s="16" t="s">
        <v>3136</v>
      </c>
      <c r="Q146" s="152" t="s">
        <v>3896</v>
      </c>
      <c r="R146" s="115">
        <v>45330.0</v>
      </c>
      <c r="S146" s="16" t="s">
        <v>3671</v>
      </c>
      <c r="T146" s="17"/>
      <c r="U146" s="16" t="s">
        <v>3180</v>
      </c>
      <c r="V146" s="16" t="s">
        <v>3681</v>
      </c>
      <c r="W146" s="17"/>
      <c r="X146" s="17"/>
      <c r="Y146" s="16" t="s">
        <v>3180</v>
      </c>
      <c r="Z146" s="16" t="s">
        <v>3681</v>
      </c>
      <c r="AA146" s="17"/>
      <c r="AB146" s="17"/>
    </row>
    <row r="147">
      <c r="A147" s="16">
        <f t="shared" si="2"/>
        <v>146</v>
      </c>
      <c r="B147" s="16" t="s">
        <v>428</v>
      </c>
      <c r="C147" s="16">
        <v>6.0019704E7</v>
      </c>
      <c r="D147" s="16" t="s">
        <v>429</v>
      </c>
      <c r="E147" s="16" t="s">
        <v>3106</v>
      </c>
      <c r="F147" s="16" t="s">
        <v>10</v>
      </c>
      <c r="G147" s="16" t="s">
        <v>3787</v>
      </c>
      <c r="H147" s="16" t="s">
        <v>12</v>
      </c>
      <c r="I147" s="16" t="s">
        <v>3788</v>
      </c>
      <c r="J147" s="16" t="s">
        <v>36</v>
      </c>
      <c r="K147" s="16" t="s">
        <v>214</v>
      </c>
      <c r="L147" s="154">
        <v>44848.0</v>
      </c>
      <c r="M147" s="16">
        <f t="shared" si="1"/>
        <v>4</v>
      </c>
      <c r="N147" s="16">
        <v>4.500000469E9</v>
      </c>
      <c r="O147" s="17"/>
      <c r="P147" s="16" t="s">
        <v>3136</v>
      </c>
      <c r="Q147" s="152" t="s">
        <v>3897</v>
      </c>
      <c r="R147" s="17"/>
      <c r="S147" s="16" t="s">
        <v>3671</v>
      </c>
      <c r="T147" s="17"/>
      <c r="U147" s="16" t="s">
        <v>3186</v>
      </c>
      <c r="V147" s="16" t="s">
        <v>3681</v>
      </c>
      <c r="W147" s="17"/>
      <c r="X147" s="17"/>
      <c r="Y147" s="16" t="s">
        <v>3186</v>
      </c>
      <c r="Z147" s="16" t="s">
        <v>3681</v>
      </c>
      <c r="AA147" s="17"/>
      <c r="AB147" s="17"/>
    </row>
    <row r="148">
      <c r="A148" s="16">
        <f t="shared" si="2"/>
        <v>147</v>
      </c>
      <c r="B148" s="16" t="s">
        <v>430</v>
      </c>
      <c r="C148" s="16">
        <v>6.00197E7</v>
      </c>
      <c r="D148" s="16" t="s">
        <v>431</v>
      </c>
      <c r="E148" s="16" t="s">
        <v>3106</v>
      </c>
      <c r="F148" s="16" t="s">
        <v>10</v>
      </c>
      <c r="G148" s="16" t="s">
        <v>3787</v>
      </c>
      <c r="H148" s="16" t="s">
        <v>12</v>
      </c>
      <c r="I148" s="16" t="s">
        <v>3788</v>
      </c>
      <c r="J148" s="16" t="s">
        <v>36</v>
      </c>
      <c r="K148" s="16" t="s">
        <v>214</v>
      </c>
      <c r="L148" s="154">
        <v>44848.0</v>
      </c>
      <c r="M148" s="16">
        <f t="shared" si="1"/>
        <v>4</v>
      </c>
      <c r="N148" s="16">
        <v>4.500000469E9</v>
      </c>
      <c r="O148" s="17"/>
      <c r="P148" s="16" t="s">
        <v>3136</v>
      </c>
      <c r="Q148" s="152" t="s">
        <v>3898</v>
      </c>
      <c r="R148" s="17"/>
      <c r="S148" s="16" t="s">
        <v>3671</v>
      </c>
      <c r="T148" s="17"/>
      <c r="U148" s="16" t="s">
        <v>3186</v>
      </c>
      <c r="V148" s="16" t="s">
        <v>3681</v>
      </c>
      <c r="W148" s="17"/>
      <c r="X148" s="17"/>
      <c r="Y148" s="16" t="s">
        <v>3186</v>
      </c>
      <c r="Z148" s="16" t="s">
        <v>3681</v>
      </c>
      <c r="AA148" s="17"/>
      <c r="AB148" s="17"/>
    </row>
    <row r="149">
      <c r="A149" s="16">
        <f t="shared" si="2"/>
        <v>148</v>
      </c>
      <c r="B149" s="16" t="s">
        <v>432</v>
      </c>
      <c r="C149" s="16">
        <v>6.0019701E7</v>
      </c>
      <c r="D149" s="16" t="s">
        <v>433</v>
      </c>
      <c r="E149" s="16" t="s">
        <v>3106</v>
      </c>
      <c r="F149" s="16" t="s">
        <v>10</v>
      </c>
      <c r="G149" s="16" t="s">
        <v>3787</v>
      </c>
      <c r="H149" s="16" t="s">
        <v>12</v>
      </c>
      <c r="I149" s="16" t="s">
        <v>3788</v>
      </c>
      <c r="J149" s="16" t="s">
        <v>36</v>
      </c>
      <c r="K149" s="16" t="s">
        <v>214</v>
      </c>
      <c r="L149" s="154">
        <v>44848.0</v>
      </c>
      <c r="M149" s="16">
        <f t="shared" si="1"/>
        <v>4</v>
      </c>
      <c r="N149" s="16">
        <v>4.500000469E9</v>
      </c>
      <c r="O149" s="17"/>
      <c r="P149" s="16" t="s">
        <v>3136</v>
      </c>
      <c r="Q149" s="152" t="s">
        <v>3899</v>
      </c>
      <c r="R149" s="17"/>
      <c r="S149" s="16" t="s">
        <v>3671</v>
      </c>
      <c r="T149" s="17"/>
      <c r="U149" s="16" t="s">
        <v>3186</v>
      </c>
      <c r="V149" s="16" t="s">
        <v>3681</v>
      </c>
      <c r="W149" s="17"/>
      <c r="X149" s="17"/>
      <c r="Y149" s="16" t="s">
        <v>3186</v>
      </c>
      <c r="Z149" s="16" t="s">
        <v>3681</v>
      </c>
      <c r="AA149" s="17"/>
      <c r="AB149" s="17"/>
    </row>
    <row r="150">
      <c r="A150" s="16">
        <f t="shared" si="2"/>
        <v>149</v>
      </c>
      <c r="B150" s="16" t="s">
        <v>434</v>
      </c>
      <c r="C150" s="16">
        <v>6.0019702E7</v>
      </c>
      <c r="D150" s="16" t="s">
        <v>435</v>
      </c>
      <c r="E150" s="16" t="s">
        <v>3106</v>
      </c>
      <c r="F150" s="16" t="s">
        <v>10</v>
      </c>
      <c r="G150" s="16" t="s">
        <v>3787</v>
      </c>
      <c r="H150" s="16" t="s">
        <v>12</v>
      </c>
      <c r="I150" s="16" t="s">
        <v>3788</v>
      </c>
      <c r="J150" s="16" t="s">
        <v>36</v>
      </c>
      <c r="K150" s="16" t="s">
        <v>214</v>
      </c>
      <c r="L150" s="154">
        <v>44848.0</v>
      </c>
      <c r="M150" s="16">
        <f t="shared" si="1"/>
        <v>4</v>
      </c>
      <c r="N150" s="16">
        <v>4.500000469E9</v>
      </c>
      <c r="O150" s="17"/>
      <c r="P150" s="16" t="s">
        <v>3136</v>
      </c>
      <c r="Q150" s="152" t="s">
        <v>3900</v>
      </c>
      <c r="R150" s="17"/>
      <c r="S150" s="16" t="s">
        <v>3671</v>
      </c>
      <c r="T150" s="17"/>
      <c r="U150" s="16" t="s">
        <v>3186</v>
      </c>
      <c r="V150" s="16" t="s">
        <v>3681</v>
      </c>
      <c r="W150" s="17"/>
      <c r="X150" s="17"/>
      <c r="Y150" s="16" t="s">
        <v>3186</v>
      </c>
      <c r="Z150" s="16" t="s">
        <v>3681</v>
      </c>
      <c r="AA150" s="17"/>
      <c r="AB150" s="17"/>
    </row>
    <row r="151">
      <c r="A151" s="16">
        <f t="shared" si="2"/>
        <v>150</v>
      </c>
      <c r="B151" s="16" t="s">
        <v>436</v>
      </c>
      <c r="C151" s="16">
        <v>6.0019703E7</v>
      </c>
      <c r="D151" s="16" t="s">
        <v>437</v>
      </c>
      <c r="E151" s="16" t="s">
        <v>3106</v>
      </c>
      <c r="F151" s="16" t="s">
        <v>10</v>
      </c>
      <c r="G151" s="16" t="s">
        <v>3787</v>
      </c>
      <c r="H151" s="16" t="s">
        <v>12</v>
      </c>
      <c r="I151" s="16" t="s">
        <v>3788</v>
      </c>
      <c r="J151" s="16" t="s">
        <v>36</v>
      </c>
      <c r="K151" s="16" t="s">
        <v>214</v>
      </c>
      <c r="L151" s="154">
        <v>44848.0</v>
      </c>
      <c r="M151" s="16">
        <f t="shared" si="1"/>
        <v>4</v>
      </c>
      <c r="N151" s="16">
        <v>4.500000469E9</v>
      </c>
      <c r="O151" s="17"/>
      <c r="P151" s="16" t="s">
        <v>3136</v>
      </c>
      <c r="Q151" s="152" t="s">
        <v>3901</v>
      </c>
      <c r="R151" s="17"/>
      <c r="S151" s="16" t="s">
        <v>3673</v>
      </c>
      <c r="T151" s="16" t="s">
        <v>3902</v>
      </c>
      <c r="U151" s="16" t="s">
        <v>3186</v>
      </c>
      <c r="V151" s="16" t="s">
        <v>3681</v>
      </c>
      <c r="W151" s="17"/>
      <c r="X151" s="16" t="s">
        <v>3902</v>
      </c>
      <c r="Y151" s="16" t="s">
        <v>3186</v>
      </c>
      <c r="Z151" s="16" t="s">
        <v>3681</v>
      </c>
      <c r="AA151" s="17"/>
      <c r="AB151" s="17"/>
    </row>
    <row r="152">
      <c r="A152" s="16">
        <f t="shared" si="2"/>
        <v>151</v>
      </c>
      <c r="B152" s="16" t="s">
        <v>438</v>
      </c>
      <c r="C152" s="16" t="s">
        <v>439</v>
      </c>
      <c r="D152" s="16" t="s">
        <v>440</v>
      </c>
      <c r="E152" s="16" t="s">
        <v>3106</v>
      </c>
      <c r="F152" s="16" t="s">
        <v>10</v>
      </c>
      <c r="G152" s="16" t="s">
        <v>3715</v>
      </c>
      <c r="H152" s="16" t="s">
        <v>12</v>
      </c>
      <c r="I152" s="17"/>
      <c r="J152" s="16" t="s">
        <v>13</v>
      </c>
      <c r="K152" s="16" t="s">
        <v>93</v>
      </c>
      <c r="L152" s="154">
        <v>44103.0</v>
      </c>
      <c r="M152" s="16">
        <f t="shared" si="1"/>
        <v>6</v>
      </c>
      <c r="N152" s="17"/>
      <c r="O152" s="16" t="s">
        <v>3903</v>
      </c>
      <c r="P152" s="16" t="s">
        <v>3136</v>
      </c>
      <c r="Q152" s="152" t="s">
        <v>3904</v>
      </c>
      <c r="R152" s="122">
        <v>45962.0</v>
      </c>
      <c r="S152" s="16" t="s">
        <v>3671</v>
      </c>
      <c r="T152" s="17"/>
      <c r="U152" s="16" t="s">
        <v>3283</v>
      </c>
      <c r="V152" s="16" t="s">
        <v>3672</v>
      </c>
      <c r="W152" s="17"/>
      <c r="X152" s="17"/>
      <c r="Y152" s="16" t="s">
        <v>3283</v>
      </c>
      <c r="Z152" s="16" t="s">
        <v>3672</v>
      </c>
      <c r="AA152" s="17"/>
      <c r="AB152" s="17"/>
    </row>
    <row r="153">
      <c r="A153" s="16">
        <f t="shared" si="2"/>
        <v>152</v>
      </c>
      <c r="B153" s="16" t="s">
        <v>441</v>
      </c>
      <c r="C153" s="16" t="s">
        <v>442</v>
      </c>
      <c r="D153" s="16" t="s">
        <v>443</v>
      </c>
      <c r="E153" s="16" t="s">
        <v>3106</v>
      </c>
      <c r="F153" s="16" t="s">
        <v>10</v>
      </c>
      <c r="G153" s="16" t="s">
        <v>3905</v>
      </c>
      <c r="H153" s="16" t="s">
        <v>12</v>
      </c>
      <c r="I153" s="17"/>
      <c r="J153" s="16" t="s">
        <v>13</v>
      </c>
      <c r="K153" s="16" t="s">
        <v>444</v>
      </c>
      <c r="L153" s="154">
        <v>44021.0</v>
      </c>
      <c r="M153" s="16">
        <f t="shared" si="1"/>
        <v>6</v>
      </c>
      <c r="N153" s="17"/>
      <c r="O153" s="16" t="s">
        <v>3906</v>
      </c>
      <c r="P153" s="16" t="s">
        <v>3136</v>
      </c>
      <c r="Q153" s="152" t="s">
        <v>3907</v>
      </c>
      <c r="R153" s="122">
        <v>45962.0</v>
      </c>
      <c r="S153" s="16" t="s">
        <v>3671</v>
      </c>
      <c r="T153" s="17"/>
      <c r="U153" s="16" t="s">
        <v>3283</v>
      </c>
      <c r="V153" s="16" t="s">
        <v>3672</v>
      </c>
      <c r="W153" s="17"/>
      <c r="X153" s="17"/>
      <c r="Y153" s="16" t="s">
        <v>3283</v>
      </c>
      <c r="Z153" s="16" t="s">
        <v>3672</v>
      </c>
      <c r="AA153" s="17"/>
      <c r="AB153" s="17"/>
    </row>
    <row r="154">
      <c r="A154" s="16">
        <f t="shared" si="2"/>
        <v>153</v>
      </c>
      <c r="B154" s="16" t="s">
        <v>445</v>
      </c>
      <c r="C154" s="16" t="s">
        <v>446</v>
      </c>
      <c r="D154" s="16" t="s">
        <v>447</v>
      </c>
      <c r="E154" s="16" t="s">
        <v>3106</v>
      </c>
      <c r="F154" s="16" t="s">
        <v>10</v>
      </c>
      <c r="G154" s="16" t="s">
        <v>3905</v>
      </c>
      <c r="H154" s="16" t="s">
        <v>12</v>
      </c>
      <c r="I154" s="17"/>
      <c r="J154" s="16" t="s">
        <v>13</v>
      </c>
      <c r="K154" s="16" t="s">
        <v>444</v>
      </c>
      <c r="L154" s="154">
        <v>44021.0</v>
      </c>
      <c r="M154" s="16">
        <f t="shared" si="1"/>
        <v>6</v>
      </c>
      <c r="N154" s="17"/>
      <c r="O154" s="16" t="s">
        <v>3908</v>
      </c>
      <c r="P154" s="16" t="s">
        <v>3136</v>
      </c>
      <c r="Q154" s="152" t="s">
        <v>3909</v>
      </c>
      <c r="R154" s="17"/>
      <c r="S154" s="16" t="s">
        <v>3671</v>
      </c>
      <c r="T154" s="17"/>
      <c r="U154" s="16" t="s">
        <v>3283</v>
      </c>
      <c r="V154" s="16" t="s">
        <v>3672</v>
      </c>
      <c r="W154" s="17"/>
      <c r="X154" s="17"/>
      <c r="Y154" s="16" t="s">
        <v>3283</v>
      </c>
      <c r="Z154" s="16" t="s">
        <v>3672</v>
      </c>
      <c r="AA154" s="17"/>
      <c r="AB154" s="17"/>
    </row>
    <row r="155">
      <c r="A155" s="16">
        <f t="shared" si="2"/>
        <v>154</v>
      </c>
      <c r="B155" s="16" t="s">
        <v>448</v>
      </c>
      <c r="C155" s="16" t="s">
        <v>449</v>
      </c>
      <c r="D155" s="16" t="s">
        <v>450</v>
      </c>
      <c r="E155" s="16" t="s">
        <v>3106</v>
      </c>
      <c r="F155" s="16" t="s">
        <v>10</v>
      </c>
      <c r="G155" s="16" t="s">
        <v>3669</v>
      </c>
      <c r="H155" s="16" t="s">
        <v>12</v>
      </c>
      <c r="I155" s="17"/>
      <c r="J155" s="16" t="s">
        <v>13</v>
      </c>
      <c r="K155" s="16" t="s">
        <v>11</v>
      </c>
      <c r="L155" s="154">
        <v>44182.0</v>
      </c>
      <c r="M155" s="16">
        <f t="shared" si="1"/>
        <v>6</v>
      </c>
      <c r="N155" s="16">
        <v>5.0003664E7</v>
      </c>
      <c r="O155" s="16" t="s">
        <v>3910</v>
      </c>
      <c r="P155" s="16" t="s">
        <v>3136</v>
      </c>
      <c r="Q155" s="152" t="s">
        <v>3911</v>
      </c>
      <c r="R155" s="17"/>
      <c r="S155" s="16" t="s">
        <v>3671</v>
      </c>
      <c r="T155" s="17"/>
      <c r="U155" s="16" t="s">
        <v>3283</v>
      </c>
      <c r="V155" s="16" t="s">
        <v>3672</v>
      </c>
      <c r="W155" s="17"/>
      <c r="X155" s="17"/>
      <c r="Y155" s="16" t="s">
        <v>3283</v>
      </c>
      <c r="Z155" s="16" t="s">
        <v>3672</v>
      </c>
      <c r="AA155" s="17"/>
      <c r="AB155" s="17"/>
    </row>
    <row r="156">
      <c r="A156" s="16">
        <f t="shared" si="2"/>
        <v>155</v>
      </c>
      <c r="B156" s="16" t="s">
        <v>451</v>
      </c>
      <c r="C156" s="16" t="s">
        <v>452</v>
      </c>
      <c r="D156" s="16" t="s">
        <v>453</v>
      </c>
      <c r="E156" s="16" t="s">
        <v>3106</v>
      </c>
      <c r="F156" s="16" t="s">
        <v>10</v>
      </c>
      <c r="G156" s="16" t="s">
        <v>3905</v>
      </c>
      <c r="H156" s="16" t="s">
        <v>12</v>
      </c>
      <c r="I156" s="17"/>
      <c r="J156" s="16" t="s">
        <v>13</v>
      </c>
      <c r="K156" s="16" t="s">
        <v>444</v>
      </c>
      <c r="L156" s="154">
        <v>44021.0</v>
      </c>
      <c r="M156" s="16">
        <f t="shared" si="1"/>
        <v>6</v>
      </c>
      <c r="N156" s="17"/>
      <c r="O156" s="111"/>
      <c r="P156" s="16" t="s">
        <v>3136</v>
      </c>
      <c r="Q156" s="152" t="s">
        <v>3912</v>
      </c>
      <c r="R156" s="17"/>
      <c r="S156" s="16" t="s">
        <v>3671</v>
      </c>
      <c r="T156" s="17"/>
      <c r="U156" s="16" t="s">
        <v>3283</v>
      </c>
      <c r="V156" s="16" t="s">
        <v>3672</v>
      </c>
      <c r="W156" s="17"/>
      <c r="X156" s="17"/>
      <c r="Y156" s="16" t="s">
        <v>3283</v>
      </c>
      <c r="Z156" s="16" t="s">
        <v>3672</v>
      </c>
      <c r="AA156" s="17"/>
      <c r="AB156" s="17"/>
    </row>
    <row r="157">
      <c r="A157" s="16">
        <f t="shared" si="2"/>
        <v>156</v>
      </c>
      <c r="B157" s="16" t="s">
        <v>454</v>
      </c>
      <c r="C157" s="16" t="s">
        <v>455</v>
      </c>
      <c r="D157" s="16" t="s">
        <v>456</v>
      </c>
      <c r="E157" s="16" t="s">
        <v>3106</v>
      </c>
      <c r="F157" s="16" t="s">
        <v>10</v>
      </c>
      <c r="G157" s="16" t="s">
        <v>3715</v>
      </c>
      <c r="H157" s="16" t="s">
        <v>12</v>
      </c>
      <c r="I157" s="17"/>
      <c r="J157" s="16" t="s">
        <v>13</v>
      </c>
      <c r="K157" s="16" t="s">
        <v>93</v>
      </c>
      <c r="L157" s="154">
        <v>44103.0</v>
      </c>
      <c r="M157" s="16">
        <f t="shared" si="1"/>
        <v>6</v>
      </c>
      <c r="N157" s="17"/>
      <c r="O157" s="16" t="s">
        <v>3913</v>
      </c>
      <c r="P157" s="16" t="s">
        <v>3121</v>
      </c>
      <c r="Q157" s="152" t="s">
        <v>3914</v>
      </c>
      <c r="R157" s="17"/>
      <c r="S157" s="16" t="s">
        <v>3671</v>
      </c>
      <c r="T157" s="17"/>
      <c r="U157" s="16" t="s">
        <v>3283</v>
      </c>
      <c r="V157" s="16" t="s">
        <v>3672</v>
      </c>
      <c r="W157" s="17"/>
      <c r="X157" s="17"/>
      <c r="Y157" s="16" t="s">
        <v>3283</v>
      </c>
      <c r="Z157" s="16" t="s">
        <v>3672</v>
      </c>
      <c r="AA157" s="17"/>
      <c r="AB157" s="17"/>
    </row>
    <row r="158">
      <c r="A158" s="16">
        <f t="shared" si="2"/>
        <v>157</v>
      </c>
      <c r="B158" s="16" t="s">
        <v>457</v>
      </c>
      <c r="C158" s="16" t="s">
        <v>458</v>
      </c>
      <c r="D158" s="16" t="s">
        <v>459</v>
      </c>
      <c r="E158" s="16" t="s">
        <v>3106</v>
      </c>
      <c r="F158" s="16" t="s">
        <v>10</v>
      </c>
      <c r="G158" s="16" t="s">
        <v>3669</v>
      </c>
      <c r="H158" s="16" t="s">
        <v>12</v>
      </c>
      <c r="I158" s="17"/>
      <c r="J158" s="16" t="s">
        <v>13</v>
      </c>
      <c r="K158" s="16" t="s">
        <v>11</v>
      </c>
      <c r="L158" s="154">
        <v>44182.0</v>
      </c>
      <c r="M158" s="16">
        <f t="shared" si="1"/>
        <v>6</v>
      </c>
      <c r="N158" s="16">
        <v>5.0003664E7</v>
      </c>
      <c r="O158" s="16" t="s">
        <v>3915</v>
      </c>
      <c r="P158" s="16" t="s">
        <v>3121</v>
      </c>
      <c r="Q158" s="152" t="s">
        <v>3916</v>
      </c>
      <c r="R158" s="122">
        <v>45992.0</v>
      </c>
      <c r="S158" s="16" t="s">
        <v>3671</v>
      </c>
      <c r="T158" s="17"/>
      <c r="U158" s="16" t="s">
        <v>3283</v>
      </c>
      <c r="V158" s="16" t="s">
        <v>3672</v>
      </c>
      <c r="W158" s="17"/>
      <c r="X158" s="17"/>
      <c r="Y158" s="16" t="s">
        <v>3283</v>
      </c>
      <c r="Z158" s="16" t="s">
        <v>3672</v>
      </c>
      <c r="AA158" s="17"/>
      <c r="AB158" s="17"/>
    </row>
    <row r="159">
      <c r="A159" s="16">
        <f t="shared" si="2"/>
        <v>158</v>
      </c>
      <c r="B159" s="16" t="s">
        <v>460</v>
      </c>
      <c r="C159" s="16" t="s">
        <v>461</v>
      </c>
      <c r="D159" s="16" t="s">
        <v>462</v>
      </c>
      <c r="E159" s="16" t="s">
        <v>3106</v>
      </c>
      <c r="F159" s="16" t="s">
        <v>10</v>
      </c>
      <c r="G159" s="16" t="s">
        <v>3905</v>
      </c>
      <c r="H159" s="16" t="s">
        <v>12</v>
      </c>
      <c r="I159" s="17"/>
      <c r="J159" s="16" t="s">
        <v>13</v>
      </c>
      <c r="K159" s="16" t="s">
        <v>444</v>
      </c>
      <c r="L159" s="154">
        <v>44021.0</v>
      </c>
      <c r="M159" s="16">
        <f t="shared" si="1"/>
        <v>6</v>
      </c>
      <c r="N159" s="17"/>
      <c r="O159" s="16" t="s">
        <v>3917</v>
      </c>
      <c r="P159" s="16" t="s">
        <v>3136</v>
      </c>
      <c r="Q159" s="152" t="s">
        <v>3918</v>
      </c>
      <c r="R159" s="17"/>
      <c r="S159" s="16" t="s">
        <v>3671</v>
      </c>
      <c r="T159" s="17"/>
      <c r="U159" s="16" t="s">
        <v>3283</v>
      </c>
      <c r="V159" s="16" t="s">
        <v>3672</v>
      </c>
      <c r="W159" s="17"/>
      <c r="X159" s="17"/>
      <c r="Y159" s="16" t="s">
        <v>3283</v>
      </c>
      <c r="Z159" s="16" t="s">
        <v>3672</v>
      </c>
      <c r="AA159" s="17"/>
      <c r="AB159" s="17"/>
    </row>
    <row r="160">
      <c r="A160" s="16">
        <f t="shared" si="2"/>
        <v>159</v>
      </c>
      <c r="B160" s="16" t="s">
        <v>463</v>
      </c>
      <c r="C160" s="16" t="s">
        <v>464</v>
      </c>
      <c r="D160" s="16" t="s">
        <v>465</v>
      </c>
      <c r="E160" s="16" t="s">
        <v>3106</v>
      </c>
      <c r="F160" s="16" t="s">
        <v>10</v>
      </c>
      <c r="G160" s="16" t="s">
        <v>3905</v>
      </c>
      <c r="H160" s="16" t="s">
        <v>12</v>
      </c>
      <c r="I160" s="17"/>
      <c r="J160" s="16" t="s">
        <v>13</v>
      </c>
      <c r="K160" s="16" t="s">
        <v>444</v>
      </c>
      <c r="L160" s="154">
        <v>44021.0</v>
      </c>
      <c r="M160" s="16">
        <f t="shared" si="1"/>
        <v>6</v>
      </c>
      <c r="N160" s="17"/>
      <c r="O160" s="16" t="s">
        <v>3919</v>
      </c>
      <c r="P160" s="16" t="s">
        <v>3136</v>
      </c>
      <c r="Q160" s="152" t="s">
        <v>3920</v>
      </c>
      <c r="R160" s="17"/>
      <c r="S160" s="16" t="s">
        <v>3671</v>
      </c>
      <c r="T160" s="17"/>
      <c r="U160" s="16" t="s">
        <v>3283</v>
      </c>
      <c r="V160" s="16" t="s">
        <v>3672</v>
      </c>
      <c r="W160" s="17"/>
      <c r="X160" s="17"/>
      <c r="Y160" s="16" t="s">
        <v>3283</v>
      </c>
      <c r="Z160" s="16" t="s">
        <v>3672</v>
      </c>
      <c r="AA160" s="17"/>
      <c r="AB160" s="17"/>
    </row>
    <row r="161">
      <c r="A161" s="16">
        <f t="shared" si="2"/>
        <v>160</v>
      </c>
      <c r="B161" s="16" t="s">
        <v>466</v>
      </c>
      <c r="C161" s="16" t="s">
        <v>467</v>
      </c>
      <c r="D161" s="16" t="s">
        <v>468</v>
      </c>
      <c r="E161" s="16" t="s">
        <v>3106</v>
      </c>
      <c r="F161" s="16" t="s">
        <v>10</v>
      </c>
      <c r="G161" s="16" t="s">
        <v>3905</v>
      </c>
      <c r="H161" s="16" t="s">
        <v>12</v>
      </c>
      <c r="I161" s="17"/>
      <c r="J161" s="16" t="s">
        <v>13</v>
      </c>
      <c r="K161" s="16" t="s">
        <v>444</v>
      </c>
      <c r="L161" s="154">
        <v>44021.0</v>
      </c>
      <c r="M161" s="16">
        <f t="shared" si="1"/>
        <v>6</v>
      </c>
      <c r="N161" s="17"/>
      <c r="O161" s="16" t="s">
        <v>3921</v>
      </c>
      <c r="P161" s="16" t="s">
        <v>3136</v>
      </c>
      <c r="Q161" s="152" t="s">
        <v>3567</v>
      </c>
      <c r="R161" s="17"/>
      <c r="S161" s="16" t="s">
        <v>3671</v>
      </c>
      <c r="T161" s="17"/>
      <c r="U161" s="16" t="s">
        <v>3283</v>
      </c>
      <c r="V161" s="16" t="s">
        <v>3672</v>
      </c>
      <c r="W161" s="17"/>
      <c r="X161" s="17"/>
      <c r="Y161" s="16" t="s">
        <v>3283</v>
      </c>
      <c r="Z161" s="16" t="s">
        <v>3672</v>
      </c>
      <c r="AA161" s="17"/>
      <c r="AB161" s="17"/>
    </row>
    <row r="162">
      <c r="A162" s="16">
        <f t="shared" si="2"/>
        <v>161</v>
      </c>
      <c r="B162" s="16" t="s">
        <v>469</v>
      </c>
      <c r="C162" s="16" t="s">
        <v>470</v>
      </c>
      <c r="D162" s="16" t="s">
        <v>471</v>
      </c>
      <c r="E162" s="16" t="s">
        <v>3106</v>
      </c>
      <c r="F162" s="16" t="s">
        <v>10</v>
      </c>
      <c r="G162" s="16" t="s">
        <v>3905</v>
      </c>
      <c r="H162" s="16" t="s">
        <v>12</v>
      </c>
      <c r="I162" s="17"/>
      <c r="J162" s="16" t="s">
        <v>13</v>
      </c>
      <c r="K162" s="16" t="s">
        <v>444</v>
      </c>
      <c r="L162" s="154">
        <v>44021.0</v>
      </c>
      <c r="M162" s="16">
        <f t="shared" si="1"/>
        <v>6</v>
      </c>
      <c r="N162" s="17"/>
      <c r="O162" s="16" t="s">
        <v>3922</v>
      </c>
      <c r="P162" s="16" t="s">
        <v>3136</v>
      </c>
      <c r="Q162" s="152" t="s">
        <v>3566</v>
      </c>
      <c r="R162" s="17"/>
      <c r="S162" s="16" t="s">
        <v>3671</v>
      </c>
      <c r="T162" s="17"/>
      <c r="U162" s="16" t="s">
        <v>3283</v>
      </c>
      <c r="V162" s="16" t="s">
        <v>3672</v>
      </c>
      <c r="W162" s="17"/>
      <c r="X162" s="17"/>
      <c r="Y162" s="16" t="s">
        <v>3283</v>
      </c>
      <c r="Z162" s="16" t="s">
        <v>3672</v>
      </c>
      <c r="AA162" s="17"/>
      <c r="AB162" s="17"/>
    </row>
    <row r="163">
      <c r="A163" s="16">
        <f t="shared" si="2"/>
        <v>162</v>
      </c>
      <c r="B163" s="16" t="s">
        <v>472</v>
      </c>
      <c r="C163" s="16" t="s">
        <v>473</v>
      </c>
      <c r="D163" s="16" t="s">
        <v>474</v>
      </c>
      <c r="E163" s="16" t="s">
        <v>3106</v>
      </c>
      <c r="F163" s="16" t="s">
        <v>10</v>
      </c>
      <c r="G163" s="16" t="s">
        <v>3715</v>
      </c>
      <c r="H163" s="16" t="s">
        <v>12</v>
      </c>
      <c r="I163" s="17"/>
      <c r="J163" s="16" t="s">
        <v>13</v>
      </c>
      <c r="K163" s="16" t="s">
        <v>93</v>
      </c>
      <c r="L163" s="154">
        <v>44103.0</v>
      </c>
      <c r="M163" s="16">
        <f t="shared" si="1"/>
        <v>6</v>
      </c>
      <c r="N163" s="17"/>
      <c r="O163" s="16" t="s">
        <v>3923</v>
      </c>
      <c r="P163" s="16" t="s">
        <v>3136</v>
      </c>
      <c r="Q163" s="152" t="s">
        <v>3924</v>
      </c>
      <c r="R163" s="115">
        <v>45962.0</v>
      </c>
      <c r="S163" s="16" t="s">
        <v>3671</v>
      </c>
      <c r="T163" s="17"/>
      <c r="U163" s="16" t="s">
        <v>3283</v>
      </c>
      <c r="V163" s="16" t="s">
        <v>3672</v>
      </c>
      <c r="W163" s="17"/>
      <c r="X163" s="17"/>
      <c r="Y163" s="16" t="s">
        <v>3283</v>
      </c>
      <c r="Z163" s="16" t="s">
        <v>3672</v>
      </c>
      <c r="AA163" s="17"/>
      <c r="AB163" s="17"/>
    </row>
    <row r="164">
      <c r="A164" s="16">
        <f t="shared" si="2"/>
        <v>163</v>
      </c>
      <c r="B164" s="16" t="s">
        <v>475</v>
      </c>
      <c r="C164" s="16" t="s">
        <v>476</v>
      </c>
      <c r="D164" s="16" t="s">
        <v>477</v>
      </c>
      <c r="E164" s="16" t="s">
        <v>3106</v>
      </c>
      <c r="F164" s="16" t="s">
        <v>10</v>
      </c>
      <c r="G164" s="16" t="s">
        <v>3715</v>
      </c>
      <c r="H164" s="16" t="s">
        <v>12</v>
      </c>
      <c r="I164" s="17"/>
      <c r="J164" s="16" t="s">
        <v>13</v>
      </c>
      <c r="K164" s="16" t="s">
        <v>93</v>
      </c>
      <c r="L164" s="154">
        <v>44103.0</v>
      </c>
      <c r="M164" s="16">
        <f t="shared" si="1"/>
        <v>6</v>
      </c>
      <c r="N164" s="17"/>
      <c r="O164" s="16" t="s">
        <v>3925</v>
      </c>
      <c r="P164" s="16" t="s">
        <v>3136</v>
      </c>
      <c r="Q164" s="152" t="s">
        <v>3926</v>
      </c>
      <c r="R164" s="17"/>
      <c r="S164" s="16" t="s">
        <v>3671</v>
      </c>
      <c r="T164" s="17"/>
      <c r="U164" s="16" t="s">
        <v>3283</v>
      </c>
      <c r="V164" s="16" t="s">
        <v>3672</v>
      </c>
      <c r="W164" s="17"/>
      <c r="X164" s="17"/>
      <c r="Y164" s="16" t="s">
        <v>3283</v>
      </c>
      <c r="Z164" s="16" t="s">
        <v>3672</v>
      </c>
      <c r="AA164" s="17"/>
      <c r="AB164" s="17"/>
    </row>
    <row r="165">
      <c r="A165" s="16">
        <f t="shared" si="2"/>
        <v>164</v>
      </c>
      <c r="B165" s="16" t="s">
        <v>478</v>
      </c>
      <c r="C165" s="16" t="s">
        <v>479</v>
      </c>
      <c r="D165" s="16" t="s">
        <v>480</v>
      </c>
      <c r="E165" s="16" t="s">
        <v>3106</v>
      </c>
      <c r="F165" s="16" t="s">
        <v>10</v>
      </c>
      <c r="G165" s="16" t="s">
        <v>3905</v>
      </c>
      <c r="H165" s="16" t="s">
        <v>12</v>
      </c>
      <c r="I165" s="17"/>
      <c r="J165" s="16" t="s">
        <v>13</v>
      </c>
      <c r="K165" s="16" t="s">
        <v>444</v>
      </c>
      <c r="L165" s="154">
        <v>44021.0</v>
      </c>
      <c r="M165" s="16">
        <f t="shared" si="1"/>
        <v>6</v>
      </c>
      <c r="N165" s="17"/>
      <c r="O165" s="16" t="s">
        <v>3927</v>
      </c>
      <c r="P165" s="16" t="s">
        <v>3136</v>
      </c>
      <c r="Q165" s="152" t="s">
        <v>3928</v>
      </c>
      <c r="R165" s="17"/>
      <c r="S165" s="16" t="s">
        <v>3671</v>
      </c>
      <c r="T165" s="17"/>
      <c r="U165" s="16" t="s">
        <v>3283</v>
      </c>
      <c r="V165" s="16" t="s">
        <v>3672</v>
      </c>
      <c r="W165" s="17"/>
      <c r="X165" s="17"/>
      <c r="Y165" s="16" t="s">
        <v>3283</v>
      </c>
      <c r="Z165" s="16" t="s">
        <v>3672</v>
      </c>
      <c r="AA165" s="17"/>
      <c r="AB165" s="17"/>
    </row>
    <row r="166">
      <c r="A166" s="16">
        <f t="shared" si="2"/>
        <v>165</v>
      </c>
      <c r="B166" s="16" t="s">
        <v>481</v>
      </c>
      <c r="C166" s="16" t="s">
        <v>482</v>
      </c>
      <c r="D166" s="16" t="s">
        <v>483</v>
      </c>
      <c r="E166" s="16" t="s">
        <v>3106</v>
      </c>
      <c r="F166" s="16" t="s">
        <v>10</v>
      </c>
      <c r="G166" s="16" t="s">
        <v>3905</v>
      </c>
      <c r="H166" s="16" t="s">
        <v>12</v>
      </c>
      <c r="I166" s="17"/>
      <c r="J166" s="16" t="s">
        <v>13</v>
      </c>
      <c r="K166" s="16" t="s">
        <v>444</v>
      </c>
      <c r="L166" s="154">
        <v>44021.0</v>
      </c>
      <c r="M166" s="16">
        <f t="shared" si="1"/>
        <v>6</v>
      </c>
      <c r="N166" s="17"/>
      <c r="O166" s="16" t="s">
        <v>3929</v>
      </c>
      <c r="P166" s="16" t="s">
        <v>3136</v>
      </c>
      <c r="Q166" s="152" t="s">
        <v>3930</v>
      </c>
      <c r="R166" s="17"/>
      <c r="S166" s="16" t="s">
        <v>3671</v>
      </c>
      <c r="T166" s="17"/>
      <c r="U166" s="16" t="s">
        <v>3283</v>
      </c>
      <c r="V166" s="16" t="s">
        <v>3672</v>
      </c>
      <c r="W166" s="17"/>
      <c r="X166" s="17"/>
      <c r="Y166" s="16" t="s">
        <v>3283</v>
      </c>
      <c r="Z166" s="16" t="s">
        <v>3672</v>
      </c>
      <c r="AA166" s="17"/>
      <c r="AB166" s="17"/>
    </row>
    <row r="167">
      <c r="A167" s="16">
        <f t="shared" si="2"/>
        <v>166</v>
      </c>
      <c r="B167" s="16" t="s">
        <v>484</v>
      </c>
      <c r="C167" s="16" t="s">
        <v>485</v>
      </c>
      <c r="D167" s="16" t="s">
        <v>486</v>
      </c>
      <c r="E167" s="16" t="s">
        <v>3106</v>
      </c>
      <c r="F167" s="16" t="s">
        <v>10</v>
      </c>
      <c r="G167" s="16" t="s">
        <v>3905</v>
      </c>
      <c r="H167" s="16" t="s">
        <v>12</v>
      </c>
      <c r="I167" s="17"/>
      <c r="J167" s="16" t="s">
        <v>13</v>
      </c>
      <c r="K167" s="16" t="s">
        <v>444</v>
      </c>
      <c r="L167" s="154">
        <v>44021.0</v>
      </c>
      <c r="M167" s="16">
        <f t="shared" si="1"/>
        <v>6</v>
      </c>
      <c r="N167" s="17"/>
      <c r="O167" s="16" t="s">
        <v>3931</v>
      </c>
      <c r="P167" s="16" t="s">
        <v>3136</v>
      </c>
      <c r="Q167" s="152" t="s">
        <v>3932</v>
      </c>
      <c r="R167" s="17"/>
      <c r="S167" s="16" t="s">
        <v>3671</v>
      </c>
      <c r="T167" s="17"/>
      <c r="U167" s="16" t="s">
        <v>3283</v>
      </c>
      <c r="V167" s="16" t="s">
        <v>3672</v>
      </c>
      <c r="W167" s="17"/>
      <c r="X167" s="17"/>
      <c r="Y167" s="16" t="s">
        <v>3283</v>
      </c>
      <c r="Z167" s="16" t="s">
        <v>3672</v>
      </c>
      <c r="AA167" s="17"/>
      <c r="AB167" s="17"/>
    </row>
    <row r="168">
      <c r="A168" s="16">
        <f t="shared" si="2"/>
        <v>167</v>
      </c>
      <c r="B168" s="16" t="s">
        <v>487</v>
      </c>
      <c r="C168" s="16" t="s">
        <v>488</v>
      </c>
      <c r="D168" s="16" t="s">
        <v>31</v>
      </c>
      <c r="E168" s="16" t="s">
        <v>3106</v>
      </c>
      <c r="F168" s="16" t="s">
        <v>10</v>
      </c>
      <c r="G168" s="16" t="s">
        <v>3669</v>
      </c>
      <c r="H168" s="16" t="s">
        <v>12</v>
      </c>
      <c r="I168" s="17"/>
      <c r="J168" s="16" t="s">
        <v>13</v>
      </c>
      <c r="K168" s="16" t="s">
        <v>11</v>
      </c>
      <c r="L168" s="154">
        <v>44182.0</v>
      </c>
      <c r="M168" s="16">
        <f t="shared" si="1"/>
        <v>6</v>
      </c>
      <c r="N168" s="16">
        <v>5.0003664E7</v>
      </c>
      <c r="O168" s="16" t="s">
        <v>3933</v>
      </c>
      <c r="P168" s="16" t="s">
        <v>3136</v>
      </c>
      <c r="Q168" s="152" t="s">
        <v>3934</v>
      </c>
      <c r="R168" s="122">
        <v>45992.0</v>
      </c>
      <c r="S168" s="16" t="s">
        <v>3671</v>
      </c>
      <c r="T168" s="17"/>
      <c r="U168" s="16" t="s">
        <v>3283</v>
      </c>
      <c r="V168" s="16" t="s">
        <v>3672</v>
      </c>
      <c r="W168" s="17"/>
      <c r="X168" s="17"/>
      <c r="Y168" s="16" t="s">
        <v>3283</v>
      </c>
      <c r="Z168" s="16" t="s">
        <v>3672</v>
      </c>
      <c r="AA168" s="17"/>
      <c r="AB168" s="17"/>
    </row>
    <row r="169">
      <c r="A169" s="16">
        <f t="shared" si="2"/>
        <v>168</v>
      </c>
      <c r="B169" s="16" t="s">
        <v>489</v>
      </c>
      <c r="C169" s="16" t="s">
        <v>490</v>
      </c>
      <c r="D169" s="16" t="s">
        <v>491</v>
      </c>
      <c r="E169" s="16" t="s">
        <v>3106</v>
      </c>
      <c r="F169" s="16" t="s">
        <v>10</v>
      </c>
      <c r="G169" s="16" t="s">
        <v>3715</v>
      </c>
      <c r="H169" s="16" t="s">
        <v>12</v>
      </c>
      <c r="I169" s="17"/>
      <c r="J169" s="16" t="s">
        <v>13</v>
      </c>
      <c r="K169" s="16" t="s">
        <v>93</v>
      </c>
      <c r="L169" s="154">
        <v>44103.0</v>
      </c>
      <c r="M169" s="16">
        <f t="shared" si="1"/>
        <v>6</v>
      </c>
      <c r="N169" s="17"/>
      <c r="O169" s="16" t="s">
        <v>3935</v>
      </c>
      <c r="P169" s="16" t="s">
        <v>3136</v>
      </c>
      <c r="Q169" s="152" t="s">
        <v>3936</v>
      </c>
      <c r="R169" s="17"/>
      <c r="S169" s="16" t="s">
        <v>3671</v>
      </c>
      <c r="T169" s="17"/>
      <c r="U169" s="16" t="s">
        <v>3283</v>
      </c>
      <c r="V169" s="16" t="s">
        <v>3672</v>
      </c>
      <c r="W169" s="17"/>
      <c r="X169" s="17"/>
      <c r="Y169" s="16" t="s">
        <v>3283</v>
      </c>
      <c r="Z169" s="16" t="s">
        <v>3672</v>
      </c>
      <c r="AA169" s="17"/>
      <c r="AB169" s="17"/>
    </row>
    <row r="170">
      <c r="A170" s="16">
        <f t="shared" si="2"/>
        <v>169</v>
      </c>
      <c r="B170" s="16" t="s">
        <v>492</v>
      </c>
      <c r="C170" s="16" t="s">
        <v>493</v>
      </c>
      <c r="D170" s="16" t="s">
        <v>494</v>
      </c>
      <c r="E170" s="16" t="s">
        <v>3106</v>
      </c>
      <c r="F170" s="16" t="s">
        <v>10</v>
      </c>
      <c r="G170" s="16" t="s">
        <v>3715</v>
      </c>
      <c r="H170" s="16" t="s">
        <v>12</v>
      </c>
      <c r="I170" s="17"/>
      <c r="J170" s="16" t="s">
        <v>13</v>
      </c>
      <c r="K170" s="16" t="s">
        <v>93</v>
      </c>
      <c r="L170" s="154">
        <v>44103.0</v>
      </c>
      <c r="M170" s="16">
        <f t="shared" si="1"/>
        <v>6</v>
      </c>
      <c r="N170" s="17"/>
      <c r="O170" s="16" t="s">
        <v>3937</v>
      </c>
      <c r="P170" s="16" t="s">
        <v>3136</v>
      </c>
      <c r="Q170" s="152" t="s">
        <v>3938</v>
      </c>
      <c r="R170" s="17"/>
      <c r="S170" s="16" t="s">
        <v>3671</v>
      </c>
      <c r="T170" s="17"/>
      <c r="U170" s="16" t="s">
        <v>3283</v>
      </c>
      <c r="V170" s="16" t="s">
        <v>3672</v>
      </c>
      <c r="W170" s="17"/>
      <c r="X170" s="17"/>
      <c r="Y170" s="16" t="s">
        <v>3283</v>
      </c>
      <c r="Z170" s="16" t="s">
        <v>3672</v>
      </c>
      <c r="AA170" s="17"/>
      <c r="AB170" s="17"/>
    </row>
    <row r="171">
      <c r="A171" s="16">
        <f t="shared" si="2"/>
        <v>170</v>
      </c>
      <c r="B171" s="16" t="s">
        <v>495</v>
      </c>
      <c r="C171" s="16" t="s">
        <v>496</v>
      </c>
      <c r="D171" s="16" t="s">
        <v>497</v>
      </c>
      <c r="E171" s="16" t="s">
        <v>3106</v>
      </c>
      <c r="F171" s="16" t="s">
        <v>10</v>
      </c>
      <c r="G171" s="16" t="s">
        <v>3715</v>
      </c>
      <c r="H171" s="16" t="s">
        <v>12</v>
      </c>
      <c r="I171" s="17"/>
      <c r="J171" s="16" t="s">
        <v>13</v>
      </c>
      <c r="K171" s="16" t="s">
        <v>93</v>
      </c>
      <c r="L171" s="154">
        <v>44103.0</v>
      </c>
      <c r="M171" s="16">
        <f t="shared" si="1"/>
        <v>6</v>
      </c>
      <c r="N171" s="17"/>
      <c r="O171" s="16" t="s">
        <v>3939</v>
      </c>
      <c r="P171" s="16" t="s">
        <v>3136</v>
      </c>
      <c r="Q171" s="152" t="s">
        <v>3940</v>
      </c>
      <c r="R171" s="17"/>
      <c r="S171" s="16" t="s">
        <v>3671</v>
      </c>
      <c r="T171" s="17"/>
      <c r="U171" s="16" t="s">
        <v>3283</v>
      </c>
      <c r="V171" s="16" t="s">
        <v>3672</v>
      </c>
      <c r="W171" s="17"/>
      <c r="X171" s="17"/>
      <c r="Y171" s="16" t="s">
        <v>3283</v>
      </c>
      <c r="Z171" s="16" t="s">
        <v>3672</v>
      </c>
      <c r="AA171" s="17"/>
      <c r="AB171" s="17"/>
    </row>
    <row r="172">
      <c r="A172" s="16">
        <f t="shared" si="2"/>
        <v>171</v>
      </c>
      <c r="B172" s="16" t="s">
        <v>498</v>
      </c>
      <c r="C172" s="16" t="s">
        <v>499</v>
      </c>
      <c r="D172" s="16" t="s">
        <v>500</v>
      </c>
      <c r="E172" s="16" t="s">
        <v>3106</v>
      </c>
      <c r="F172" s="16" t="s">
        <v>10</v>
      </c>
      <c r="G172" s="16" t="s">
        <v>3669</v>
      </c>
      <c r="H172" s="16" t="s">
        <v>12</v>
      </c>
      <c r="I172" s="16" t="s">
        <v>3396</v>
      </c>
      <c r="J172" s="16" t="s">
        <v>13</v>
      </c>
      <c r="K172" s="16" t="s">
        <v>11</v>
      </c>
      <c r="L172" s="154">
        <v>44544.0</v>
      </c>
      <c r="M172" s="16">
        <f t="shared" si="1"/>
        <v>5</v>
      </c>
      <c r="N172" s="16">
        <v>5.000436E7</v>
      </c>
      <c r="O172" s="16" t="s">
        <v>3941</v>
      </c>
      <c r="P172" s="16" t="s">
        <v>3136</v>
      </c>
      <c r="Q172" s="152" t="s">
        <v>3942</v>
      </c>
      <c r="R172" s="17"/>
      <c r="S172" s="16" t="s">
        <v>3671</v>
      </c>
      <c r="T172" s="17"/>
      <c r="U172" s="16" t="s">
        <v>3283</v>
      </c>
      <c r="V172" s="16" t="s">
        <v>3672</v>
      </c>
      <c r="W172" s="17"/>
      <c r="X172" s="17"/>
      <c r="Y172" s="16" t="s">
        <v>3283</v>
      </c>
      <c r="Z172" s="16" t="s">
        <v>3672</v>
      </c>
      <c r="AA172" s="17"/>
      <c r="AB172" s="17"/>
    </row>
    <row r="173">
      <c r="A173" s="16">
        <f t="shared" si="2"/>
        <v>172</v>
      </c>
      <c r="B173" s="16" t="s">
        <v>501</v>
      </c>
      <c r="C173" s="16" t="s">
        <v>502</v>
      </c>
      <c r="D173" s="16" t="s">
        <v>503</v>
      </c>
      <c r="E173" s="16" t="s">
        <v>3106</v>
      </c>
      <c r="F173" s="16" t="s">
        <v>10</v>
      </c>
      <c r="G173" s="16" t="s">
        <v>3669</v>
      </c>
      <c r="H173" s="16" t="s">
        <v>12</v>
      </c>
      <c r="I173" s="17"/>
      <c r="J173" s="16" t="s">
        <v>13</v>
      </c>
      <c r="K173" s="16" t="s">
        <v>11</v>
      </c>
      <c r="L173" s="154">
        <v>44182.0</v>
      </c>
      <c r="M173" s="16">
        <f t="shared" si="1"/>
        <v>6</v>
      </c>
      <c r="N173" s="16">
        <v>5.0003664E7</v>
      </c>
      <c r="O173" s="16" t="s">
        <v>3943</v>
      </c>
      <c r="P173" s="16" t="s">
        <v>3136</v>
      </c>
      <c r="Q173" s="152" t="s">
        <v>3944</v>
      </c>
      <c r="R173" s="122">
        <v>45992.0</v>
      </c>
      <c r="S173" s="16" t="s">
        <v>3671</v>
      </c>
      <c r="T173" s="17"/>
      <c r="U173" s="16" t="s">
        <v>3283</v>
      </c>
      <c r="V173" s="16" t="s">
        <v>3672</v>
      </c>
      <c r="W173" s="17"/>
      <c r="X173" s="17"/>
      <c r="Y173" s="16" t="s">
        <v>3283</v>
      </c>
      <c r="Z173" s="16" t="s">
        <v>3672</v>
      </c>
      <c r="AA173" s="17"/>
      <c r="AB173" s="17"/>
    </row>
    <row r="174">
      <c r="A174" s="16">
        <f t="shared" si="2"/>
        <v>173</v>
      </c>
      <c r="B174" s="16" t="s">
        <v>504</v>
      </c>
      <c r="C174" s="16" t="s">
        <v>505</v>
      </c>
      <c r="D174" s="16" t="s">
        <v>506</v>
      </c>
      <c r="E174" s="16" t="s">
        <v>3106</v>
      </c>
      <c r="F174" s="16" t="s">
        <v>10</v>
      </c>
      <c r="G174" s="16" t="s">
        <v>3905</v>
      </c>
      <c r="H174" s="16" t="s">
        <v>12</v>
      </c>
      <c r="I174" s="17"/>
      <c r="J174" s="16" t="s">
        <v>13</v>
      </c>
      <c r="K174" s="16" t="s">
        <v>444</v>
      </c>
      <c r="L174" s="154">
        <v>44021.0</v>
      </c>
      <c r="M174" s="16">
        <f t="shared" si="1"/>
        <v>6</v>
      </c>
      <c r="N174" s="17"/>
      <c r="O174" s="16" t="s">
        <v>3698</v>
      </c>
      <c r="P174" s="16" t="s">
        <v>3136</v>
      </c>
      <c r="Q174" s="152" t="s">
        <v>3945</v>
      </c>
      <c r="R174" s="17"/>
      <c r="S174" s="16" t="s">
        <v>3671</v>
      </c>
      <c r="T174" s="17"/>
      <c r="U174" s="16" t="s">
        <v>3283</v>
      </c>
      <c r="V174" s="16" t="s">
        <v>3672</v>
      </c>
      <c r="W174" s="17"/>
      <c r="X174" s="17"/>
      <c r="Y174" s="16" t="s">
        <v>3283</v>
      </c>
      <c r="Z174" s="16" t="s">
        <v>3672</v>
      </c>
      <c r="AA174" s="17"/>
      <c r="AB174" s="17"/>
    </row>
    <row r="175">
      <c r="A175" s="16">
        <f t="shared" si="2"/>
        <v>174</v>
      </c>
      <c r="B175" s="16" t="s">
        <v>507</v>
      </c>
      <c r="C175" s="16" t="s">
        <v>508</v>
      </c>
      <c r="D175" s="16" t="s">
        <v>509</v>
      </c>
      <c r="E175" s="16" t="s">
        <v>3106</v>
      </c>
      <c r="F175" s="16" t="s">
        <v>10</v>
      </c>
      <c r="G175" s="16" t="s">
        <v>3905</v>
      </c>
      <c r="H175" s="16" t="s">
        <v>12</v>
      </c>
      <c r="I175" s="17"/>
      <c r="J175" s="16" t="s">
        <v>13</v>
      </c>
      <c r="K175" s="16" t="s">
        <v>444</v>
      </c>
      <c r="L175" s="154">
        <v>44021.0</v>
      </c>
      <c r="M175" s="16">
        <f t="shared" si="1"/>
        <v>6</v>
      </c>
      <c r="N175" s="17"/>
      <c r="O175" s="16" t="s">
        <v>3946</v>
      </c>
      <c r="P175" s="16" t="s">
        <v>3136</v>
      </c>
      <c r="Q175" s="152" t="s">
        <v>3947</v>
      </c>
      <c r="R175" s="122">
        <v>45992.0</v>
      </c>
      <c r="S175" s="16" t="s">
        <v>3671</v>
      </c>
      <c r="T175" s="17"/>
      <c r="U175" s="16" t="s">
        <v>3283</v>
      </c>
      <c r="V175" s="16" t="s">
        <v>3672</v>
      </c>
      <c r="W175" s="17"/>
      <c r="X175" s="17"/>
      <c r="Y175" s="16" t="s">
        <v>3283</v>
      </c>
      <c r="Z175" s="16" t="s">
        <v>3672</v>
      </c>
      <c r="AA175" s="17"/>
      <c r="AB175" s="17"/>
    </row>
    <row r="176">
      <c r="A176" s="16">
        <f t="shared" si="2"/>
        <v>175</v>
      </c>
      <c r="B176" s="16" t="s">
        <v>510</v>
      </c>
      <c r="C176" s="16" t="s">
        <v>511</v>
      </c>
      <c r="D176" s="16" t="s">
        <v>512</v>
      </c>
      <c r="E176" s="16" t="s">
        <v>3106</v>
      </c>
      <c r="F176" s="16" t="s">
        <v>10</v>
      </c>
      <c r="G176" s="16" t="s">
        <v>3905</v>
      </c>
      <c r="H176" s="16" t="s">
        <v>12</v>
      </c>
      <c r="I176" s="17"/>
      <c r="J176" s="16" t="s">
        <v>13</v>
      </c>
      <c r="K176" s="16" t="s">
        <v>444</v>
      </c>
      <c r="L176" s="154">
        <v>44021.0</v>
      </c>
      <c r="M176" s="16">
        <f t="shared" si="1"/>
        <v>6</v>
      </c>
      <c r="N176" s="17"/>
      <c r="O176" s="16" t="s">
        <v>3948</v>
      </c>
      <c r="P176" s="16" t="s">
        <v>3136</v>
      </c>
      <c r="Q176" s="152" t="s">
        <v>3949</v>
      </c>
      <c r="R176" s="17"/>
      <c r="S176" s="16" t="s">
        <v>3671</v>
      </c>
      <c r="T176" s="17"/>
      <c r="U176" s="16" t="s">
        <v>3283</v>
      </c>
      <c r="V176" s="16" t="s">
        <v>3672</v>
      </c>
      <c r="W176" s="17"/>
      <c r="X176" s="17"/>
      <c r="Y176" s="16" t="s">
        <v>3283</v>
      </c>
      <c r="Z176" s="16" t="s">
        <v>3672</v>
      </c>
      <c r="AA176" s="17"/>
      <c r="AB176" s="17"/>
    </row>
    <row r="177">
      <c r="A177" s="16">
        <f t="shared" si="2"/>
        <v>176</v>
      </c>
      <c r="B177" s="16" t="s">
        <v>513</v>
      </c>
      <c r="C177" s="16" t="s">
        <v>514</v>
      </c>
      <c r="D177" s="16" t="s">
        <v>515</v>
      </c>
      <c r="E177" s="16" t="s">
        <v>3106</v>
      </c>
      <c r="F177" s="16" t="s">
        <v>10</v>
      </c>
      <c r="G177" s="16" t="s">
        <v>3905</v>
      </c>
      <c r="H177" s="16" t="s">
        <v>12</v>
      </c>
      <c r="I177" s="17"/>
      <c r="J177" s="16" t="s">
        <v>13</v>
      </c>
      <c r="K177" s="16" t="s">
        <v>444</v>
      </c>
      <c r="L177" s="154">
        <v>44021.0</v>
      </c>
      <c r="M177" s="16">
        <f t="shared" si="1"/>
        <v>6</v>
      </c>
      <c r="N177" s="17"/>
      <c r="O177" s="16" t="s">
        <v>3950</v>
      </c>
      <c r="P177" s="16" t="s">
        <v>3136</v>
      </c>
      <c r="Q177" s="152" t="s">
        <v>3951</v>
      </c>
      <c r="R177" s="17"/>
      <c r="S177" s="16" t="s">
        <v>3671</v>
      </c>
      <c r="T177" s="17"/>
      <c r="U177" s="16" t="s">
        <v>3283</v>
      </c>
      <c r="V177" s="16" t="s">
        <v>3672</v>
      </c>
      <c r="W177" s="17"/>
      <c r="X177" s="17"/>
      <c r="Y177" s="16" t="s">
        <v>3283</v>
      </c>
      <c r="Z177" s="16" t="s">
        <v>3672</v>
      </c>
      <c r="AA177" s="17"/>
      <c r="AB177" s="17"/>
    </row>
    <row r="178">
      <c r="A178" s="16">
        <f t="shared" si="2"/>
        <v>177</v>
      </c>
      <c r="B178" s="16" t="s">
        <v>516</v>
      </c>
      <c r="C178" s="16" t="s">
        <v>517</v>
      </c>
      <c r="D178" s="16" t="s">
        <v>518</v>
      </c>
      <c r="E178" s="16" t="s">
        <v>3106</v>
      </c>
      <c r="F178" s="16" t="s">
        <v>10</v>
      </c>
      <c r="G178" s="16" t="s">
        <v>3669</v>
      </c>
      <c r="H178" s="16" t="s">
        <v>12</v>
      </c>
      <c r="I178" s="17"/>
      <c r="J178" s="16" t="s">
        <v>13</v>
      </c>
      <c r="K178" s="16" t="s">
        <v>11</v>
      </c>
      <c r="L178" s="154">
        <v>44182.0</v>
      </c>
      <c r="M178" s="16">
        <f t="shared" si="1"/>
        <v>6</v>
      </c>
      <c r="N178" s="16">
        <v>5.0003664E7</v>
      </c>
      <c r="O178" s="16" t="s">
        <v>3952</v>
      </c>
      <c r="P178" s="16" t="s">
        <v>3136</v>
      </c>
      <c r="Q178" s="152" t="s">
        <v>3953</v>
      </c>
      <c r="R178" s="17"/>
      <c r="S178" s="16" t="s">
        <v>3671</v>
      </c>
      <c r="T178" s="17"/>
      <c r="U178" s="16" t="s">
        <v>3283</v>
      </c>
      <c r="V178" s="16" t="s">
        <v>3672</v>
      </c>
      <c r="W178" s="17"/>
      <c r="X178" s="17"/>
      <c r="Y178" s="16" t="s">
        <v>3283</v>
      </c>
      <c r="Z178" s="16" t="s">
        <v>3672</v>
      </c>
      <c r="AA178" s="17"/>
      <c r="AB178" s="17"/>
    </row>
    <row r="179">
      <c r="A179" s="16">
        <f t="shared" si="2"/>
        <v>178</v>
      </c>
      <c r="B179" s="16" t="s">
        <v>519</v>
      </c>
      <c r="C179" s="16" t="s">
        <v>520</v>
      </c>
      <c r="D179" s="16" t="s">
        <v>521</v>
      </c>
      <c r="E179" s="16" t="s">
        <v>3106</v>
      </c>
      <c r="F179" s="16" t="s">
        <v>10</v>
      </c>
      <c r="G179" s="16" t="s">
        <v>3905</v>
      </c>
      <c r="H179" s="16" t="s">
        <v>12</v>
      </c>
      <c r="I179" s="17"/>
      <c r="J179" s="16" t="s">
        <v>13</v>
      </c>
      <c r="K179" s="16" t="s">
        <v>444</v>
      </c>
      <c r="L179" s="154">
        <v>44021.0</v>
      </c>
      <c r="M179" s="16">
        <f t="shared" si="1"/>
        <v>6</v>
      </c>
      <c r="N179" s="17"/>
      <c r="O179" s="16" t="s">
        <v>3954</v>
      </c>
      <c r="P179" s="16" t="s">
        <v>3136</v>
      </c>
      <c r="Q179" s="152" t="s">
        <v>3955</v>
      </c>
      <c r="R179" s="122">
        <v>45992.0</v>
      </c>
      <c r="S179" s="16" t="s">
        <v>3671</v>
      </c>
      <c r="T179" s="17"/>
      <c r="U179" s="16" t="s">
        <v>3283</v>
      </c>
      <c r="V179" s="16" t="s">
        <v>3672</v>
      </c>
      <c r="W179" s="17"/>
      <c r="X179" s="17"/>
      <c r="Y179" s="16" t="s">
        <v>3283</v>
      </c>
      <c r="Z179" s="16" t="s">
        <v>3672</v>
      </c>
      <c r="AA179" s="17"/>
      <c r="AB179" s="17"/>
    </row>
    <row r="180">
      <c r="A180" s="16">
        <f t="shared" si="2"/>
        <v>179</v>
      </c>
      <c r="B180" s="16" t="s">
        <v>522</v>
      </c>
      <c r="C180" s="16" t="s">
        <v>523</v>
      </c>
      <c r="D180" s="16" t="s">
        <v>524</v>
      </c>
      <c r="E180" s="16" t="s">
        <v>3106</v>
      </c>
      <c r="F180" s="16" t="s">
        <v>10</v>
      </c>
      <c r="G180" s="16" t="s">
        <v>3905</v>
      </c>
      <c r="H180" s="16" t="s">
        <v>12</v>
      </c>
      <c r="I180" s="17"/>
      <c r="J180" s="16" t="s">
        <v>13</v>
      </c>
      <c r="K180" s="16" t="s">
        <v>444</v>
      </c>
      <c r="L180" s="154">
        <v>44021.0</v>
      </c>
      <c r="M180" s="16">
        <f t="shared" si="1"/>
        <v>6</v>
      </c>
      <c r="N180" s="17"/>
      <c r="O180" s="16" t="s">
        <v>3956</v>
      </c>
      <c r="P180" s="16" t="s">
        <v>3136</v>
      </c>
      <c r="Q180" s="152" t="s">
        <v>3957</v>
      </c>
      <c r="R180" s="17"/>
      <c r="S180" s="16" t="s">
        <v>3671</v>
      </c>
      <c r="T180" s="17"/>
      <c r="U180" s="16" t="s">
        <v>3283</v>
      </c>
      <c r="V180" s="16" t="s">
        <v>3672</v>
      </c>
      <c r="W180" s="17"/>
      <c r="X180" s="17"/>
      <c r="Y180" s="16" t="s">
        <v>3283</v>
      </c>
      <c r="Z180" s="16" t="s">
        <v>3672</v>
      </c>
      <c r="AA180" s="17"/>
      <c r="AB180" s="17"/>
    </row>
    <row r="181">
      <c r="A181" s="16">
        <f t="shared" si="2"/>
        <v>180</v>
      </c>
      <c r="B181" s="16" t="s">
        <v>525</v>
      </c>
      <c r="C181" s="16" t="s">
        <v>526</v>
      </c>
      <c r="D181" s="16" t="s">
        <v>527</v>
      </c>
      <c r="E181" s="16" t="s">
        <v>3106</v>
      </c>
      <c r="F181" s="16" t="s">
        <v>10</v>
      </c>
      <c r="G181" s="16" t="s">
        <v>3905</v>
      </c>
      <c r="H181" s="16" t="s">
        <v>12</v>
      </c>
      <c r="I181" s="17"/>
      <c r="J181" s="16" t="s">
        <v>13</v>
      </c>
      <c r="K181" s="16" t="s">
        <v>444</v>
      </c>
      <c r="L181" s="154">
        <v>44021.0</v>
      </c>
      <c r="M181" s="16">
        <f t="shared" si="1"/>
        <v>6</v>
      </c>
      <c r="N181" s="17"/>
      <c r="O181" s="16" t="s">
        <v>3958</v>
      </c>
      <c r="P181" s="16" t="s">
        <v>3136</v>
      </c>
      <c r="Q181" s="152" t="s">
        <v>3959</v>
      </c>
      <c r="R181" s="17"/>
      <c r="S181" s="16" t="s">
        <v>3671</v>
      </c>
      <c r="T181" s="17"/>
      <c r="U181" s="16" t="s">
        <v>3283</v>
      </c>
      <c r="V181" s="16" t="s">
        <v>3672</v>
      </c>
      <c r="W181" s="17"/>
      <c r="X181" s="17"/>
      <c r="Y181" s="16" t="s">
        <v>3283</v>
      </c>
      <c r="Z181" s="16" t="s">
        <v>3672</v>
      </c>
      <c r="AA181" s="17"/>
      <c r="AB181" s="17"/>
    </row>
    <row r="182">
      <c r="A182" s="16">
        <f t="shared" si="2"/>
        <v>181</v>
      </c>
      <c r="B182" s="16" t="s">
        <v>528</v>
      </c>
      <c r="C182" s="16" t="s">
        <v>529</v>
      </c>
      <c r="D182" s="16" t="s">
        <v>530</v>
      </c>
      <c r="E182" s="16" t="s">
        <v>3106</v>
      </c>
      <c r="F182" s="16" t="s">
        <v>10</v>
      </c>
      <c r="G182" s="16" t="s">
        <v>3905</v>
      </c>
      <c r="H182" s="16" t="s">
        <v>12</v>
      </c>
      <c r="I182" s="17"/>
      <c r="J182" s="16" t="s">
        <v>13</v>
      </c>
      <c r="K182" s="16" t="s">
        <v>444</v>
      </c>
      <c r="L182" s="154">
        <v>44021.0</v>
      </c>
      <c r="M182" s="16">
        <f t="shared" si="1"/>
        <v>6</v>
      </c>
      <c r="N182" s="17"/>
      <c r="O182" s="16" t="s">
        <v>3960</v>
      </c>
      <c r="P182" s="16" t="s">
        <v>3121</v>
      </c>
      <c r="Q182" s="152" t="s">
        <v>3961</v>
      </c>
      <c r="R182" s="17"/>
      <c r="S182" s="16" t="s">
        <v>3671</v>
      </c>
      <c r="T182" s="17"/>
      <c r="U182" s="16" t="s">
        <v>3283</v>
      </c>
      <c r="V182" s="16" t="s">
        <v>3672</v>
      </c>
      <c r="W182" s="17"/>
      <c r="X182" s="17"/>
      <c r="Y182" s="16" t="s">
        <v>3283</v>
      </c>
      <c r="Z182" s="16" t="s">
        <v>3672</v>
      </c>
      <c r="AA182" s="17"/>
      <c r="AB182" s="17"/>
    </row>
    <row r="183">
      <c r="A183" s="16">
        <f t="shared" si="2"/>
        <v>182</v>
      </c>
      <c r="B183" s="16" t="s">
        <v>531</v>
      </c>
      <c r="C183" s="16" t="s">
        <v>532</v>
      </c>
      <c r="D183" s="16" t="s">
        <v>533</v>
      </c>
      <c r="E183" s="16" t="s">
        <v>3106</v>
      </c>
      <c r="F183" s="16" t="s">
        <v>10</v>
      </c>
      <c r="G183" s="16" t="s">
        <v>3905</v>
      </c>
      <c r="H183" s="16" t="s">
        <v>12</v>
      </c>
      <c r="I183" s="17"/>
      <c r="J183" s="16" t="s">
        <v>13</v>
      </c>
      <c r="K183" s="16" t="s">
        <v>444</v>
      </c>
      <c r="L183" s="154">
        <v>44021.0</v>
      </c>
      <c r="M183" s="16">
        <f t="shared" si="1"/>
        <v>6</v>
      </c>
      <c r="N183" s="17"/>
      <c r="O183" s="16" t="s">
        <v>3962</v>
      </c>
      <c r="P183" s="16" t="s">
        <v>3136</v>
      </c>
      <c r="Q183" s="152" t="s">
        <v>3963</v>
      </c>
      <c r="R183" s="17"/>
      <c r="S183" s="16" t="s">
        <v>3671</v>
      </c>
      <c r="T183" s="17"/>
      <c r="U183" s="16" t="s">
        <v>3283</v>
      </c>
      <c r="V183" s="16" t="s">
        <v>3672</v>
      </c>
      <c r="W183" s="17"/>
      <c r="X183" s="17"/>
      <c r="Y183" s="16" t="s">
        <v>3283</v>
      </c>
      <c r="Z183" s="16" t="s">
        <v>3672</v>
      </c>
      <c r="AA183" s="17"/>
      <c r="AB183" s="17"/>
    </row>
    <row r="184">
      <c r="A184" s="16">
        <f t="shared" si="2"/>
        <v>183</v>
      </c>
      <c r="B184" s="16" t="s">
        <v>534</v>
      </c>
      <c r="C184" s="16" t="s">
        <v>535</v>
      </c>
      <c r="D184" s="16" t="s">
        <v>536</v>
      </c>
      <c r="E184" s="16" t="s">
        <v>3106</v>
      </c>
      <c r="F184" s="16" t="s">
        <v>10</v>
      </c>
      <c r="G184" s="16" t="s">
        <v>3669</v>
      </c>
      <c r="H184" s="16" t="s">
        <v>12</v>
      </c>
      <c r="I184" s="17"/>
      <c r="J184" s="16" t="s">
        <v>13</v>
      </c>
      <c r="K184" s="16" t="s">
        <v>11</v>
      </c>
      <c r="L184" s="154">
        <v>44182.0</v>
      </c>
      <c r="M184" s="16">
        <f t="shared" si="1"/>
        <v>6</v>
      </c>
      <c r="N184" s="16">
        <v>5.0003664E7</v>
      </c>
      <c r="O184" s="16" t="s">
        <v>3519</v>
      </c>
      <c r="P184" s="16" t="s">
        <v>3136</v>
      </c>
      <c r="Q184" s="152" t="s">
        <v>3964</v>
      </c>
      <c r="R184" s="123">
        <v>45951.0</v>
      </c>
      <c r="S184" s="16" t="s">
        <v>3671</v>
      </c>
      <c r="T184" s="17"/>
      <c r="U184" s="16" t="s">
        <v>3283</v>
      </c>
      <c r="V184" s="16" t="s">
        <v>3672</v>
      </c>
      <c r="W184" s="17"/>
      <c r="X184" s="16" t="s">
        <v>3965</v>
      </c>
      <c r="Y184" s="16" t="s">
        <v>3283</v>
      </c>
      <c r="Z184" s="16" t="s">
        <v>3672</v>
      </c>
      <c r="AA184" s="17"/>
      <c r="AB184" s="17"/>
    </row>
    <row r="185">
      <c r="A185" s="16">
        <f t="shared" si="2"/>
        <v>184</v>
      </c>
      <c r="B185" s="16" t="s">
        <v>537</v>
      </c>
      <c r="C185" s="16" t="s">
        <v>538</v>
      </c>
      <c r="D185" s="16" t="s">
        <v>539</v>
      </c>
      <c r="E185" s="16" t="s">
        <v>3106</v>
      </c>
      <c r="F185" s="16" t="s">
        <v>10</v>
      </c>
      <c r="G185" s="16" t="s">
        <v>3905</v>
      </c>
      <c r="H185" s="16" t="s">
        <v>12</v>
      </c>
      <c r="I185" s="17"/>
      <c r="J185" s="16" t="s">
        <v>13</v>
      </c>
      <c r="K185" s="16" t="s">
        <v>444</v>
      </c>
      <c r="L185" s="154">
        <v>44021.0</v>
      </c>
      <c r="M185" s="16">
        <f t="shared" si="1"/>
        <v>6</v>
      </c>
      <c r="N185" s="17"/>
      <c r="O185" s="16" t="s">
        <v>3966</v>
      </c>
      <c r="P185" s="16" t="s">
        <v>3136</v>
      </c>
      <c r="Q185" s="152" t="s">
        <v>3967</v>
      </c>
      <c r="R185" s="122">
        <v>45992.0</v>
      </c>
      <c r="S185" s="16" t="s">
        <v>3671</v>
      </c>
      <c r="T185" s="17"/>
      <c r="U185" s="16" t="s">
        <v>3283</v>
      </c>
      <c r="V185" s="16" t="s">
        <v>3672</v>
      </c>
      <c r="W185" s="17"/>
      <c r="X185" s="17"/>
      <c r="Y185" s="16" t="s">
        <v>3283</v>
      </c>
      <c r="Z185" s="16" t="s">
        <v>3672</v>
      </c>
      <c r="AA185" s="17"/>
      <c r="AB185" s="17"/>
    </row>
    <row r="186">
      <c r="A186" s="16">
        <f t="shared" si="2"/>
        <v>185</v>
      </c>
      <c r="B186" s="16" t="s">
        <v>540</v>
      </c>
      <c r="C186" s="16" t="s">
        <v>541</v>
      </c>
      <c r="D186" s="16" t="s">
        <v>542</v>
      </c>
      <c r="E186" s="16" t="s">
        <v>3106</v>
      </c>
      <c r="F186" s="16" t="s">
        <v>10</v>
      </c>
      <c r="G186" s="16" t="s">
        <v>3905</v>
      </c>
      <c r="H186" s="16" t="s">
        <v>12</v>
      </c>
      <c r="I186" s="17"/>
      <c r="J186" s="16" t="s">
        <v>13</v>
      </c>
      <c r="K186" s="16" t="s">
        <v>444</v>
      </c>
      <c r="L186" s="154">
        <v>44021.0</v>
      </c>
      <c r="M186" s="16">
        <f t="shared" si="1"/>
        <v>6</v>
      </c>
      <c r="N186" s="17"/>
      <c r="O186" s="16" t="s">
        <v>3968</v>
      </c>
      <c r="P186" s="16" t="s">
        <v>3136</v>
      </c>
      <c r="Q186" s="152" t="s">
        <v>3969</v>
      </c>
      <c r="R186" s="122">
        <v>45992.0</v>
      </c>
      <c r="S186" s="16" t="s">
        <v>3671</v>
      </c>
      <c r="T186" s="17"/>
      <c r="U186" s="16" t="s">
        <v>3283</v>
      </c>
      <c r="V186" s="16" t="s">
        <v>3672</v>
      </c>
      <c r="W186" s="17"/>
      <c r="X186" s="17"/>
      <c r="Y186" s="16" t="s">
        <v>3283</v>
      </c>
      <c r="Z186" s="16" t="s">
        <v>3672</v>
      </c>
      <c r="AA186" s="17"/>
      <c r="AB186" s="17"/>
    </row>
    <row r="187">
      <c r="A187" s="16">
        <f t="shared" si="2"/>
        <v>186</v>
      </c>
      <c r="B187" s="16" t="s">
        <v>543</v>
      </c>
      <c r="C187" s="16" t="s">
        <v>544</v>
      </c>
      <c r="D187" s="16" t="s">
        <v>545</v>
      </c>
      <c r="E187" s="16" t="s">
        <v>3106</v>
      </c>
      <c r="F187" s="16" t="s">
        <v>10</v>
      </c>
      <c r="G187" s="16" t="s">
        <v>3905</v>
      </c>
      <c r="H187" s="16" t="s">
        <v>12</v>
      </c>
      <c r="I187" s="17"/>
      <c r="J187" s="16" t="s">
        <v>13</v>
      </c>
      <c r="K187" s="16" t="s">
        <v>444</v>
      </c>
      <c r="L187" s="154">
        <v>44021.0</v>
      </c>
      <c r="M187" s="16">
        <f t="shared" si="1"/>
        <v>6</v>
      </c>
      <c r="N187" s="17"/>
      <c r="O187" s="16" t="s">
        <v>3970</v>
      </c>
      <c r="P187" s="16" t="s">
        <v>3136</v>
      </c>
      <c r="Q187" s="152" t="s">
        <v>3971</v>
      </c>
      <c r="R187" s="122">
        <v>45992.0</v>
      </c>
      <c r="S187" s="16" t="s">
        <v>3671</v>
      </c>
      <c r="T187" s="17"/>
      <c r="U187" s="16" t="s">
        <v>3283</v>
      </c>
      <c r="V187" s="16" t="s">
        <v>3672</v>
      </c>
      <c r="W187" s="17"/>
      <c r="X187" s="17"/>
      <c r="Y187" s="16" t="s">
        <v>3283</v>
      </c>
      <c r="Z187" s="16" t="s">
        <v>3672</v>
      </c>
      <c r="AA187" s="17"/>
      <c r="AB187" s="17"/>
    </row>
    <row r="188">
      <c r="A188" s="16">
        <f t="shared" si="2"/>
        <v>187</v>
      </c>
      <c r="B188" s="16" t="s">
        <v>546</v>
      </c>
      <c r="C188" s="16" t="s">
        <v>547</v>
      </c>
      <c r="D188" s="16" t="s">
        <v>524</v>
      </c>
      <c r="E188" s="16" t="s">
        <v>3106</v>
      </c>
      <c r="F188" s="16" t="s">
        <v>10</v>
      </c>
      <c r="G188" s="16" t="s">
        <v>3669</v>
      </c>
      <c r="H188" s="16" t="s">
        <v>12</v>
      </c>
      <c r="I188" s="16" t="s">
        <v>3396</v>
      </c>
      <c r="J188" s="16" t="s">
        <v>13</v>
      </c>
      <c r="K188" s="16" t="s">
        <v>11</v>
      </c>
      <c r="L188" s="154">
        <v>44021.0</v>
      </c>
      <c r="M188" s="16">
        <f t="shared" si="1"/>
        <v>6</v>
      </c>
      <c r="N188" s="16">
        <v>5.0003569E7</v>
      </c>
      <c r="O188" s="16" t="s">
        <v>3972</v>
      </c>
      <c r="P188" s="16" t="s">
        <v>3136</v>
      </c>
      <c r="Q188" s="152" t="s">
        <v>3973</v>
      </c>
      <c r="R188" s="17"/>
      <c r="S188" s="16" t="s">
        <v>3671</v>
      </c>
      <c r="T188" s="17"/>
      <c r="U188" s="16" t="s">
        <v>3283</v>
      </c>
      <c r="V188" s="16" t="s">
        <v>3672</v>
      </c>
      <c r="W188" s="17"/>
      <c r="X188" s="17"/>
      <c r="Y188" s="16" t="s">
        <v>3283</v>
      </c>
      <c r="Z188" s="16" t="s">
        <v>3672</v>
      </c>
      <c r="AA188" s="17"/>
      <c r="AB188" s="17"/>
    </row>
    <row r="189">
      <c r="A189" s="16">
        <f t="shared" si="2"/>
        <v>188</v>
      </c>
      <c r="B189" s="16" t="s">
        <v>548</v>
      </c>
      <c r="C189" s="16" t="s">
        <v>549</v>
      </c>
      <c r="D189" s="16" t="s">
        <v>550</v>
      </c>
      <c r="E189" s="16" t="s">
        <v>3106</v>
      </c>
      <c r="F189" s="16" t="s">
        <v>10</v>
      </c>
      <c r="G189" s="16" t="s">
        <v>3905</v>
      </c>
      <c r="H189" s="16" t="s">
        <v>12</v>
      </c>
      <c r="I189" s="17"/>
      <c r="J189" s="16" t="s">
        <v>13</v>
      </c>
      <c r="K189" s="16" t="s">
        <v>444</v>
      </c>
      <c r="L189" s="154">
        <v>44021.0</v>
      </c>
      <c r="M189" s="16">
        <f t="shared" si="1"/>
        <v>6</v>
      </c>
      <c r="N189" s="17"/>
      <c r="O189" s="16" t="s">
        <v>3974</v>
      </c>
      <c r="P189" s="16" t="s">
        <v>3136</v>
      </c>
      <c r="Q189" s="152" t="s">
        <v>3975</v>
      </c>
      <c r="R189" s="17"/>
      <c r="S189" s="16" t="s">
        <v>3671</v>
      </c>
      <c r="T189" s="17"/>
      <c r="U189" s="16" t="s">
        <v>3283</v>
      </c>
      <c r="V189" s="16" t="s">
        <v>3672</v>
      </c>
      <c r="W189" s="17"/>
      <c r="X189" s="17"/>
      <c r="Y189" s="16" t="s">
        <v>3283</v>
      </c>
      <c r="Z189" s="16" t="s">
        <v>3672</v>
      </c>
      <c r="AA189" s="17"/>
      <c r="AB189" s="17"/>
    </row>
    <row r="190">
      <c r="A190" s="16">
        <f t="shared" si="2"/>
        <v>189</v>
      </c>
      <c r="B190" s="16" t="s">
        <v>551</v>
      </c>
      <c r="C190" s="16" t="s">
        <v>552</v>
      </c>
      <c r="D190" s="16" t="s">
        <v>553</v>
      </c>
      <c r="E190" s="16" t="s">
        <v>3106</v>
      </c>
      <c r="F190" s="16" t="s">
        <v>10</v>
      </c>
      <c r="G190" s="16" t="s">
        <v>3678</v>
      </c>
      <c r="H190" s="16" t="s">
        <v>12</v>
      </c>
      <c r="I190" s="17"/>
      <c r="J190" s="16" t="s">
        <v>36</v>
      </c>
      <c r="K190" s="16" t="s">
        <v>35</v>
      </c>
      <c r="L190" s="154">
        <v>43153.0</v>
      </c>
      <c r="M190" s="16">
        <f t="shared" si="1"/>
        <v>8</v>
      </c>
      <c r="N190" s="17"/>
      <c r="O190" s="111"/>
      <c r="P190" s="16" t="s">
        <v>3136</v>
      </c>
      <c r="Q190" s="152" t="s">
        <v>3976</v>
      </c>
      <c r="R190" s="17"/>
      <c r="S190" s="16" t="s">
        <v>3671</v>
      </c>
      <c r="T190" s="17"/>
      <c r="U190" s="16" t="s">
        <v>3171</v>
      </c>
      <c r="V190" s="17"/>
      <c r="W190" s="17"/>
      <c r="X190" s="17"/>
      <c r="Y190" s="16" t="s">
        <v>3171</v>
      </c>
      <c r="Z190" s="16" t="s">
        <v>3672</v>
      </c>
      <c r="AA190" s="17"/>
      <c r="AB190" s="17"/>
    </row>
    <row r="191">
      <c r="A191" s="16">
        <f t="shared" si="2"/>
        <v>190</v>
      </c>
      <c r="B191" s="16" t="s">
        <v>554</v>
      </c>
      <c r="C191" s="16" t="s">
        <v>555</v>
      </c>
      <c r="D191" s="16" t="s">
        <v>556</v>
      </c>
      <c r="E191" s="16" t="s">
        <v>3106</v>
      </c>
      <c r="F191" s="16" t="s">
        <v>10</v>
      </c>
      <c r="G191" s="16" t="s">
        <v>3715</v>
      </c>
      <c r="H191" s="16" t="s">
        <v>12</v>
      </c>
      <c r="I191" s="17"/>
      <c r="J191" s="16" t="s">
        <v>13</v>
      </c>
      <c r="K191" s="16" t="s">
        <v>93</v>
      </c>
      <c r="L191" s="154">
        <v>44090.0</v>
      </c>
      <c r="M191" s="16">
        <f t="shared" si="1"/>
        <v>6</v>
      </c>
      <c r="N191" s="17"/>
      <c r="O191" s="111"/>
      <c r="P191" s="16" t="s">
        <v>3136</v>
      </c>
      <c r="Q191" s="152" t="s">
        <v>3977</v>
      </c>
      <c r="R191" s="17"/>
      <c r="S191" s="16" t="s">
        <v>3671</v>
      </c>
      <c r="T191" s="17"/>
      <c r="U191" s="16" t="s">
        <v>3171</v>
      </c>
      <c r="V191" s="17"/>
      <c r="W191" s="17"/>
      <c r="X191" s="17"/>
      <c r="Y191" s="16" t="s">
        <v>3171</v>
      </c>
      <c r="Z191" s="16" t="s">
        <v>3672</v>
      </c>
      <c r="AA191" s="17"/>
      <c r="AB191" s="17"/>
    </row>
    <row r="192">
      <c r="A192" s="16">
        <f t="shared" si="2"/>
        <v>191</v>
      </c>
      <c r="B192" s="16" t="s">
        <v>557</v>
      </c>
      <c r="C192" s="16" t="s">
        <v>558</v>
      </c>
      <c r="D192" s="16" t="s">
        <v>559</v>
      </c>
      <c r="E192" s="16" t="s">
        <v>3106</v>
      </c>
      <c r="F192" s="16" t="s">
        <v>10</v>
      </c>
      <c r="G192" s="16" t="s">
        <v>3715</v>
      </c>
      <c r="H192" s="16" t="s">
        <v>12</v>
      </c>
      <c r="I192" s="17"/>
      <c r="J192" s="16" t="s">
        <v>13</v>
      </c>
      <c r="K192" s="16" t="s">
        <v>93</v>
      </c>
      <c r="L192" s="154">
        <v>44090.0</v>
      </c>
      <c r="M192" s="16">
        <f t="shared" si="1"/>
        <v>6</v>
      </c>
      <c r="N192" s="17"/>
      <c r="O192" s="111"/>
      <c r="P192" s="16" t="s">
        <v>3136</v>
      </c>
      <c r="Q192" s="152" t="s">
        <v>3978</v>
      </c>
      <c r="R192" s="17"/>
      <c r="S192" s="16" t="s">
        <v>3671</v>
      </c>
      <c r="T192" s="17"/>
      <c r="U192" s="16" t="s">
        <v>3171</v>
      </c>
      <c r="V192" s="17"/>
      <c r="W192" s="17"/>
      <c r="X192" s="17"/>
      <c r="Y192" s="16" t="s">
        <v>3171</v>
      </c>
      <c r="Z192" s="16" t="s">
        <v>3672</v>
      </c>
      <c r="AA192" s="17"/>
      <c r="AB192" s="17"/>
    </row>
    <row r="193">
      <c r="A193" s="16">
        <f t="shared" si="2"/>
        <v>192</v>
      </c>
      <c r="B193" s="16" t="s">
        <v>560</v>
      </c>
      <c r="C193" s="16" t="s">
        <v>561</v>
      </c>
      <c r="D193" s="16" t="s">
        <v>562</v>
      </c>
      <c r="E193" s="16" t="s">
        <v>3106</v>
      </c>
      <c r="F193" s="16" t="s">
        <v>10</v>
      </c>
      <c r="G193" s="16" t="s">
        <v>3715</v>
      </c>
      <c r="H193" s="16" t="s">
        <v>12</v>
      </c>
      <c r="I193" s="17"/>
      <c r="J193" s="16" t="s">
        <v>13</v>
      </c>
      <c r="K193" s="16" t="s">
        <v>93</v>
      </c>
      <c r="L193" s="154">
        <v>44243.0</v>
      </c>
      <c r="M193" s="16">
        <f t="shared" si="1"/>
        <v>5</v>
      </c>
      <c r="N193" s="17"/>
      <c r="O193" s="111"/>
      <c r="P193" s="16" t="s">
        <v>3136</v>
      </c>
      <c r="Q193" s="152" t="s">
        <v>3979</v>
      </c>
      <c r="R193" s="17"/>
      <c r="S193" s="16" t="s">
        <v>3671</v>
      </c>
      <c r="T193" s="17"/>
      <c r="U193" s="16" t="s">
        <v>3171</v>
      </c>
      <c r="V193" s="17"/>
      <c r="W193" s="17"/>
      <c r="X193" s="17"/>
      <c r="Y193" s="16" t="s">
        <v>3171</v>
      </c>
      <c r="Z193" s="16" t="s">
        <v>3672</v>
      </c>
      <c r="AA193" s="17"/>
      <c r="AB193" s="17"/>
    </row>
    <row r="194">
      <c r="A194" s="16">
        <f t="shared" si="2"/>
        <v>193</v>
      </c>
      <c r="B194" s="16" t="s">
        <v>563</v>
      </c>
      <c r="C194" s="16" t="s">
        <v>564</v>
      </c>
      <c r="D194" s="16" t="s">
        <v>565</v>
      </c>
      <c r="E194" s="16" t="s">
        <v>3106</v>
      </c>
      <c r="F194" s="16" t="s">
        <v>10</v>
      </c>
      <c r="G194" s="16" t="s">
        <v>3905</v>
      </c>
      <c r="H194" s="16" t="s">
        <v>12</v>
      </c>
      <c r="I194" s="17"/>
      <c r="J194" s="16" t="s">
        <v>13</v>
      </c>
      <c r="K194" s="16" t="s">
        <v>444</v>
      </c>
      <c r="L194" s="154">
        <v>44026.0</v>
      </c>
      <c r="M194" s="16">
        <f t="shared" si="1"/>
        <v>6</v>
      </c>
      <c r="N194" s="17"/>
      <c r="O194" s="111"/>
      <c r="P194" s="16" t="s">
        <v>3136</v>
      </c>
      <c r="Q194" s="152" t="s">
        <v>3980</v>
      </c>
      <c r="R194" s="17"/>
      <c r="S194" s="16" t="s">
        <v>3671</v>
      </c>
      <c r="T194" s="17"/>
      <c r="U194" s="16" t="s">
        <v>3171</v>
      </c>
      <c r="V194" s="17"/>
      <c r="W194" s="17"/>
      <c r="X194" s="17"/>
      <c r="Y194" s="16" t="s">
        <v>3171</v>
      </c>
      <c r="Z194" s="16" t="s">
        <v>3672</v>
      </c>
      <c r="AA194" s="17"/>
      <c r="AB194" s="17"/>
    </row>
    <row r="195">
      <c r="A195" s="16">
        <f t="shared" si="2"/>
        <v>194</v>
      </c>
      <c r="B195" s="16" t="s">
        <v>566</v>
      </c>
      <c r="C195" s="16" t="s">
        <v>567</v>
      </c>
      <c r="D195" s="16" t="s">
        <v>568</v>
      </c>
      <c r="E195" s="16" t="s">
        <v>3106</v>
      </c>
      <c r="F195" s="16" t="s">
        <v>10</v>
      </c>
      <c r="G195" s="16" t="s">
        <v>3715</v>
      </c>
      <c r="H195" s="16" t="s">
        <v>12</v>
      </c>
      <c r="I195" s="17"/>
      <c r="J195" s="16" t="s">
        <v>13</v>
      </c>
      <c r="K195" s="16" t="s">
        <v>93</v>
      </c>
      <c r="L195" s="154">
        <v>44243.0</v>
      </c>
      <c r="M195" s="16">
        <f t="shared" si="1"/>
        <v>5</v>
      </c>
      <c r="N195" s="17"/>
      <c r="O195" s="16" t="s">
        <v>2557</v>
      </c>
      <c r="P195" s="16" t="s">
        <v>3121</v>
      </c>
      <c r="Q195" s="152" t="s">
        <v>3981</v>
      </c>
      <c r="R195" s="123">
        <v>46007.0</v>
      </c>
      <c r="S195" s="16" t="s">
        <v>3673</v>
      </c>
      <c r="T195" s="16" t="s">
        <v>3982</v>
      </c>
      <c r="U195" s="16" t="s">
        <v>3983</v>
      </c>
      <c r="V195" s="16" t="s">
        <v>3681</v>
      </c>
      <c r="W195" s="17"/>
      <c r="X195" s="16" t="s">
        <v>3982</v>
      </c>
      <c r="Y195" s="16" t="s">
        <v>3983</v>
      </c>
      <c r="Z195" s="16" t="s">
        <v>3681</v>
      </c>
      <c r="AA195" s="17"/>
      <c r="AB195" s="17"/>
    </row>
    <row r="196">
      <c r="A196" s="16">
        <f t="shared" si="2"/>
        <v>195</v>
      </c>
      <c r="B196" s="16" t="s">
        <v>569</v>
      </c>
      <c r="C196" s="16" t="s">
        <v>570</v>
      </c>
      <c r="D196" s="16" t="s">
        <v>571</v>
      </c>
      <c r="E196" s="16" t="s">
        <v>3106</v>
      </c>
      <c r="F196" s="16" t="s">
        <v>10</v>
      </c>
      <c r="G196" s="16" t="s">
        <v>3905</v>
      </c>
      <c r="H196" s="16" t="s">
        <v>12</v>
      </c>
      <c r="I196" s="17"/>
      <c r="J196" s="16" t="s">
        <v>13</v>
      </c>
      <c r="K196" s="16" t="s">
        <v>444</v>
      </c>
      <c r="L196" s="154">
        <v>44026.0</v>
      </c>
      <c r="M196" s="16">
        <f t="shared" si="1"/>
        <v>6</v>
      </c>
      <c r="N196" s="17"/>
      <c r="O196" s="16" t="s">
        <v>3769</v>
      </c>
      <c r="P196" s="16" t="s">
        <v>3136</v>
      </c>
      <c r="Q196" s="152" t="s">
        <v>3984</v>
      </c>
      <c r="R196" s="17"/>
      <c r="S196" s="16" t="s">
        <v>3671</v>
      </c>
      <c r="T196" s="17"/>
      <c r="U196" s="16" t="s">
        <v>3171</v>
      </c>
      <c r="V196" s="17"/>
      <c r="W196" s="17"/>
      <c r="X196" s="17"/>
      <c r="Y196" s="16" t="s">
        <v>3171</v>
      </c>
      <c r="Z196" s="16" t="s">
        <v>3672</v>
      </c>
      <c r="AA196" s="17"/>
      <c r="AB196" s="17"/>
    </row>
    <row r="197">
      <c r="A197" s="16">
        <f t="shared" si="2"/>
        <v>196</v>
      </c>
      <c r="B197" s="16" t="s">
        <v>572</v>
      </c>
      <c r="C197" s="16" t="s">
        <v>573</v>
      </c>
      <c r="D197" s="16" t="s">
        <v>574</v>
      </c>
      <c r="E197" s="16" t="s">
        <v>3106</v>
      </c>
      <c r="F197" s="16" t="s">
        <v>10</v>
      </c>
      <c r="G197" s="16" t="s">
        <v>3905</v>
      </c>
      <c r="H197" s="16" t="s">
        <v>12</v>
      </c>
      <c r="I197" s="17"/>
      <c r="J197" s="16" t="s">
        <v>13</v>
      </c>
      <c r="K197" s="16" t="s">
        <v>444</v>
      </c>
      <c r="L197" s="154">
        <v>44026.0</v>
      </c>
      <c r="M197" s="16">
        <f t="shared" si="1"/>
        <v>6</v>
      </c>
      <c r="N197" s="17"/>
      <c r="O197" s="16" t="s">
        <v>3774</v>
      </c>
      <c r="P197" s="16" t="s">
        <v>3136</v>
      </c>
      <c r="Q197" s="152" t="s">
        <v>3985</v>
      </c>
      <c r="R197" s="17"/>
      <c r="S197" s="16" t="s">
        <v>3671</v>
      </c>
      <c r="T197" s="17"/>
      <c r="U197" s="16" t="s">
        <v>3171</v>
      </c>
      <c r="V197" s="17"/>
      <c r="W197" s="17"/>
      <c r="X197" s="17"/>
      <c r="Y197" s="16" t="s">
        <v>3171</v>
      </c>
      <c r="Z197" s="16" t="s">
        <v>3672</v>
      </c>
      <c r="AA197" s="17"/>
      <c r="AB197" s="17"/>
    </row>
    <row r="198">
      <c r="A198" s="16">
        <f t="shared" si="2"/>
        <v>197</v>
      </c>
      <c r="B198" s="16" t="s">
        <v>575</v>
      </c>
      <c r="C198" s="16" t="s">
        <v>576</v>
      </c>
      <c r="D198" s="16" t="s">
        <v>577</v>
      </c>
      <c r="E198" s="16" t="s">
        <v>3106</v>
      </c>
      <c r="F198" s="16" t="s">
        <v>10</v>
      </c>
      <c r="G198" s="16" t="s">
        <v>3715</v>
      </c>
      <c r="H198" s="16" t="s">
        <v>12</v>
      </c>
      <c r="I198" s="17"/>
      <c r="J198" s="16" t="s">
        <v>13</v>
      </c>
      <c r="K198" s="16" t="s">
        <v>93</v>
      </c>
      <c r="L198" s="154">
        <v>44243.0</v>
      </c>
      <c r="M198" s="16">
        <f t="shared" si="1"/>
        <v>5</v>
      </c>
      <c r="N198" s="17"/>
      <c r="O198" s="16" t="s">
        <v>3727</v>
      </c>
      <c r="P198" s="16" t="s">
        <v>3136</v>
      </c>
      <c r="Q198" s="152" t="s">
        <v>3986</v>
      </c>
      <c r="R198" s="17"/>
      <c r="S198" s="16" t="s">
        <v>3671</v>
      </c>
      <c r="T198" s="17"/>
      <c r="U198" s="16" t="s">
        <v>3171</v>
      </c>
      <c r="V198" s="17"/>
      <c r="W198" s="17"/>
      <c r="X198" s="17"/>
      <c r="Y198" s="16" t="s">
        <v>3171</v>
      </c>
      <c r="Z198" s="16" t="s">
        <v>3672</v>
      </c>
      <c r="AA198" s="17"/>
      <c r="AB198" s="16" t="s">
        <v>3987</v>
      </c>
    </row>
    <row r="199">
      <c r="A199" s="16">
        <f t="shared" si="2"/>
        <v>198</v>
      </c>
      <c r="B199" s="16" t="s">
        <v>578</v>
      </c>
      <c r="C199" s="16" t="s">
        <v>579</v>
      </c>
      <c r="D199" s="16" t="s">
        <v>580</v>
      </c>
      <c r="E199" s="16" t="s">
        <v>3106</v>
      </c>
      <c r="F199" s="16" t="s">
        <v>10</v>
      </c>
      <c r="G199" s="16" t="s">
        <v>3715</v>
      </c>
      <c r="H199" s="16" t="s">
        <v>12</v>
      </c>
      <c r="I199" s="17"/>
      <c r="J199" s="16" t="s">
        <v>13</v>
      </c>
      <c r="K199" s="16" t="s">
        <v>93</v>
      </c>
      <c r="L199" s="154">
        <v>44243.0</v>
      </c>
      <c r="M199" s="16">
        <f t="shared" si="1"/>
        <v>5</v>
      </c>
      <c r="N199" s="17"/>
      <c r="O199" s="16" t="s">
        <v>3773</v>
      </c>
      <c r="P199" s="16" t="s">
        <v>3136</v>
      </c>
      <c r="Q199" s="152" t="s">
        <v>3943</v>
      </c>
      <c r="R199" s="17"/>
      <c r="S199" s="16" t="s">
        <v>3671</v>
      </c>
      <c r="T199" s="17"/>
      <c r="U199" s="16" t="s">
        <v>3171</v>
      </c>
      <c r="V199" s="17"/>
      <c r="W199" s="17"/>
      <c r="X199" s="17"/>
      <c r="Y199" s="16" t="s">
        <v>3171</v>
      </c>
      <c r="Z199" s="16" t="s">
        <v>3672</v>
      </c>
      <c r="AA199" s="17"/>
      <c r="AB199" s="17"/>
    </row>
    <row r="200">
      <c r="A200" s="16">
        <f t="shared" si="2"/>
        <v>199</v>
      </c>
      <c r="B200" s="16" t="s">
        <v>581</v>
      </c>
      <c r="C200" s="16" t="s">
        <v>582</v>
      </c>
      <c r="D200" s="16" t="s">
        <v>583</v>
      </c>
      <c r="E200" s="16" t="s">
        <v>3106</v>
      </c>
      <c r="F200" s="16" t="s">
        <v>10</v>
      </c>
      <c r="G200" s="16" t="s">
        <v>3715</v>
      </c>
      <c r="H200" s="16" t="s">
        <v>12</v>
      </c>
      <c r="I200" s="17"/>
      <c r="J200" s="16" t="s">
        <v>13</v>
      </c>
      <c r="K200" s="16" t="s">
        <v>93</v>
      </c>
      <c r="L200" s="154">
        <v>44090.0</v>
      </c>
      <c r="M200" s="16">
        <f t="shared" si="1"/>
        <v>6</v>
      </c>
      <c r="N200" s="17"/>
      <c r="O200" s="16" t="s">
        <v>3772</v>
      </c>
      <c r="P200" s="16" t="s">
        <v>3136</v>
      </c>
      <c r="Q200" s="152" t="s">
        <v>3946</v>
      </c>
      <c r="R200" s="17"/>
      <c r="S200" s="16" t="s">
        <v>3671</v>
      </c>
      <c r="T200" s="17"/>
      <c r="U200" s="16" t="s">
        <v>3171</v>
      </c>
      <c r="V200" s="17"/>
      <c r="W200" s="17"/>
      <c r="X200" s="17"/>
      <c r="Y200" s="16" t="s">
        <v>3171</v>
      </c>
      <c r="Z200" s="16" t="s">
        <v>3672</v>
      </c>
      <c r="AA200" s="17"/>
      <c r="AB200" s="17"/>
    </row>
    <row r="201">
      <c r="A201" s="16">
        <f t="shared" si="2"/>
        <v>200</v>
      </c>
      <c r="B201" s="16" t="s">
        <v>584</v>
      </c>
      <c r="C201" s="16" t="s">
        <v>585</v>
      </c>
      <c r="D201" s="16" t="s">
        <v>586</v>
      </c>
      <c r="E201" s="16" t="s">
        <v>3106</v>
      </c>
      <c r="F201" s="16" t="s">
        <v>10</v>
      </c>
      <c r="G201" s="16" t="s">
        <v>3669</v>
      </c>
      <c r="H201" s="16" t="s">
        <v>12</v>
      </c>
      <c r="I201" s="16" t="s">
        <v>3396</v>
      </c>
      <c r="J201" s="16" t="s">
        <v>13</v>
      </c>
      <c r="K201" s="16" t="s">
        <v>11</v>
      </c>
      <c r="L201" s="154">
        <v>44544.0</v>
      </c>
      <c r="M201" s="16">
        <f t="shared" si="1"/>
        <v>5</v>
      </c>
      <c r="N201" s="16">
        <v>5.000436E7</v>
      </c>
      <c r="O201" s="16" t="s">
        <v>3519</v>
      </c>
      <c r="P201" s="16" t="s">
        <v>3136</v>
      </c>
      <c r="Q201" s="152" t="s">
        <v>3933</v>
      </c>
      <c r="R201" s="17"/>
      <c r="S201" s="16" t="s">
        <v>3671</v>
      </c>
      <c r="T201" s="17"/>
      <c r="U201" s="16" t="s">
        <v>2999</v>
      </c>
      <c r="V201" s="16" t="s">
        <v>3729</v>
      </c>
      <c r="W201" s="17"/>
      <c r="X201" s="17"/>
      <c r="Y201" s="16" t="s">
        <v>3988</v>
      </c>
      <c r="Z201" s="16" t="s">
        <v>3729</v>
      </c>
      <c r="AA201" s="17"/>
      <c r="AB201" s="17"/>
    </row>
    <row r="202">
      <c r="A202" s="16">
        <f t="shared" si="2"/>
        <v>201</v>
      </c>
      <c r="B202" s="16" t="s">
        <v>587</v>
      </c>
      <c r="C202" s="16" t="s">
        <v>588</v>
      </c>
      <c r="D202" s="16" t="s">
        <v>589</v>
      </c>
      <c r="E202" s="16" t="s">
        <v>3106</v>
      </c>
      <c r="F202" s="16" t="s">
        <v>10</v>
      </c>
      <c r="G202" s="16" t="s">
        <v>3669</v>
      </c>
      <c r="H202" s="16" t="s">
        <v>12</v>
      </c>
      <c r="I202" s="17"/>
      <c r="J202" s="16" t="s">
        <v>13</v>
      </c>
      <c r="K202" s="16" t="s">
        <v>11</v>
      </c>
      <c r="L202" s="154">
        <v>44368.0</v>
      </c>
      <c r="M202" s="16">
        <f t="shared" si="1"/>
        <v>5</v>
      </c>
      <c r="N202" s="16">
        <v>5.00004131E8</v>
      </c>
      <c r="O202" s="16" t="s">
        <v>3519</v>
      </c>
      <c r="P202" s="16" t="s">
        <v>3136</v>
      </c>
      <c r="Q202" s="152" t="s">
        <v>3968</v>
      </c>
      <c r="R202" s="17"/>
      <c r="S202" s="16" t="s">
        <v>3671</v>
      </c>
      <c r="T202" s="17"/>
      <c r="U202" s="16" t="s">
        <v>2999</v>
      </c>
      <c r="V202" s="16" t="s">
        <v>3729</v>
      </c>
      <c r="W202" s="17"/>
      <c r="X202" s="17"/>
      <c r="Y202" s="16" t="s">
        <v>3988</v>
      </c>
      <c r="Z202" s="16" t="s">
        <v>3729</v>
      </c>
      <c r="AA202" s="17"/>
      <c r="AB202" s="17"/>
    </row>
    <row r="203">
      <c r="A203" s="16">
        <f t="shared" si="2"/>
        <v>202</v>
      </c>
      <c r="B203" s="16" t="s">
        <v>590</v>
      </c>
      <c r="C203" s="16" t="s">
        <v>591</v>
      </c>
      <c r="D203" s="16" t="s">
        <v>592</v>
      </c>
      <c r="E203" s="16" t="s">
        <v>3106</v>
      </c>
      <c r="F203" s="16" t="s">
        <v>10</v>
      </c>
      <c r="G203" s="16" t="s">
        <v>3669</v>
      </c>
      <c r="H203" s="16" t="s">
        <v>12</v>
      </c>
      <c r="I203" s="16" t="s">
        <v>3396</v>
      </c>
      <c r="J203" s="16" t="s">
        <v>13</v>
      </c>
      <c r="K203" s="16" t="s">
        <v>11</v>
      </c>
      <c r="L203" s="154">
        <v>44544.0</v>
      </c>
      <c r="M203" s="16">
        <f t="shared" si="1"/>
        <v>5</v>
      </c>
      <c r="N203" s="16">
        <v>5.000436E7</v>
      </c>
      <c r="O203" s="16" t="s">
        <v>3519</v>
      </c>
      <c r="P203" s="16" t="s">
        <v>3136</v>
      </c>
      <c r="Q203" s="152" t="s">
        <v>3915</v>
      </c>
      <c r="R203" s="17"/>
      <c r="S203" s="16" t="s">
        <v>3671</v>
      </c>
      <c r="T203" s="17"/>
      <c r="U203" s="16" t="s">
        <v>2999</v>
      </c>
      <c r="V203" s="16" t="s">
        <v>3729</v>
      </c>
      <c r="W203" s="17"/>
      <c r="X203" s="17"/>
      <c r="Y203" s="16" t="s">
        <v>3988</v>
      </c>
      <c r="Z203" s="16" t="s">
        <v>3729</v>
      </c>
      <c r="AA203" s="17"/>
      <c r="AB203" s="17"/>
    </row>
    <row r="204">
      <c r="A204" s="16">
        <f t="shared" si="2"/>
        <v>203</v>
      </c>
      <c r="B204" s="16" t="s">
        <v>593</v>
      </c>
      <c r="C204" s="16" t="s">
        <v>594</v>
      </c>
      <c r="D204" s="16" t="s">
        <v>595</v>
      </c>
      <c r="E204" s="16" t="s">
        <v>3106</v>
      </c>
      <c r="F204" s="16" t="s">
        <v>10</v>
      </c>
      <c r="G204" s="16" t="s">
        <v>3669</v>
      </c>
      <c r="H204" s="16" t="s">
        <v>12</v>
      </c>
      <c r="I204" s="16" t="s">
        <v>3396</v>
      </c>
      <c r="J204" s="16" t="s">
        <v>13</v>
      </c>
      <c r="K204" s="16" t="s">
        <v>11</v>
      </c>
      <c r="L204" s="154">
        <v>44544.0</v>
      </c>
      <c r="M204" s="16">
        <f t="shared" si="1"/>
        <v>5</v>
      </c>
      <c r="N204" s="16">
        <v>5.000436E7</v>
      </c>
      <c r="O204" s="16" t="s">
        <v>3519</v>
      </c>
      <c r="P204" s="16" t="s">
        <v>3136</v>
      </c>
      <c r="Q204" s="152" t="s">
        <v>3970</v>
      </c>
      <c r="R204" s="17"/>
      <c r="S204" s="16" t="s">
        <v>3671</v>
      </c>
      <c r="T204" s="17"/>
      <c r="U204" s="16" t="s">
        <v>2999</v>
      </c>
      <c r="V204" s="16" t="s">
        <v>3729</v>
      </c>
      <c r="W204" s="17"/>
      <c r="X204" s="17"/>
      <c r="Y204" s="16" t="s">
        <v>3988</v>
      </c>
      <c r="Z204" s="16" t="s">
        <v>3729</v>
      </c>
      <c r="AA204" s="17"/>
      <c r="AB204" s="17"/>
    </row>
    <row r="205">
      <c r="A205" s="16">
        <f t="shared" si="2"/>
        <v>204</v>
      </c>
      <c r="B205" s="16" t="s">
        <v>596</v>
      </c>
      <c r="C205" s="16" t="s">
        <v>597</v>
      </c>
      <c r="D205" s="16" t="s">
        <v>598</v>
      </c>
      <c r="E205" s="16" t="s">
        <v>3106</v>
      </c>
      <c r="F205" s="16" t="s">
        <v>10</v>
      </c>
      <c r="G205" s="16" t="s">
        <v>3669</v>
      </c>
      <c r="H205" s="16" t="s">
        <v>12</v>
      </c>
      <c r="I205" s="17"/>
      <c r="J205" s="16" t="s">
        <v>13</v>
      </c>
      <c r="K205" s="16" t="s">
        <v>11</v>
      </c>
      <c r="L205" s="154">
        <v>44368.0</v>
      </c>
      <c r="M205" s="16">
        <f t="shared" si="1"/>
        <v>5</v>
      </c>
      <c r="N205" s="16">
        <v>5.00004131E8</v>
      </c>
      <c r="O205" s="16" t="s">
        <v>3519</v>
      </c>
      <c r="P205" s="16" t="s">
        <v>3136</v>
      </c>
      <c r="Q205" s="152" t="s">
        <v>3966</v>
      </c>
      <c r="R205" s="17"/>
      <c r="S205" s="16" t="s">
        <v>3671</v>
      </c>
      <c r="T205" s="17"/>
      <c r="U205" s="16" t="s">
        <v>2999</v>
      </c>
      <c r="V205" s="16" t="s">
        <v>3729</v>
      </c>
      <c r="W205" s="17"/>
      <c r="X205" s="17"/>
      <c r="Y205" s="16" t="s">
        <v>3988</v>
      </c>
      <c r="Z205" s="16" t="s">
        <v>3729</v>
      </c>
      <c r="AA205" s="17"/>
      <c r="AB205" s="17"/>
    </row>
    <row r="206">
      <c r="A206" s="16">
        <f t="shared" si="2"/>
        <v>205</v>
      </c>
      <c r="B206" s="16" t="s">
        <v>599</v>
      </c>
      <c r="C206" s="16" t="s">
        <v>600</v>
      </c>
      <c r="D206" s="16" t="s">
        <v>601</v>
      </c>
      <c r="E206" s="16" t="s">
        <v>3106</v>
      </c>
      <c r="F206" s="16" t="s">
        <v>10</v>
      </c>
      <c r="G206" s="16" t="s">
        <v>3669</v>
      </c>
      <c r="H206" s="16" t="s">
        <v>12</v>
      </c>
      <c r="I206" s="17"/>
      <c r="J206" s="16" t="s">
        <v>13</v>
      </c>
      <c r="K206" s="16" t="s">
        <v>11</v>
      </c>
      <c r="L206" s="154">
        <v>44368.0</v>
      </c>
      <c r="M206" s="16">
        <f t="shared" si="1"/>
        <v>5</v>
      </c>
      <c r="N206" s="16">
        <v>5.00004131E8</v>
      </c>
      <c r="O206" s="16" t="s">
        <v>3778</v>
      </c>
      <c r="P206" s="16" t="s">
        <v>3136</v>
      </c>
      <c r="Q206" s="152" t="s">
        <v>3954</v>
      </c>
      <c r="R206" s="17"/>
      <c r="S206" s="16" t="s">
        <v>3671</v>
      </c>
      <c r="T206" s="17"/>
      <c r="U206" s="16" t="s">
        <v>3989</v>
      </c>
      <c r="V206" s="17"/>
      <c r="W206" s="17"/>
      <c r="X206" s="17"/>
      <c r="Y206" s="16" t="s">
        <v>3989</v>
      </c>
      <c r="Z206" s="16" t="s">
        <v>3760</v>
      </c>
      <c r="AA206" s="17"/>
      <c r="AB206" s="17"/>
    </row>
    <row r="207">
      <c r="A207" s="16">
        <f t="shared" si="2"/>
        <v>206</v>
      </c>
      <c r="B207" s="16" t="s">
        <v>602</v>
      </c>
      <c r="C207" s="16" t="s">
        <v>603</v>
      </c>
      <c r="D207" s="16" t="s">
        <v>604</v>
      </c>
      <c r="E207" s="16" t="s">
        <v>3106</v>
      </c>
      <c r="F207" s="16" t="s">
        <v>10</v>
      </c>
      <c r="G207" s="16" t="s">
        <v>3669</v>
      </c>
      <c r="H207" s="16" t="s">
        <v>12</v>
      </c>
      <c r="I207" s="17"/>
      <c r="J207" s="16" t="s">
        <v>13</v>
      </c>
      <c r="K207" s="16" t="s">
        <v>11</v>
      </c>
      <c r="L207" s="154">
        <v>44368.0</v>
      </c>
      <c r="M207" s="16">
        <f t="shared" si="1"/>
        <v>5</v>
      </c>
      <c r="N207" s="16">
        <v>5.00004131E8</v>
      </c>
      <c r="O207" s="16" t="s">
        <v>3780</v>
      </c>
      <c r="P207" s="16" t="s">
        <v>3136</v>
      </c>
      <c r="Q207" s="152" t="s">
        <v>3990</v>
      </c>
      <c r="R207" s="17"/>
      <c r="S207" s="16" t="s">
        <v>3671</v>
      </c>
      <c r="T207" s="17"/>
      <c r="U207" s="16" t="s">
        <v>3989</v>
      </c>
      <c r="V207" s="17"/>
      <c r="W207" s="17"/>
      <c r="X207" s="17"/>
      <c r="Y207" s="16" t="s">
        <v>3989</v>
      </c>
      <c r="Z207" s="16" t="s">
        <v>3760</v>
      </c>
      <c r="AA207" s="17"/>
      <c r="AB207" s="17"/>
    </row>
    <row r="208">
      <c r="A208" s="16">
        <f t="shared" si="2"/>
        <v>207</v>
      </c>
      <c r="B208" s="16" t="s">
        <v>605</v>
      </c>
      <c r="C208" s="16" t="s">
        <v>606</v>
      </c>
      <c r="D208" s="16" t="s">
        <v>607</v>
      </c>
      <c r="E208" s="16" t="s">
        <v>3106</v>
      </c>
      <c r="F208" s="16" t="s">
        <v>10</v>
      </c>
      <c r="G208" s="16" t="s">
        <v>3669</v>
      </c>
      <c r="H208" s="16" t="s">
        <v>12</v>
      </c>
      <c r="I208" s="17"/>
      <c r="J208" s="16" t="s">
        <v>13</v>
      </c>
      <c r="K208" s="16" t="s">
        <v>11</v>
      </c>
      <c r="L208" s="154">
        <v>44368.0</v>
      </c>
      <c r="M208" s="16">
        <f t="shared" si="1"/>
        <v>5</v>
      </c>
      <c r="N208" s="16">
        <v>5.00004131E8</v>
      </c>
      <c r="O208" s="16" t="s">
        <v>3783</v>
      </c>
      <c r="P208" s="16" t="s">
        <v>3121</v>
      </c>
      <c r="Q208" s="152" t="s">
        <v>3991</v>
      </c>
      <c r="R208" s="17"/>
      <c r="S208" s="16" t="s">
        <v>3671</v>
      </c>
      <c r="T208" s="17"/>
      <c r="U208" s="16" t="s">
        <v>3989</v>
      </c>
      <c r="V208" s="17"/>
      <c r="W208" s="17"/>
      <c r="X208" s="17"/>
      <c r="Y208" s="16" t="s">
        <v>3989</v>
      </c>
      <c r="Z208" s="16" t="s">
        <v>3760</v>
      </c>
      <c r="AA208" s="17"/>
      <c r="AB208" s="17"/>
    </row>
    <row r="209">
      <c r="A209" s="16">
        <f t="shared" si="2"/>
        <v>208</v>
      </c>
      <c r="B209" s="16" t="s">
        <v>608</v>
      </c>
      <c r="C209" s="16" t="s">
        <v>609</v>
      </c>
      <c r="D209" s="16" t="s">
        <v>610</v>
      </c>
      <c r="E209" s="16" t="s">
        <v>3106</v>
      </c>
      <c r="F209" s="16" t="s">
        <v>10</v>
      </c>
      <c r="G209" s="16" t="s">
        <v>3669</v>
      </c>
      <c r="H209" s="16" t="s">
        <v>12</v>
      </c>
      <c r="I209" s="16" t="s">
        <v>3396</v>
      </c>
      <c r="J209" s="16" t="s">
        <v>13</v>
      </c>
      <c r="K209" s="16" t="s">
        <v>11</v>
      </c>
      <c r="L209" s="154">
        <v>44544.0</v>
      </c>
      <c r="M209" s="16">
        <f t="shared" si="1"/>
        <v>5</v>
      </c>
      <c r="N209" s="16">
        <v>5.000436E7</v>
      </c>
      <c r="O209" s="16" t="s">
        <v>3785</v>
      </c>
      <c r="P209" s="16" t="s">
        <v>3136</v>
      </c>
      <c r="Q209" s="152" t="s">
        <v>3903</v>
      </c>
      <c r="R209" s="17"/>
      <c r="S209" s="16" t="s">
        <v>3671</v>
      </c>
      <c r="T209" s="17"/>
      <c r="U209" s="16" t="s">
        <v>3989</v>
      </c>
      <c r="V209" s="17"/>
      <c r="W209" s="17"/>
      <c r="X209" s="17"/>
      <c r="Y209" s="16" t="s">
        <v>3989</v>
      </c>
      <c r="Z209" s="16" t="s">
        <v>3760</v>
      </c>
      <c r="AA209" s="17"/>
      <c r="AB209" s="17"/>
    </row>
    <row r="210">
      <c r="A210" s="16">
        <f t="shared" si="2"/>
        <v>209</v>
      </c>
      <c r="B210" s="16" t="s">
        <v>611</v>
      </c>
      <c r="C210" s="16" t="s">
        <v>612</v>
      </c>
      <c r="D210" s="16" t="s">
        <v>613</v>
      </c>
      <c r="E210" s="16" t="s">
        <v>3106</v>
      </c>
      <c r="F210" s="16" t="s">
        <v>10</v>
      </c>
      <c r="G210" s="16" t="s">
        <v>3669</v>
      </c>
      <c r="H210" s="16" t="s">
        <v>12</v>
      </c>
      <c r="I210" s="17"/>
      <c r="J210" s="16" t="s">
        <v>13</v>
      </c>
      <c r="K210" s="16" t="s">
        <v>11</v>
      </c>
      <c r="L210" s="154">
        <v>44368.0</v>
      </c>
      <c r="M210" s="16">
        <f t="shared" si="1"/>
        <v>5</v>
      </c>
      <c r="N210" s="16">
        <v>5.00004131E8</v>
      </c>
      <c r="O210" s="16" t="s">
        <v>3794</v>
      </c>
      <c r="P210" s="16" t="s">
        <v>3136</v>
      </c>
      <c r="Q210" s="152" t="s">
        <v>3992</v>
      </c>
      <c r="R210" s="17"/>
      <c r="S210" s="16" t="s">
        <v>3671</v>
      </c>
      <c r="T210" s="17"/>
      <c r="U210" s="16" t="s">
        <v>3989</v>
      </c>
      <c r="V210" s="17"/>
      <c r="W210" s="17"/>
      <c r="X210" s="17"/>
      <c r="Y210" s="16" t="s">
        <v>3989</v>
      </c>
      <c r="Z210" s="16" t="s">
        <v>3760</v>
      </c>
      <c r="AA210" s="17"/>
      <c r="AB210" s="17"/>
    </row>
    <row r="211">
      <c r="A211" s="16">
        <f t="shared" si="2"/>
        <v>210</v>
      </c>
      <c r="B211" s="16" t="s">
        <v>614</v>
      </c>
      <c r="C211" s="16" t="s">
        <v>615</v>
      </c>
      <c r="D211" s="16" t="s">
        <v>616</v>
      </c>
      <c r="E211" s="16" t="s">
        <v>3106</v>
      </c>
      <c r="F211" s="16" t="s">
        <v>10</v>
      </c>
      <c r="G211" s="16" t="s">
        <v>3669</v>
      </c>
      <c r="H211" s="16" t="s">
        <v>12</v>
      </c>
      <c r="I211" s="17"/>
      <c r="J211" s="16" t="s">
        <v>13</v>
      </c>
      <c r="K211" s="16" t="s">
        <v>11</v>
      </c>
      <c r="L211" s="154">
        <v>44368.0</v>
      </c>
      <c r="M211" s="16">
        <f t="shared" si="1"/>
        <v>5</v>
      </c>
      <c r="N211" s="16">
        <v>5.00004131E8</v>
      </c>
      <c r="O211" s="16" t="s">
        <v>3796</v>
      </c>
      <c r="P211" s="16" t="s">
        <v>3136</v>
      </c>
      <c r="Q211" s="152" t="s">
        <v>3906</v>
      </c>
      <c r="R211" s="17"/>
      <c r="S211" s="16" t="s">
        <v>3671</v>
      </c>
      <c r="T211" s="17"/>
      <c r="U211" s="16" t="s">
        <v>3989</v>
      </c>
      <c r="V211" s="17"/>
      <c r="W211" s="17"/>
      <c r="X211" s="17"/>
      <c r="Y211" s="16" t="s">
        <v>3989</v>
      </c>
      <c r="Z211" s="16" t="s">
        <v>3760</v>
      </c>
      <c r="AA211" s="17"/>
      <c r="AB211" s="17"/>
    </row>
    <row r="212">
      <c r="A212" s="16">
        <f t="shared" si="2"/>
        <v>211</v>
      </c>
      <c r="B212" s="16" t="s">
        <v>617</v>
      </c>
      <c r="C212" s="16" t="s">
        <v>618</v>
      </c>
      <c r="D212" s="16" t="s">
        <v>619</v>
      </c>
      <c r="E212" s="16" t="s">
        <v>3106</v>
      </c>
      <c r="F212" s="16" t="s">
        <v>10</v>
      </c>
      <c r="G212" s="16" t="s">
        <v>3669</v>
      </c>
      <c r="H212" s="16" t="s">
        <v>12</v>
      </c>
      <c r="I212" s="16" t="s">
        <v>3396</v>
      </c>
      <c r="J212" s="16" t="s">
        <v>13</v>
      </c>
      <c r="K212" s="16" t="s">
        <v>11</v>
      </c>
      <c r="L212" s="154">
        <v>44544.0</v>
      </c>
      <c r="M212" s="16">
        <f t="shared" si="1"/>
        <v>5</v>
      </c>
      <c r="N212" s="16">
        <v>5.000436E7</v>
      </c>
      <c r="O212" s="16" t="s">
        <v>3798</v>
      </c>
      <c r="P212" s="16" t="s">
        <v>3136</v>
      </c>
      <c r="Q212" s="152" t="s">
        <v>3923</v>
      </c>
      <c r="R212" s="17"/>
      <c r="S212" s="16" t="s">
        <v>3671</v>
      </c>
      <c r="T212" s="17"/>
      <c r="U212" s="16" t="s">
        <v>3989</v>
      </c>
      <c r="V212" s="17"/>
      <c r="W212" s="17"/>
      <c r="X212" s="17"/>
      <c r="Y212" s="16" t="s">
        <v>3989</v>
      </c>
      <c r="Z212" s="16" t="s">
        <v>3760</v>
      </c>
      <c r="AA212" s="17"/>
      <c r="AB212" s="17"/>
    </row>
    <row r="213">
      <c r="A213" s="16">
        <f t="shared" si="2"/>
        <v>212</v>
      </c>
      <c r="B213" s="16" t="s">
        <v>620</v>
      </c>
      <c r="C213" s="16" t="s">
        <v>621</v>
      </c>
      <c r="D213" s="16" t="s">
        <v>622</v>
      </c>
      <c r="E213" s="16" t="s">
        <v>3106</v>
      </c>
      <c r="F213" s="16" t="s">
        <v>10</v>
      </c>
      <c r="G213" s="16" t="s">
        <v>3669</v>
      </c>
      <c r="H213" s="16" t="s">
        <v>12</v>
      </c>
      <c r="I213" s="16" t="s">
        <v>3396</v>
      </c>
      <c r="J213" s="16" t="s">
        <v>13</v>
      </c>
      <c r="K213" s="16" t="s">
        <v>11</v>
      </c>
      <c r="L213" s="154">
        <v>44544.0</v>
      </c>
      <c r="M213" s="16">
        <f t="shared" si="1"/>
        <v>5</v>
      </c>
      <c r="N213" s="16">
        <v>5.000436E7</v>
      </c>
      <c r="O213" s="16" t="s">
        <v>3800</v>
      </c>
      <c r="P213" s="16" t="s">
        <v>3136</v>
      </c>
      <c r="Q213" s="152" t="s">
        <v>3993</v>
      </c>
      <c r="R213" s="17"/>
      <c r="S213" s="16" t="s">
        <v>3671</v>
      </c>
      <c r="T213" s="17"/>
      <c r="U213" s="16" t="s">
        <v>3989</v>
      </c>
      <c r="V213" s="17"/>
      <c r="W213" s="17"/>
      <c r="X213" s="17"/>
      <c r="Y213" s="16" t="s">
        <v>3989</v>
      </c>
      <c r="Z213" s="16" t="s">
        <v>3760</v>
      </c>
      <c r="AA213" s="17"/>
      <c r="AB213" s="17"/>
    </row>
    <row r="214">
      <c r="A214" s="16">
        <f t="shared" si="2"/>
        <v>213</v>
      </c>
      <c r="B214" s="16" t="s">
        <v>623</v>
      </c>
      <c r="C214" s="16" t="s">
        <v>624</v>
      </c>
      <c r="D214" s="16" t="s">
        <v>625</v>
      </c>
      <c r="E214" s="16" t="s">
        <v>3106</v>
      </c>
      <c r="F214" s="16" t="s">
        <v>10</v>
      </c>
      <c r="G214" s="16" t="s">
        <v>3669</v>
      </c>
      <c r="H214" s="16" t="s">
        <v>12</v>
      </c>
      <c r="I214" s="16" t="s">
        <v>3396</v>
      </c>
      <c r="J214" s="16" t="s">
        <v>13</v>
      </c>
      <c r="K214" s="16" t="s">
        <v>11</v>
      </c>
      <c r="L214" s="154">
        <v>44544.0</v>
      </c>
      <c r="M214" s="16">
        <f t="shared" si="1"/>
        <v>5</v>
      </c>
      <c r="N214" s="16">
        <v>5.000436E7</v>
      </c>
      <c r="O214" s="16" t="s">
        <v>3804</v>
      </c>
      <c r="P214" s="16" t="s">
        <v>3121</v>
      </c>
      <c r="Q214" s="152" t="s">
        <v>3994</v>
      </c>
      <c r="R214" s="17"/>
      <c r="S214" s="16" t="s">
        <v>3671</v>
      </c>
      <c r="T214" s="17"/>
      <c r="U214" s="16" t="s">
        <v>3989</v>
      </c>
      <c r="V214" s="17"/>
      <c r="W214" s="17"/>
      <c r="X214" s="17"/>
      <c r="Y214" s="16" t="s">
        <v>3989</v>
      </c>
      <c r="Z214" s="16" t="s">
        <v>3760</v>
      </c>
      <c r="AA214" s="17"/>
      <c r="AB214" s="17"/>
    </row>
    <row r="215">
      <c r="A215" s="16">
        <f t="shared" si="2"/>
        <v>214</v>
      </c>
      <c r="B215" s="16" t="s">
        <v>626</v>
      </c>
      <c r="C215" s="16" t="s">
        <v>627</v>
      </c>
      <c r="D215" s="16" t="s">
        <v>628</v>
      </c>
      <c r="E215" s="16" t="s">
        <v>3106</v>
      </c>
      <c r="F215" s="16" t="s">
        <v>10</v>
      </c>
      <c r="G215" s="16" t="s">
        <v>3669</v>
      </c>
      <c r="H215" s="16" t="s">
        <v>12</v>
      </c>
      <c r="I215" s="16" t="s">
        <v>3396</v>
      </c>
      <c r="J215" s="16" t="s">
        <v>13</v>
      </c>
      <c r="K215" s="16" t="s">
        <v>11</v>
      </c>
      <c r="L215" s="154">
        <v>44544.0</v>
      </c>
      <c r="M215" s="16">
        <f t="shared" si="1"/>
        <v>5</v>
      </c>
      <c r="N215" s="16">
        <v>5.000436E7</v>
      </c>
      <c r="O215" s="16" t="s">
        <v>3806</v>
      </c>
      <c r="P215" s="16" t="s">
        <v>3136</v>
      </c>
      <c r="Q215" s="152" t="s">
        <v>3995</v>
      </c>
      <c r="R215" s="17"/>
      <c r="S215" s="16" t="s">
        <v>3671</v>
      </c>
      <c r="T215" s="17"/>
      <c r="U215" s="16" t="s">
        <v>3989</v>
      </c>
      <c r="V215" s="17"/>
      <c r="W215" s="17"/>
      <c r="X215" s="17"/>
      <c r="Y215" s="16" t="s">
        <v>3989</v>
      </c>
      <c r="Z215" s="16" t="s">
        <v>3760</v>
      </c>
      <c r="AA215" s="17"/>
      <c r="AB215" s="17"/>
    </row>
    <row r="216">
      <c r="A216" s="16">
        <f t="shared" si="2"/>
        <v>215</v>
      </c>
      <c r="B216" s="16" t="s">
        <v>629</v>
      </c>
      <c r="C216" s="16" t="s">
        <v>630</v>
      </c>
      <c r="D216" s="16" t="s">
        <v>631</v>
      </c>
      <c r="E216" s="16" t="s">
        <v>3106</v>
      </c>
      <c r="F216" s="16" t="s">
        <v>10</v>
      </c>
      <c r="G216" s="16" t="s">
        <v>3669</v>
      </c>
      <c r="H216" s="16" t="s">
        <v>12</v>
      </c>
      <c r="I216" s="16" t="s">
        <v>3396</v>
      </c>
      <c r="J216" s="16" t="s">
        <v>13</v>
      </c>
      <c r="K216" s="16" t="s">
        <v>11</v>
      </c>
      <c r="L216" s="154">
        <v>44544.0</v>
      </c>
      <c r="M216" s="16">
        <f t="shared" si="1"/>
        <v>5</v>
      </c>
      <c r="N216" s="16">
        <v>5.000436E7</v>
      </c>
      <c r="O216" s="16" t="s">
        <v>3808</v>
      </c>
      <c r="P216" s="16" t="s">
        <v>3136</v>
      </c>
      <c r="Q216" s="152" t="s">
        <v>3996</v>
      </c>
      <c r="R216" s="17"/>
      <c r="S216" s="16" t="s">
        <v>3671</v>
      </c>
      <c r="T216" s="17"/>
      <c r="U216" s="16" t="s">
        <v>3989</v>
      </c>
      <c r="V216" s="17"/>
      <c r="W216" s="17"/>
      <c r="X216" s="17"/>
      <c r="Y216" s="16" t="s">
        <v>3989</v>
      </c>
      <c r="Z216" s="16" t="s">
        <v>3760</v>
      </c>
      <c r="AA216" s="17"/>
      <c r="AB216" s="17"/>
    </row>
    <row r="217">
      <c r="A217" s="16">
        <f t="shared" si="2"/>
        <v>216</v>
      </c>
      <c r="B217" s="16" t="s">
        <v>632</v>
      </c>
      <c r="C217" s="16" t="s">
        <v>633</v>
      </c>
      <c r="D217" s="16" t="s">
        <v>634</v>
      </c>
      <c r="E217" s="16" t="s">
        <v>3106</v>
      </c>
      <c r="F217" s="16" t="s">
        <v>10</v>
      </c>
      <c r="G217" s="16" t="s">
        <v>3669</v>
      </c>
      <c r="H217" s="16" t="s">
        <v>12</v>
      </c>
      <c r="I217" s="17"/>
      <c r="J217" s="16" t="s">
        <v>13</v>
      </c>
      <c r="K217" s="16" t="s">
        <v>11</v>
      </c>
      <c r="L217" s="154">
        <v>44368.0</v>
      </c>
      <c r="M217" s="16">
        <f t="shared" si="1"/>
        <v>5</v>
      </c>
      <c r="N217" s="16">
        <v>5.00004131E8</v>
      </c>
      <c r="O217" s="16" t="s">
        <v>3810</v>
      </c>
      <c r="P217" s="16" t="s">
        <v>2557</v>
      </c>
      <c r="Q217" s="152" t="s">
        <v>3997</v>
      </c>
      <c r="R217" s="17"/>
      <c r="S217" s="16" t="s">
        <v>3671</v>
      </c>
      <c r="T217" s="17"/>
      <c r="U217" s="16" t="s">
        <v>3989</v>
      </c>
      <c r="V217" s="17"/>
      <c r="W217" s="17"/>
      <c r="X217" s="17"/>
      <c r="Y217" s="16" t="s">
        <v>3989</v>
      </c>
      <c r="Z217" s="16" t="s">
        <v>3760</v>
      </c>
      <c r="AA217" s="17"/>
      <c r="AB217" s="17"/>
    </row>
    <row r="218">
      <c r="A218" s="16">
        <f t="shared" si="2"/>
        <v>217</v>
      </c>
      <c r="B218" s="16" t="s">
        <v>635</v>
      </c>
      <c r="C218" s="16" t="s">
        <v>636</v>
      </c>
      <c r="D218" s="16" t="s">
        <v>637</v>
      </c>
      <c r="E218" s="16" t="s">
        <v>3106</v>
      </c>
      <c r="F218" s="16" t="s">
        <v>10</v>
      </c>
      <c r="G218" s="16" t="s">
        <v>3669</v>
      </c>
      <c r="H218" s="16" t="s">
        <v>12</v>
      </c>
      <c r="I218" s="17"/>
      <c r="J218" s="16" t="s">
        <v>13</v>
      </c>
      <c r="K218" s="16" t="s">
        <v>11</v>
      </c>
      <c r="L218" s="154">
        <v>44368.0</v>
      </c>
      <c r="M218" s="16">
        <f t="shared" si="1"/>
        <v>5</v>
      </c>
      <c r="N218" s="16">
        <v>5.00004131E8</v>
      </c>
      <c r="O218" s="16" t="s">
        <v>3816</v>
      </c>
      <c r="P218" s="16" t="s">
        <v>3136</v>
      </c>
      <c r="Q218" s="152" t="s">
        <v>3998</v>
      </c>
      <c r="R218" s="17"/>
      <c r="S218" s="16" t="s">
        <v>3671</v>
      </c>
      <c r="T218" s="17"/>
      <c r="U218" s="16" t="s">
        <v>3989</v>
      </c>
      <c r="V218" s="17"/>
      <c r="W218" s="17"/>
      <c r="X218" s="17"/>
      <c r="Y218" s="16" t="s">
        <v>3989</v>
      </c>
      <c r="Z218" s="16" t="s">
        <v>3760</v>
      </c>
      <c r="AA218" s="17"/>
      <c r="AB218" s="17"/>
    </row>
    <row r="219">
      <c r="A219" s="16">
        <f t="shared" si="2"/>
        <v>218</v>
      </c>
      <c r="B219" s="16" t="s">
        <v>638</v>
      </c>
      <c r="C219" s="16" t="s">
        <v>639</v>
      </c>
      <c r="D219" s="16" t="s">
        <v>640</v>
      </c>
      <c r="E219" s="16" t="s">
        <v>3106</v>
      </c>
      <c r="F219" s="16" t="s">
        <v>10</v>
      </c>
      <c r="G219" s="16" t="s">
        <v>3669</v>
      </c>
      <c r="H219" s="16" t="s">
        <v>12</v>
      </c>
      <c r="I219" s="17"/>
      <c r="J219" s="16" t="s">
        <v>13</v>
      </c>
      <c r="K219" s="16" t="s">
        <v>11</v>
      </c>
      <c r="L219" s="154">
        <v>44368.0</v>
      </c>
      <c r="M219" s="16">
        <f t="shared" si="1"/>
        <v>5</v>
      </c>
      <c r="N219" s="16">
        <v>5.00004131E8</v>
      </c>
      <c r="O219" s="16" t="s">
        <v>3818</v>
      </c>
      <c r="P219" s="16" t="s">
        <v>3136</v>
      </c>
      <c r="Q219" s="152" t="s">
        <v>3999</v>
      </c>
      <c r="R219" s="17"/>
      <c r="S219" s="16" t="s">
        <v>3671</v>
      </c>
      <c r="T219" s="17"/>
      <c r="U219" s="16" t="s">
        <v>3989</v>
      </c>
      <c r="V219" s="17"/>
      <c r="W219" s="17"/>
      <c r="X219" s="17"/>
      <c r="Y219" s="16" t="s">
        <v>3989</v>
      </c>
      <c r="Z219" s="16" t="s">
        <v>3760</v>
      </c>
      <c r="AA219" s="17"/>
      <c r="AB219" s="17"/>
    </row>
    <row r="220">
      <c r="A220" s="16">
        <f t="shared" si="2"/>
        <v>219</v>
      </c>
      <c r="B220" s="16" t="s">
        <v>641</v>
      </c>
      <c r="C220" s="16">
        <v>6.0019772E7</v>
      </c>
      <c r="D220" s="16" t="s">
        <v>642</v>
      </c>
      <c r="E220" s="16" t="s">
        <v>3106</v>
      </c>
      <c r="F220" s="16" t="s">
        <v>10</v>
      </c>
      <c r="G220" s="16" t="s">
        <v>3787</v>
      </c>
      <c r="H220" s="16" t="s">
        <v>12</v>
      </c>
      <c r="I220" s="16" t="s">
        <v>3788</v>
      </c>
      <c r="J220" s="16" t="s">
        <v>36</v>
      </c>
      <c r="K220" s="16" t="s">
        <v>214</v>
      </c>
      <c r="L220" s="154">
        <v>44848.0</v>
      </c>
      <c r="M220" s="16">
        <f t="shared" si="1"/>
        <v>4</v>
      </c>
      <c r="N220" s="16">
        <v>4.500000469E9</v>
      </c>
      <c r="O220" s="16" t="s">
        <v>3979</v>
      </c>
      <c r="P220" s="16" t="s">
        <v>3136</v>
      </c>
      <c r="Q220" s="152" t="s">
        <v>4000</v>
      </c>
      <c r="R220" s="17"/>
      <c r="S220" s="16" t="s">
        <v>3671</v>
      </c>
      <c r="T220" s="17"/>
      <c r="U220" s="16" t="s">
        <v>3141</v>
      </c>
      <c r="V220" s="16" t="s">
        <v>3681</v>
      </c>
      <c r="W220" s="17"/>
      <c r="X220" s="17"/>
      <c r="Y220" s="16" t="s">
        <v>3141</v>
      </c>
      <c r="Z220" s="16" t="s">
        <v>3681</v>
      </c>
      <c r="AA220" s="17"/>
      <c r="AB220" s="17"/>
    </row>
    <row r="221">
      <c r="A221" s="16">
        <f t="shared" si="2"/>
        <v>220</v>
      </c>
      <c r="B221" s="16" t="s">
        <v>643</v>
      </c>
      <c r="C221" s="16">
        <v>6.001978E7</v>
      </c>
      <c r="D221" s="16" t="s">
        <v>644</v>
      </c>
      <c r="E221" s="16" t="s">
        <v>3106</v>
      </c>
      <c r="F221" s="16" t="s">
        <v>10</v>
      </c>
      <c r="G221" s="16" t="s">
        <v>3787</v>
      </c>
      <c r="H221" s="16" t="s">
        <v>12</v>
      </c>
      <c r="I221" s="16" t="s">
        <v>3788</v>
      </c>
      <c r="J221" s="16" t="s">
        <v>36</v>
      </c>
      <c r="K221" s="16" t="s">
        <v>214</v>
      </c>
      <c r="L221" s="154">
        <v>44848.0</v>
      </c>
      <c r="M221" s="16">
        <f t="shared" si="1"/>
        <v>4</v>
      </c>
      <c r="N221" s="16">
        <v>4.500000469E9</v>
      </c>
      <c r="O221" s="16" t="s">
        <v>4001</v>
      </c>
      <c r="P221" s="16" t="s">
        <v>3136</v>
      </c>
      <c r="Q221" s="152" t="s">
        <v>4002</v>
      </c>
      <c r="R221" s="17"/>
      <c r="S221" s="16" t="s">
        <v>3673</v>
      </c>
      <c r="T221" s="16" t="s">
        <v>4003</v>
      </c>
      <c r="U221" s="16" t="s">
        <v>3141</v>
      </c>
      <c r="V221" s="16" t="s">
        <v>3681</v>
      </c>
      <c r="W221" s="17"/>
      <c r="X221" s="16" t="s">
        <v>4003</v>
      </c>
      <c r="Y221" s="16" t="s">
        <v>3141</v>
      </c>
      <c r="Z221" s="16" t="s">
        <v>3681</v>
      </c>
      <c r="AA221" s="17"/>
      <c r="AB221" s="17"/>
    </row>
    <row r="222">
      <c r="A222" s="16">
        <f t="shared" si="2"/>
        <v>221</v>
      </c>
      <c r="B222" s="16" t="s">
        <v>645</v>
      </c>
      <c r="C222" s="16">
        <v>6.0019778E7</v>
      </c>
      <c r="D222" s="16" t="s">
        <v>646</v>
      </c>
      <c r="E222" s="16" t="s">
        <v>3106</v>
      </c>
      <c r="F222" s="16" t="s">
        <v>10</v>
      </c>
      <c r="G222" s="16" t="s">
        <v>3787</v>
      </c>
      <c r="H222" s="16" t="s">
        <v>12</v>
      </c>
      <c r="I222" s="16" t="s">
        <v>3788</v>
      </c>
      <c r="J222" s="16" t="s">
        <v>36</v>
      </c>
      <c r="K222" s="16" t="s">
        <v>214</v>
      </c>
      <c r="L222" s="154">
        <v>44848.0</v>
      </c>
      <c r="M222" s="16">
        <f t="shared" si="1"/>
        <v>4</v>
      </c>
      <c r="N222" s="16">
        <v>4.500000469E9</v>
      </c>
      <c r="O222" s="16" t="s">
        <v>3978</v>
      </c>
      <c r="P222" s="16" t="s">
        <v>3136</v>
      </c>
      <c r="Q222" s="152" t="s">
        <v>4004</v>
      </c>
      <c r="R222" s="17"/>
      <c r="S222" s="16" t="s">
        <v>3671</v>
      </c>
      <c r="T222" s="17"/>
      <c r="U222" s="16" t="s">
        <v>3141</v>
      </c>
      <c r="V222" s="16" t="s">
        <v>3681</v>
      </c>
      <c r="W222" s="17"/>
      <c r="X222" s="17"/>
      <c r="Y222" s="16" t="s">
        <v>3141</v>
      </c>
      <c r="Z222" s="16" t="s">
        <v>3681</v>
      </c>
      <c r="AA222" s="17"/>
      <c r="AB222" s="17"/>
    </row>
    <row r="223">
      <c r="A223" s="16">
        <f t="shared" si="2"/>
        <v>222</v>
      </c>
      <c r="B223" s="16" t="s">
        <v>647</v>
      </c>
      <c r="C223" s="16" t="s">
        <v>648</v>
      </c>
      <c r="D223" s="16" t="s">
        <v>649</v>
      </c>
      <c r="E223" s="16" t="s">
        <v>3106</v>
      </c>
      <c r="F223" s="16" t="s">
        <v>10</v>
      </c>
      <c r="G223" s="16" t="s">
        <v>4005</v>
      </c>
      <c r="H223" s="16" t="s">
        <v>12</v>
      </c>
      <c r="I223" s="17"/>
      <c r="J223" s="16" t="s">
        <v>36</v>
      </c>
      <c r="K223" s="16" t="s">
        <v>650</v>
      </c>
      <c r="L223" s="154">
        <v>42971.0</v>
      </c>
      <c r="M223" s="16">
        <f t="shared" si="1"/>
        <v>9</v>
      </c>
      <c r="N223" s="17"/>
      <c r="O223" s="16" t="s">
        <v>4006</v>
      </c>
      <c r="P223" s="16" t="s">
        <v>3136</v>
      </c>
      <c r="Q223" s="152" t="s">
        <v>4007</v>
      </c>
      <c r="R223" s="17"/>
      <c r="S223" s="16" t="s">
        <v>3671</v>
      </c>
      <c r="T223" s="17"/>
      <c r="U223" s="16" t="s">
        <v>3983</v>
      </c>
      <c r="V223" s="16" t="s">
        <v>3681</v>
      </c>
      <c r="W223" s="17"/>
      <c r="X223" s="17"/>
      <c r="Y223" s="16" t="s">
        <v>3983</v>
      </c>
      <c r="Z223" s="16" t="s">
        <v>3681</v>
      </c>
      <c r="AA223" s="17"/>
      <c r="AB223" s="16" t="s">
        <v>4008</v>
      </c>
    </row>
    <row r="224">
      <c r="A224" s="16">
        <f t="shared" si="2"/>
        <v>223</v>
      </c>
      <c r="B224" s="16" t="s">
        <v>651</v>
      </c>
      <c r="C224" s="16" t="s">
        <v>652</v>
      </c>
      <c r="D224" s="16" t="s">
        <v>653</v>
      </c>
      <c r="E224" s="16" t="s">
        <v>3106</v>
      </c>
      <c r="F224" s="16" t="s">
        <v>10</v>
      </c>
      <c r="G224" s="16" t="s">
        <v>4005</v>
      </c>
      <c r="H224" s="16" t="s">
        <v>12</v>
      </c>
      <c r="I224" s="17"/>
      <c r="J224" s="16" t="s">
        <v>36</v>
      </c>
      <c r="K224" s="16" t="s">
        <v>650</v>
      </c>
      <c r="L224" s="154">
        <v>44848.0</v>
      </c>
      <c r="M224" s="16">
        <f t="shared" si="1"/>
        <v>4</v>
      </c>
      <c r="N224" s="17"/>
      <c r="O224" s="16" t="s">
        <v>4009</v>
      </c>
      <c r="P224" s="16" t="s">
        <v>3136</v>
      </c>
      <c r="Q224" s="152" t="s">
        <v>4010</v>
      </c>
      <c r="R224" s="17"/>
      <c r="S224" s="16" t="s">
        <v>3671</v>
      </c>
      <c r="T224" s="17"/>
      <c r="U224" s="16" t="s">
        <v>3983</v>
      </c>
      <c r="V224" s="16" t="s">
        <v>3681</v>
      </c>
      <c r="W224" s="17"/>
      <c r="X224" s="17"/>
      <c r="Y224" s="16" t="s">
        <v>3983</v>
      </c>
      <c r="Z224" s="16" t="s">
        <v>3681</v>
      </c>
      <c r="AA224" s="17"/>
      <c r="AB224" s="16" t="s">
        <v>4008</v>
      </c>
    </row>
    <row r="225">
      <c r="A225" s="16">
        <f t="shared" si="2"/>
        <v>224</v>
      </c>
      <c r="B225" s="16" t="s">
        <v>654</v>
      </c>
      <c r="C225" s="16" t="s">
        <v>655</v>
      </c>
      <c r="D225" s="16" t="s">
        <v>656</v>
      </c>
      <c r="E225" s="16" t="s">
        <v>3106</v>
      </c>
      <c r="F225" s="16" t="s">
        <v>10</v>
      </c>
      <c r="G225" s="16" t="s">
        <v>3715</v>
      </c>
      <c r="H225" s="16" t="s">
        <v>12</v>
      </c>
      <c r="I225" s="17"/>
      <c r="J225" s="16" t="s">
        <v>13</v>
      </c>
      <c r="K225" s="16" t="s">
        <v>93</v>
      </c>
      <c r="L225" s="154">
        <v>44243.0</v>
      </c>
      <c r="M225" s="16">
        <f t="shared" si="1"/>
        <v>5</v>
      </c>
      <c r="N225" s="17"/>
      <c r="O225" s="16" t="s">
        <v>3670</v>
      </c>
      <c r="P225" s="16" t="s">
        <v>3136</v>
      </c>
      <c r="Q225" s="152" t="s">
        <v>4011</v>
      </c>
      <c r="R225" s="17"/>
      <c r="S225" s="16" t="s">
        <v>3673</v>
      </c>
      <c r="T225" s="16" t="s">
        <v>4012</v>
      </c>
      <c r="U225" s="16" t="s">
        <v>3141</v>
      </c>
      <c r="V225" s="16" t="s">
        <v>3681</v>
      </c>
      <c r="W225" s="17"/>
      <c r="X225" s="16" t="s">
        <v>4012</v>
      </c>
      <c r="Y225" s="16" t="s">
        <v>3141</v>
      </c>
      <c r="Z225" s="16" t="s">
        <v>3681</v>
      </c>
      <c r="AA225" s="17"/>
      <c r="AB225" s="17"/>
    </row>
    <row r="226">
      <c r="A226" s="16">
        <f t="shared" si="2"/>
        <v>225</v>
      </c>
      <c r="B226" s="16" t="s">
        <v>657</v>
      </c>
      <c r="C226" s="16">
        <v>6.0019813E7</v>
      </c>
      <c r="D226" s="16" t="s">
        <v>658</v>
      </c>
      <c r="E226" s="16" t="s">
        <v>3106</v>
      </c>
      <c r="F226" s="16" t="s">
        <v>10</v>
      </c>
      <c r="G226" s="16" t="s">
        <v>3787</v>
      </c>
      <c r="H226" s="16" t="s">
        <v>12</v>
      </c>
      <c r="I226" s="16" t="s">
        <v>3788</v>
      </c>
      <c r="J226" s="16" t="s">
        <v>36</v>
      </c>
      <c r="K226" s="16" t="s">
        <v>214</v>
      </c>
      <c r="L226" s="154">
        <v>44848.0</v>
      </c>
      <c r="M226" s="16">
        <f t="shared" si="1"/>
        <v>4</v>
      </c>
      <c r="N226" s="16">
        <v>4.500000469E9</v>
      </c>
      <c r="O226" s="16" t="s">
        <v>3970</v>
      </c>
      <c r="P226" s="16" t="s">
        <v>3136</v>
      </c>
      <c r="Q226" s="152" t="s">
        <v>4013</v>
      </c>
      <c r="R226" s="115">
        <v>45542.0</v>
      </c>
      <c r="S226" s="16" t="s">
        <v>3671</v>
      </c>
      <c r="T226" s="17"/>
      <c r="U226" s="16" t="s">
        <v>4014</v>
      </c>
      <c r="V226" s="17"/>
      <c r="W226" s="17"/>
      <c r="X226" s="17"/>
      <c r="Y226" s="16" t="s">
        <v>4014</v>
      </c>
      <c r="Z226" s="17"/>
      <c r="AA226" s="17"/>
      <c r="AB226" s="17"/>
    </row>
    <row r="227">
      <c r="A227" s="16">
        <f t="shared" si="2"/>
        <v>226</v>
      </c>
      <c r="B227" s="16" t="s">
        <v>659</v>
      </c>
      <c r="C227" s="16">
        <v>6.0019812E7</v>
      </c>
      <c r="D227" s="16" t="s">
        <v>660</v>
      </c>
      <c r="E227" s="16" t="s">
        <v>3106</v>
      </c>
      <c r="F227" s="16" t="s">
        <v>10</v>
      </c>
      <c r="G227" s="16" t="s">
        <v>3787</v>
      </c>
      <c r="H227" s="16" t="s">
        <v>12</v>
      </c>
      <c r="I227" s="16" t="s">
        <v>3788</v>
      </c>
      <c r="J227" s="16" t="s">
        <v>36</v>
      </c>
      <c r="K227" s="16" t="s">
        <v>214</v>
      </c>
      <c r="L227" s="154">
        <v>44848.0</v>
      </c>
      <c r="M227" s="16">
        <f t="shared" si="1"/>
        <v>4</v>
      </c>
      <c r="N227" s="16">
        <v>4.500000469E9</v>
      </c>
      <c r="O227" s="16" t="s">
        <v>3966</v>
      </c>
      <c r="P227" s="16" t="s">
        <v>3136</v>
      </c>
      <c r="Q227" s="152" t="s">
        <v>3908</v>
      </c>
      <c r="R227" s="16" t="s">
        <v>4015</v>
      </c>
      <c r="S227" s="16" t="s">
        <v>3671</v>
      </c>
      <c r="T227" s="17"/>
      <c r="U227" s="16" t="s">
        <v>3250</v>
      </c>
      <c r="V227" s="17"/>
      <c r="W227" s="17"/>
      <c r="X227" s="17"/>
      <c r="Y227" s="16" t="s">
        <v>3250</v>
      </c>
      <c r="Z227" s="16" t="s">
        <v>3734</v>
      </c>
      <c r="AA227" s="17"/>
      <c r="AB227" s="17"/>
    </row>
    <row r="228">
      <c r="A228" s="16">
        <f t="shared" si="2"/>
        <v>227</v>
      </c>
      <c r="B228" s="16" t="s">
        <v>661</v>
      </c>
      <c r="C228" s="16">
        <v>6.0019814E7</v>
      </c>
      <c r="D228" s="16" t="s">
        <v>662</v>
      </c>
      <c r="E228" s="16" t="s">
        <v>3106</v>
      </c>
      <c r="F228" s="16" t="s">
        <v>10</v>
      </c>
      <c r="G228" s="16" t="s">
        <v>3787</v>
      </c>
      <c r="H228" s="16" t="s">
        <v>12</v>
      </c>
      <c r="I228" s="16" t="s">
        <v>3788</v>
      </c>
      <c r="J228" s="16" t="s">
        <v>36</v>
      </c>
      <c r="K228" s="16" t="s">
        <v>214</v>
      </c>
      <c r="L228" s="154">
        <v>44848.0</v>
      </c>
      <c r="M228" s="16">
        <f t="shared" si="1"/>
        <v>4</v>
      </c>
      <c r="N228" s="16">
        <v>4.500000469E9</v>
      </c>
      <c r="O228" s="16" t="s">
        <v>3954</v>
      </c>
      <c r="P228" s="16" t="s">
        <v>3136</v>
      </c>
      <c r="Q228" s="152" t="s">
        <v>3910</v>
      </c>
      <c r="R228" s="115">
        <v>45572.0</v>
      </c>
      <c r="S228" s="16" t="s">
        <v>3671</v>
      </c>
      <c r="T228" s="17"/>
      <c r="U228" s="16" t="s">
        <v>3250</v>
      </c>
      <c r="V228" s="17"/>
      <c r="W228" s="17"/>
      <c r="X228" s="17"/>
      <c r="Y228" s="16" t="s">
        <v>3250</v>
      </c>
      <c r="Z228" s="16" t="s">
        <v>3734</v>
      </c>
      <c r="AA228" s="17"/>
      <c r="AB228" s="17"/>
    </row>
    <row r="229">
      <c r="A229" s="16">
        <f t="shared" si="2"/>
        <v>228</v>
      </c>
      <c r="B229" s="16" t="s">
        <v>663</v>
      </c>
      <c r="C229" s="16" t="s">
        <v>664</v>
      </c>
      <c r="D229" s="16" t="s">
        <v>665</v>
      </c>
      <c r="E229" s="16" t="s">
        <v>3106</v>
      </c>
      <c r="F229" s="16" t="s">
        <v>10</v>
      </c>
      <c r="G229" s="16" t="s">
        <v>3678</v>
      </c>
      <c r="H229" s="16" t="s">
        <v>12</v>
      </c>
      <c r="I229" s="17"/>
      <c r="J229" s="16" t="s">
        <v>36</v>
      </c>
      <c r="K229" s="16" t="s">
        <v>35</v>
      </c>
      <c r="L229" s="154">
        <v>42636.0</v>
      </c>
      <c r="M229" s="16">
        <f t="shared" si="1"/>
        <v>10</v>
      </c>
      <c r="N229" s="17"/>
      <c r="O229" s="111"/>
      <c r="P229" s="16" t="s">
        <v>3136</v>
      </c>
      <c r="Q229" s="152" t="s">
        <v>4016</v>
      </c>
      <c r="R229" s="17"/>
      <c r="S229" s="16" t="s">
        <v>3671</v>
      </c>
      <c r="T229" s="17"/>
      <c r="U229" s="16" t="s">
        <v>3250</v>
      </c>
      <c r="V229" s="17"/>
      <c r="W229" s="17"/>
      <c r="X229" s="17"/>
      <c r="Y229" s="16" t="s">
        <v>3250</v>
      </c>
      <c r="Z229" s="16" t="s">
        <v>3734</v>
      </c>
      <c r="AA229" s="17"/>
      <c r="AB229" s="17"/>
    </row>
    <row r="230">
      <c r="A230" s="16">
        <f t="shared" si="2"/>
        <v>229</v>
      </c>
      <c r="B230" s="16" t="s">
        <v>666</v>
      </c>
      <c r="C230" s="16">
        <v>6.0019811E7</v>
      </c>
      <c r="D230" s="16" t="s">
        <v>667</v>
      </c>
      <c r="E230" s="16" t="s">
        <v>3106</v>
      </c>
      <c r="F230" s="16" t="s">
        <v>10</v>
      </c>
      <c r="G230" s="16" t="s">
        <v>3787</v>
      </c>
      <c r="H230" s="16" t="s">
        <v>12</v>
      </c>
      <c r="I230" s="16" t="s">
        <v>3788</v>
      </c>
      <c r="J230" s="16" t="s">
        <v>36</v>
      </c>
      <c r="K230" s="16" t="s">
        <v>214</v>
      </c>
      <c r="L230" s="154">
        <v>44848.0</v>
      </c>
      <c r="M230" s="16">
        <f t="shared" si="1"/>
        <v>4</v>
      </c>
      <c r="N230" s="16">
        <v>4.500000469E9</v>
      </c>
      <c r="O230" s="16" t="s">
        <v>3991</v>
      </c>
      <c r="P230" s="16" t="s">
        <v>3136</v>
      </c>
      <c r="Q230" s="152" t="s">
        <v>3913</v>
      </c>
      <c r="R230" s="17"/>
      <c r="S230" s="16" t="s">
        <v>3671</v>
      </c>
      <c r="T230" s="17"/>
      <c r="U230" s="16" t="s">
        <v>3250</v>
      </c>
      <c r="V230" s="17"/>
      <c r="W230" s="17"/>
      <c r="X230" s="17"/>
      <c r="Y230" s="16" t="s">
        <v>3250</v>
      </c>
      <c r="Z230" s="16" t="s">
        <v>3734</v>
      </c>
      <c r="AA230" s="17"/>
      <c r="AB230" s="17"/>
    </row>
    <row r="231">
      <c r="A231" s="16">
        <f t="shared" si="2"/>
        <v>230</v>
      </c>
      <c r="B231" s="16" t="s">
        <v>668</v>
      </c>
      <c r="C231" s="16" t="s">
        <v>669</v>
      </c>
      <c r="D231" s="16" t="s">
        <v>670</v>
      </c>
      <c r="E231" s="16" t="s">
        <v>3106</v>
      </c>
      <c r="F231" s="16" t="s">
        <v>10</v>
      </c>
      <c r="G231" s="16" t="s">
        <v>3678</v>
      </c>
      <c r="H231" s="16" t="s">
        <v>12</v>
      </c>
      <c r="I231" s="17"/>
      <c r="J231" s="16" t="s">
        <v>36</v>
      </c>
      <c r="K231" s="16" t="s">
        <v>35</v>
      </c>
      <c r="L231" s="154">
        <v>43239.0</v>
      </c>
      <c r="M231" s="16">
        <f t="shared" si="1"/>
        <v>8</v>
      </c>
      <c r="N231" s="17"/>
      <c r="O231" s="16" t="s">
        <v>3903</v>
      </c>
      <c r="P231" s="16" t="s">
        <v>3136</v>
      </c>
      <c r="Q231" s="152" t="s">
        <v>4017</v>
      </c>
      <c r="R231" s="17"/>
      <c r="S231" s="16" t="s">
        <v>3671</v>
      </c>
      <c r="T231" s="17"/>
      <c r="U231" s="16" t="s">
        <v>4018</v>
      </c>
      <c r="V231" s="17"/>
      <c r="W231" s="17"/>
      <c r="X231" s="17"/>
      <c r="Y231" s="16" t="s">
        <v>4018</v>
      </c>
      <c r="Z231" s="17"/>
      <c r="AA231" s="17"/>
      <c r="AB231" s="17"/>
    </row>
    <row r="232">
      <c r="A232" s="16">
        <f t="shared" si="2"/>
        <v>231</v>
      </c>
      <c r="B232" s="16" t="s">
        <v>671</v>
      </c>
      <c r="C232" s="16" t="s">
        <v>672</v>
      </c>
      <c r="D232" s="16" t="s">
        <v>673</v>
      </c>
      <c r="E232" s="16" t="s">
        <v>3106</v>
      </c>
      <c r="F232" s="16" t="s">
        <v>10</v>
      </c>
      <c r="G232" s="16" t="s">
        <v>3748</v>
      </c>
      <c r="H232" s="16" t="s">
        <v>12</v>
      </c>
      <c r="I232" s="17"/>
      <c r="J232" s="16" t="s">
        <v>36</v>
      </c>
      <c r="K232" s="16" t="s">
        <v>131</v>
      </c>
      <c r="L232" s="154">
        <v>43453.0</v>
      </c>
      <c r="M232" s="16">
        <f t="shared" si="1"/>
        <v>8</v>
      </c>
      <c r="N232" s="17"/>
      <c r="O232" s="16" t="s">
        <v>3903</v>
      </c>
      <c r="P232" s="16" t="s">
        <v>2557</v>
      </c>
      <c r="Q232" s="152" t="s">
        <v>3917</v>
      </c>
      <c r="R232" s="17"/>
      <c r="S232" s="16" t="s">
        <v>3671</v>
      </c>
      <c r="T232" s="17"/>
      <c r="U232" s="16" t="s">
        <v>4018</v>
      </c>
      <c r="V232" s="17"/>
      <c r="W232" s="17"/>
      <c r="X232" s="17"/>
      <c r="Y232" s="16" t="s">
        <v>4018</v>
      </c>
      <c r="Z232" s="17"/>
      <c r="AA232" s="17"/>
      <c r="AB232" s="16" t="s">
        <v>4019</v>
      </c>
    </row>
    <row r="233">
      <c r="A233" s="16">
        <f t="shared" si="2"/>
        <v>232</v>
      </c>
      <c r="B233" s="16" t="s">
        <v>674</v>
      </c>
      <c r="C233" s="16" t="s">
        <v>675</v>
      </c>
      <c r="D233" s="16" t="s">
        <v>676</v>
      </c>
      <c r="E233" s="16" t="s">
        <v>3106</v>
      </c>
      <c r="F233" s="16" t="s">
        <v>10</v>
      </c>
      <c r="G233" s="16" t="s">
        <v>3678</v>
      </c>
      <c r="H233" s="16" t="s">
        <v>12</v>
      </c>
      <c r="I233" s="17"/>
      <c r="J233" s="16" t="s">
        <v>36</v>
      </c>
      <c r="K233" s="16" t="s">
        <v>35</v>
      </c>
      <c r="L233" s="154">
        <v>43453.0</v>
      </c>
      <c r="M233" s="16">
        <f t="shared" si="1"/>
        <v>8</v>
      </c>
      <c r="N233" s="17"/>
      <c r="O233" s="16" t="s">
        <v>3992</v>
      </c>
      <c r="P233" s="16" t="s">
        <v>3136</v>
      </c>
      <c r="Q233" s="152" t="s">
        <v>3919</v>
      </c>
      <c r="R233" s="17"/>
      <c r="S233" s="16" t="s">
        <v>3671</v>
      </c>
      <c r="T233" s="17"/>
      <c r="U233" s="16" t="s">
        <v>4018</v>
      </c>
      <c r="V233" s="17"/>
      <c r="W233" s="17"/>
      <c r="X233" s="17"/>
      <c r="Y233" s="16" t="s">
        <v>4018</v>
      </c>
      <c r="Z233" s="17"/>
      <c r="AA233" s="17"/>
      <c r="AB233" s="17"/>
    </row>
    <row r="234">
      <c r="A234" s="16">
        <f t="shared" si="2"/>
        <v>233</v>
      </c>
      <c r="B234" s="16" t="s">
        <v>677</v>
      </c>
      <c r="C234" s="16" t="s">
        <v>678</v>
      </c>
      <c r="D234" s="16" t="s">
        <v>679</v>
      </c>
      <c r="E234" s="16" t="s">
        <v>3106</v>
      </c>
      <c r="F234" s="16" t="s">
        <v>10</v>
      </c>
      <c r="G234" s="16" t="s">
        <v>3678</v>
      </c>
      <c r="H234" s="16" t="s">
        <v>12</v>
      </c>
      <c r="I234" s="17"/>
      <c r="J234" s="16" t="s">
        <v>36</v>
      </c>
      <c r="K234" s="16" t="s">
        <v>35</v>
      </c>
      <c r="L234" s="154">
        <v>43480.0</v>
      </c>
      <c r="M234" s="16">
        <f t="shared" si="1"/>
        <v>7</v>
      </c>
      <c r="N234" s="17"/>
      <c r="O234" s="111"/>
      <c r="P234" s="16" t="s">
        <v>3136</v>
      </c>
      <c r="Q234" s="152" t="s">
        <v>3921</v>
      </c>
      <c r="R234" s="17"/>
      <c r="S234" s="16" t="s">
        <v>3671</v>
      </c>
      <c r="T234" s="17"/>
      <c r="U234" s="16" t="s">
        <v>3138</v>
      </c>
      <c r="V234" s="17"/>
      <c r="W234" s="17"/>
      <c r="X234" s="17"/>
      <c r="Y234" s="16" t="s">
        <v>3138</v>
      </c>
      <c r="Z234" s="16" t="s">
        <v>3760</v>
      </c>
      <c r="AA234" s="17"/>
      <c r="AB234" s="17"/>
    </row>
    <row r="235">
      <c r="A235" s="16">
        <f t="shared" si="2"/>
        <v>234</v>
      </c>
      <c r="B235" s="16" t="s">
        <v>680</v>
      </c>
      <c r="C235" s="16" t="s">
        <v>681</v>
      </c>
      <c r="D235" s="16" t="s">
        <v>682</v>
      </c>
      <c r="E235" s="16" t="s">
        <v>3106</v>
      </c>
      <c r="F235" s="16" t="s">
        <v>10</v>
      </c>
      <c r="G235" s="16" t="s">
        <v>3678</v>
      </c>
      <c r="H235" s="16" t="s">
        <v>12</v>
      </c>
      <c r="I235" s="17"/>
      <c r="J235" s="16" t="s">
        <v>36</v>
      </c>
      <c r="K235" s="16" t="s">
        <v>35</v>
      </c>
      <c r="L235" s="154">
        <v>43156.0</v>
      </c>
      <c r="M235" s="16">
        <f t="shared" si="1"/>
        <v>8</v>
      </c>
      <c r="N235" s="17"/>
      <c r="O235" s="16" t="s">
        <v>3997</v>
      </c>
      <c r="P235" s="16" t="s">
        <v>2557</v>
      </c>
      <c r="Q235" s="152" t="s">
        <v>3922</v>
      </c>
      <c r="R235" s="17"/>
      <c r="S235" s="16" t="s">
        <v>3671</v>
      </c>
      <c r="T235" s="17"/>
      <c r="U235" s="16" t="s">
        <v>3138</v>
      </c>
      <c r="V235" s="17"/>
      <c r="W235" s="17"/>
      <c r="X235" s="17"/>
      <c r="Y235" s="16" t="s">
        <v>3138</v>
      </c>
      <c r="Z235" s="16" t="s">
        <v>3760</v>
      </c>
      <c r="AA235" s="17"/>
      <c r="AB235" s="17"/>
    </row>
    <row r="236">
      <c r="A236" s="16">
        <f t="shared" si="2"/>
        <v>235</v>
      </c>
      <c r="B236" s="16" t="s">
        <v>683</v>
      </c>
      <c r="C236" s="16" t="s">
        <v>684</v>
      </c>
      <c r="D236" s="16" t="s">
        <v>685</v>
      </c>
      <c r="E236" s="16" t="s">
        <v>3106</v>
      </c>
      <c r="F236" s="16" t="s">
        <v>10</v>
      </c>
      <c r="G236" s="16" t="s">
        <v>3678</v>
      </c>
      <c r="H236" s="16" t="s">
        <v>12</v>
      </c>
      <c r="I236" s="17"/>
      <c r="J236" s="16" t="s">
        <v>36</v>
      </c>
      <c r="K236" s="16" t="s">
        <v>35</v>
      </c>
      <c r="L236" s="154">
        <v>43173.0</v>
      </c>
      <c r="M236" s="16">
        <f t="shared" si="1"/>
        <v>8</v>
      </c>
      <c r="N236" s="17"/>
      <c r="O236" s="16" t="s">
        <v>3998</v>
      </c>
      <c r="P236" s="16" t="s">
        <v>3136</v>
      </c>
      <c r="Q236" s="152" t="s">
        <v>4020</v>
      </c>
      <c r="R236" s="17"/>
      <c r="S236" s="16" t="s">
        <v>3671</v>
      </c>
      <c r="T236" s="17"/>
      <c r="U236" s="16" t="s">
        <v>3138</v>
      </c>
      <c r="V236" s="17"/>
      <c r="W236" s="17"/>
      <c r="X236" s="17"/>
      <c r="Y236" s="16" t="s">
        <v>3138</v>
      </c>
      <c r="Z236" s="16" t="s">
        <v>3760</v>
      </c>
      <c r="AA236" s="17"/>
      <c r="AB236" s="17"/>
    </row>
    <row r="237">
      <c r="A237" s="16">
        <f t="shared" si="2"/>
        <v>236</v>
      </c>
      <c r="B237" s="16" t="s">
        <v>686</v>
      </c>
      <c r="C237" s="16" t="s">
        <v>687</v>
      </c>
      <c r="D237" s="16" t="s">
        <v>688</v>
      </c>
      <c r="E237" s="16" t="s">
        <v>3106</v>
      </c>
      <c r="F237" s="16" t="s">
        <v>10</v>
      </c>
      <c r="G237" s="16" t="s">
        <v>3682</v>
      </c>
      <c r="H237" s="16" t="s">
        <v>12</v>
      </c>
      <c r="I237" s="17"/>
      <c r="J237" s="16" t="s">
        <v>36</v>
      </c>
      <c r="K237" s="16" t="s">
        <v>40</v>
      </c>
      <c r="L237" s="154">
        <v>42418.0</v>
      </c>
      <c r="M237" s="16">
        <f t="shared" si="1"/>
        <v>10</v>
      </c>
      <c r="N237" s="17"/>
      <c r="O237" s="16" t="s">
        <v>3991</v>
      </c>
      <c r="P237" s="16" t="s">
        <v>3136</v>
      </c>
      <c r="Q237" s="152" t="s">
        <v>4021</v>
      </c>
      <c r="R237" s="17"/>
      <c r="S237" s="16" t="s">
        <v>3671</v>
      </c>
      <c r="T237" s="17"/>
      <c r="U237" s="16" t="s">
        <v>3138</v>
      </c>
      <c r="V237" s="17"/>
      <c r="W237" s="17"/>
      <c r="X237" s="17"/>
      <c r="Y237" s="16" t="s">
        <v>3138</v>
      </c>
      <c r="Z237" s="16" t="s">
        <v>3760</v>
      </c>
      <c r="AA237" s="17"/>
      <c r="AB237" s="17"/>
    </row>
    <row r="238">
      <c r="A238" s="16">
        <f t="shared" si="2"/>
        <v>237</v>
      </c>
      <c r="B238" s="16" t="s">
        <v>689</v>
      </c>
      <c r="C238" s="16" t="s">
        <v>690</v>
      </c>
      <c r="D238" s="17"/>
      <c r="E238" s="16" t="s">
        <v>3106</v>
      </c>
      <c r="F238" s="16" t="s">
        <v>10</v>
      </c>
      <c r="G238" s="16" t="e">
        <v>#N/A</v>
      </c>
      <c r="H238" s="16" t="s">
        <v>12</v>
      </c>
      <c r="I238" s="17"/>
      <c r="J238" s="16" t="e">
        <v>#N/A</v>
      </c>
      <c r="K238" s="16" t="e">
        <v>#N/A</v>
      </c>
      <c r="L238" s="154">
        <v>43349.0</v>
      </c>
      <c r="M238" s="16">
        <f t="shared" si="1"/>
        <v>8</v>
      </c>
      <c r="N238" s="17"/>
      <c r="O238" s="16" t="s">
        <v>4007</v>
      </c>
      <c r="P238" s="16" t="s">
        <v>2557</v>
      </c>
      <c r="Q238" s="152" t="s">
        <v>4022</v>
      </c>
      <c r="R238" s="17"/>
      <c r="S238" s="16" t="s">
        <v>3671</v>
      </c>
      <c r="T238" s="17"/>
      <c r="U238" s="16" t="s">
        <v>3138</v>
      </c>
      <c r="V238" s="17"/>
      <c r="W238" s="17"/>
      <c r="X238" s="17"/>
      <c r="Y238" s="16" t="s">
        <v>3138</v>
      </c>
      <c r="Z238" s="16" t="s">
        <v>3760</v>
      </c>
      <c r="AA238" s="17"/>
      <c r="AB238" s="17"/>
    </row>
    <row r="239">
      <c r="A239" s="16">
        <f t="shared" si="2"/>
        <v>238</v>
      </c>
      <c r="B239" s="16" t="s">
        <v>691</v>
      </c>
      <c r="C239" s="16" t="s">
        <v>692</v>
      </c>
      <c r="D239" s="16" t="s">
        <v>693</v>
      </c>
      <c r="E239" s="16" t="s">
        <v>3106</v>
      </c>
      <c r="F239" s="16" t="s">
        <v>10</v>
      </c>
      <c r="G239" s="16" t="s">
        <v>3678</v>
      </c>
      <c r="H239" s="16" t="s">
        <v>12</v>
      </c>
      <c r="I239" s="17"/>
      <c r="J239" s="16" t="s">
        <v>36</v>
      </c>
      <c r="K239" s="16" t="s">
        <v>35</v>
      </c>
      <c r="L239" s="154">
        <v>43153.0</v>
      </c>
      <c r="M239" s="16">
        <f t="shared" si="1"/>
        <v>8</v>
      </c>
      <c r="N239" s="17"/>
      <c r="O239" s="111"/>
      <c r="P239" s="16" t="s">
        <v>2557</v>
      </c>
      <c r="Q239" s="152" t="s">
        <v>3927</v>
      </c>
      <c r="R239" s="17"/>
      <c r="S239" s="16" t="s">
        <v>3671</v>
      </c>
      <c r="T239" s="17"/>
      <c r="U239" s="16" t="s">
        <v>3141</v>
      </c>
      <c r="V239" s="16" t="s">
        <v>3681</v>
      </c>
      <c r="W239" s="17"/>
      <c r="X239" s="17"/>
      <c r="Y239" s="16" t="s">
        <v>3141</v>
      </c>
      <c r="Z239" s="16" t="s">
        <v>3681</v>
      </c>
      <c r="AA239" s="17"/>
      <c r="AB239" s="17"/>
    </row>
    <row r="240">
      <c r="A240" s="16">
        <f t="shared" si="2"/>
        <v>239</v>
      </c>
      <c r="B240" s="16" t="s">
        <v>694</v>
      </c>
      <c r="C240" s="16">
        <v>6.0019796E7</v>
      </c>
      <c r="D240" s="16" t="s">
        <v>695</v>
      </c>
      <c r="E240" s="16" t="s">
        <v>3106</v>
      </c>
      <c r="F240" s="16" t="s">
        <v>10</v>
      </c>
      <c r="G240" s="16" t="s">
        <v>3787</v>
      </c>
      <c r="H240" s="16" t="s">
        <v>12</v>
      </c>
      <c r="I240" s="16" t="s">
        <v>3788</v>
      </c>
      <c r="J240" s="16" t="s">
        <v>36</v>
      </c>
      <c r="K240" s="16" t="s">
        <v>214</v>
      </c>
      <c r="L240" s="154">
        <v>44848.0</v>
      </c>
      <c r="M240" s="16">
        <f t="shared" si="1"/>
        <v>4</v>
      </c>
      <c r="N240" s="16">
        <v>4.500000469E9</v>
      </c>
      <c r="O240" s="16" t="s">
        <v>4023</v>
      </c>
      <c r="P240" s="16" t="s">
        <v>3136</v>
      </c>
      <c r="Q240" s="152" t="s">
        <v>3929</v>
      </c>
      <c r="R240" s="17"/>
      <c r="S240" s="16" t="s">
        <v>3671</v>
      </c>
      <c r="T240" s="17"/>
      <c r="U240" s="16" t="s">
        <v>3141</v>
      </c>
      <c r="V240" s="16" t="s">
        <v>3681</v>
      </c>
      <c r="W240" s="17"/>
      <c r="X240" s="17"/>
      <c r="Y240" s="16" t="s">
        <v>3141</v>
      </c>
      <c r="Z240" s="16" t="s">
        <v>3681</v>
      </c>
      <c r="AA240" s="17"/>
      <c r="AB240" s="17"/>
    </row>
    <row r="241">
      <c r="A241" s="16">
        <f t="shared" si="2"/>
        <v>240</v>
      </c>
      <c r="B241" s="16" t="s">
        <v>696</v>
      </c>
      <c r="C241" s="16">
        <v>6.0019795E7</v>
      </c>
      <c r="D241" s="16" t="s">
        <v>697</v>
      </c>
      <c r="E241" s="16" t="s">
        <v>3106</v>
      </c>
      <c r="F241" s="16" t="s">
        <v>10</v>
      </c>
      <c r="G241" s="16" t="s">
        <v>3787</v>
      </c>
      <c r="H241" s="16" t="s">
        <v>12</v>
      </c>
      <c r="I241" s="16" t="s">
        <v>3788</v>
      </c>
      <c r="J241" s="16" t="s">
        <v>36</v>
      </c>
      <c r="K241" s="16" t="s">
        <v>214</v>
      </c>
      <c r="L241" s="154">
        <v>44848.0</v>
      </c>
      <c r="M241" s="16">
        <f t="shared" si="1"/>
        <v>4</v>
      </c>
      <c r="N241" s="16">
        <v>4.500000469E9</v>
      </c>
      <c r="O241" s="17"/>
      <c r="P241" s="16" t="s">
        <v>3136</v>
      </c>
      <c r="Q241" s="152" t="s">
        <v>3931</v>
      </c>
      <c r="R241" s="17"/>
      <c r="S241" s="16" t="s">
        <v>3671</v>
      </c>
      <c r="T241" s="17"/>
      <c r="U241" s="16" t="s">
        <v>3141</v>
      </c>
      <c r="V241" s="16" t="s">
        <v>3681</v>
      </c>
      <c r="W241" s="17"/>
      <c r="X241" s="17"/>
      <c r="Y241" s="16" t="s">
        <v>3141</v>
      </c>
      <c r="Z241" s="16" t="s">
        <v>3681</v>
      </c>
      <c r="AA241" s="17"/>
      <c r="AB241" s="17"/>
    </row>
    <row r="242">
      <c r="A242" s="16">
        <f t="shared" si="2"/>
        <v>241</v>
      </c>
      <c r="B242" s="16" t="s">
        <v>698</v>
      </c>
      <c r="C242" s="16">
        <v>6.0019794E7</v>
      </c>
      <c r="D242" s="16" t="s">
        <v>699</v>
      </c>
      <c r="E242" s="16" t="s">
        <v>3106</v>
      </c>
      <c r="F242" s="16" t="s">
        <v>10</v>
      </c>
      <c r="G242" s="16" t="s">
        <v>3787</v>
      </c>
      <c r="H242" s="16" t="s">
        <v>12</v>
      </c>
      <c r="I242" s="16" t="s">
        <v>3788</v>
      </c>
      <c r="J242" s="16" t="s">
        <v>36</v>
      </c>
      <c r="K242" s="16" t="s">
        <v>214</v>
      </c>
      <c r="L242" s="154">
        <v>44848.0</v>
      </c>
      <c r="M242" s="16">
        <f t="shared" si="1"/>
        <v>4</v>
      </c>
      <c r="N242" s="16">
        <v>4.500000469E9</v>
      </c>
      <c r="O242" s="17"/>
      <c r="P242" s="16" t="s">
        <v>3136</v>
      </c>
      <c r="Q242" s="152" t="s">
        <v>4024</v>
      </c>
      <c r="R242" s="17"/>
      <c r="S242" s="16" t="s">
        <v>3671</v>
      </c>
      <c r="T242" s="17"/>
      <c r="U242" s="16" t="s">
        <v>3141</v>
      </c>
      <c r="V242" s="16" t="s">
        <v>3681</v>
      </c>
      <c r="W242" s="17"/>
      <c r="X242" s="17"/>
      <c r="Y242" s="16" t="s">
        <v>3141</v>
      </c>
      <c r="Z242" s="16" t="s">
        <v>3681</v>
      </c>
      <c r="AA242" s="17"/>
      <c r="AB242" s="17"/>
    </row>
    <row r="243">
      <c r="A243" s="16">
        <f t="shared" si="2"/>
        <v>242</v>
      </c>
      <c r="B243" s="16" t="s">
        <v>700</v>
      </c>
      <c r="C243" s="16">
        <v>6.0019793E7</v>
      </c>
      <c r="D243" s="16" t="s">
        <v>701</v>
      </c>
      <c r="E243" s="16" t="s">
        <v>3106</v>
      </c>
      <c r="F243" s="16" t="s">
        <v>10</v>
      </c>
      <c r="G243" s="16" t="s">
        <v>3787</v>
      </c>
      <c r="H243" s="16" t="s">
        <v>12</v>
      </c>
      <c r="I243" s="16" t="s">
        <v>3788</v>
      </c>
      <c r="J243" s="16" t="s">
        <v>36</v>
      </c>
      <c r="K243" s="16" t="s">
        <v>214</v>
      </c>
      <c r="L243" s="154">
        <v>44848.0</v>
      </c>
      <c r="M243" s="16">
        <f t="shared" si="1"/>
        <v>4</v>
      </c>
      <c r="N243" s="16">
        <v>4.500000469E9</v>
      </c>
      <c r="O243" s="17"/>
      <c r="P243" s="16" t="s">
        <v>3136</v>
      </c>
      <c r="Q243" s="152" t="s">
        <v>4025</v>
      </c>
      <c r="R243" s="17"/>
      <c r="S243" s="16" t="s">
        <v>3671</v>
      </c>
      <c r="T243" s="17"/>
      <c r="U243" s="16" t="s">
        <v>3141</v>
      </c>
      <c r="V243" s="16" t="s">
        <v>3681</v>
      </c>
      <c r="W243" s="17"/>
      <c r="X243" s="17"/>
      <c r="Y243" s="16" t="s">
        <v>3141</v>
      </c>
      <c r="Z243" s="16" t="s">
        <v>3681</v>
      </c>
      <c r="AA243" s="17"/>
      <c r="AB243" s="17"/>
    </row>
    <row r="244">
      <c r="A244" s="16">
        <f t="shared" si="2"/>
        <v>243</v>
      </c>
      <c r="B244" s="16" t="s">
        <v>702</v>
      </c>
      <c r="C244" s="16">
        <v>6.0019776E7</v>
      </c>
      <c r="D244" s="16" t="s">
        <v>703</v>
      </c>
      <c r="E244" s="16" t="s">
        <v>3106</v>
      </c>
      <c r="F244" s="16" t="s">
        <v>10</v>
      </c>
      <c r="G244" s="16" t="s">
        <v>3787</v>
      </c>
      <c r="H244" s="16" t="s">
        <v>12</v>
      </c>
      <c r="I244" s="16" t="s">
        <v>3788</v>
      </c>
      <c r="J244" s="16" t="s">
        <v>36</v>
      </c>
      <c r="K244" s="16" t="s">
        <v>214</v>
      </c>
      <c r="L244" s="154">
        <v>44848.0</v>
      </c>
      <c r="M244" s="16">
        <f t="shared" si="1"/>
        <v>4</v>
      </c>
      <c r="N244" s="16">
        <v>4.500000469E9</v>
      </c>
      <c r="O244" s="17"/>
      <c r="P244" s="16" t="s">
        <v>3136</v>
      </c>
      <c r="Q244" s="152" t="s">
        <v>3935</v>
      </c>
      <c r="R244" s="17"/>
      <c r="S244" s="16" t="s">
        <v>3671</v>
      </c>
      <c r="T244" s="17"/>
      <c r="U244" s="16" t="s">
        <v>3141</v>
      </c>
      <c r="V244" s="16" t="s">
        <v>3681</v>
      </c>
      <c r="W244" s="17"/>
      <c r="X244" s="17"/>
      <c r="Y244" s="16" t="s">
        <v>3141</v>
      </c>
      <c r="Z244" s="16" t="s">
        <v>3681</v>
      </c>
      <c r="AA244" s="17"/>
      <c r="AB244" s="17"/>
    </row>
    <row r="245">
      <c r="A245" s="16">
        <f t="shared" si="2"/>
        <v>244</v>
      </c>
      <c r="B245" s="16" t="s">
        <v>704</v>
      </c>
      <c r="C245" s="16">
        <v>6.0019783E7</v>
      </c>
      <c r="D245" s="16" t="s">
        <v>705</v>
      </c>
      <c r="E245" s="16" t="s">
        <v>3106</v>
      </c>
      <c r="F245" s="16" t="s">
        <v>10</v>
      </c>
      <c r="G245" s="16" t="s">
        <v>3787</v>
      </c>
      <c r="H245" s="16" t="s">
        <v>12</v>
      </c>
      <c r="I245" s="16" t="s">
        <v>3788</v>
      </c>
      <c r="J245" s="16" t="s">
        <v>36</v>
      </c>
      <c r="K245" s="16" t="s">
        <v>214</v>
      </c>
      <c r="L245" s="154">
        <v>44848.0</v>
      </c>
      <c r="M245" s="16">
        <f t="shared" si="1"/>
        <v>4</v>
      </c>
      <c r="N245" s="16">
        <v>4.500000469E9</v>
      </c>
      <c r="O245" s="17"/>
      <c r="P245" s="16" t="s">
        <v>3136</v>
      </c>
      <c r="Q245" s="152" t="s">
        <v>3937</v>
      </c>
      <c r="R245" s="17"/>
      <c r="S245" s="16" t="s">
        <v>3671</v>
      </c>
      <c r="T245" s="17"/>
      <c r="U245" s="16" t="s">
        <v>3141</v>
      </c>
      <c r="V245" s="16" t="s">
        <v>3681</v>
      </c>
      <c r="W245" s="17"/>
      <c r="X245" s="17"/>
      <c r="Y245" s="16" t="s">
        <v>3141</v>
      </c>
      <c r="Z245" s="16" t="s">
        <v>3681</v>
      </c>
      <c r="AA245" s="17"/>
      <c r="AB245" s="17"/>
    </row>
    <row r="246">
      <c r="A246" s="16">
        <f t="shared" si="2"/>
        <v>245</v>
      </c>
      <c r="B246" s="16" t="s">
        <v>706</v>
      </c>
      <c r="C246" s="16">
        <v>6.001979E7</v>
      </c>
      <c r="D246" s="16" t="s">
        <v>707</v>
      </c>
      <c r="E246" s="16" t="s">
        <v>3106</v>
      </c>
      <c r="F246" s="16" t="s">
        <v>10</v>
      </c>
      <c r="G246" s="16" t="s">
        <v>3787</v>
      </c>
      <c r="H246" s="16" t="s">
        <v>12</v>
      </c>
      <c r="I246" s="16" t="s">
        <v>3788</v>
      </c>
      <c r="J246" s="16" t="s">
        <v>36</v>
      </c>
      <c r="K246" s="16" t="s">
        <v>214</v>
      </c>
      <c r="L246" s="154">
        <v>44848.0</v>
      </c>
      <c r="M246" s="16">
        <f t="shared" si="1"/>
        <v>4</v>
      </c>
      <c r="N246" s="16">
        <v>4.500000469E9</v>
      </c>
      <c r="O246" s="17"/>
      <c r="P246" s="16" t="s">
        <v>3136</v>
      </c>
      <c r="Q246" s="152" t="s">
        <v>3939</v>
      </c>
      <c r="R246" s="17"/>
      <c r="S246" s="16" t="s">
        <v>3671</v>
      </c>
      <c r="T246" s="17"/>
      <c r="U246" s="16" t="s">
        <v>3141</v>
      </c>
      <c r="V246" s="16" t="s">
        <v>3681</v>
      </c>
      <c r="W246" s="17"/>
      <c r="X246" s="17"/>
      <c r="Y246" s="16" t="s">
        <v>3141</v>
      </c>
      <c r="Z246" s="16" t="s">
        <v>3681</v>
      </c>
      <c r="AA246" s="17"/>
      <c r="AB246" s="17"/>
    </row>
    <row r="247">
      <c r="A247" s="16">
        <f t="shared" si="2"/>
        <v>246</v>
      </c>
      <c r="B247" s="16" t="s">
        <v>708</v>
      </c>
      <c r="C247" s="16">
        <v>6.0019782E7</v>
      </c>
      <c r="D247" s="16" t="s">
        <v>709</v>
      </c>
      <c r="E247" s="16" t="s">
        <v>3106</v>
      </c>
      <c r="F247" s="16" t="s">
        <v>10</v>
      </c>
      <c r="G247" s="16" t="s">
        <v>3787</v>
      </c>
      <c r="H247" s="16" t="s">
        <v>12</v>
      </c>
      <c r="I247" s="16" t="s">
        <v>3788</v>
      </c>
      <c r="J247" s="16" t="s">
        <v>36</v>
      </c>
      <c r="K247" s="16" t="s">
        <v>214</v>
      </c>
      <c r="L247" s="154">
        <v>44848.0</v>
      </c>
      <c r="M247" s="16">
        <f t="shared" si="1"/>
        <v>4</v>
      </c>
      <c r="N247" s="16">
        <v>4.500000469E9</v>
      </c>
      <c r="O247" s="17"/>
      <c r="P247" s="16" t="s">
        <v>3136</v>
      </c>
      <c r="Q247" s="152" t="s">
        <v>3941</v>
      </c>
      <c r="R247" s="17"/>
      <c r="S247" s="16" t="s">
        <v>3671</v>
      </c>
      <c r="T247" s="17"/>
      <c r="U247" s="16" t="s">
        <v>3141</v>
      </c>
      <c r="V247" s="16" t="s">
        <v>3681</v>
      </c>
      <c r="W247" s="17"/>
      <c r="X247" s="17"/>
      <c r="Y247" s="16" t="s">
        <v>3141</v>
      </c>
      <c r="Z247" s="16" t="s">
        <v>3681</v>
      </c>
      <c r="AA247" s="17"/>
      <c r="AB247" s="17"/>
    </row>
    <row r="248">
      <c r="A248" s="16">
        <f t="shared" si="2"/>
        <v>247</v>
      </c>
      <c r="B248" s="16" t="s">
        <v>710</v>
      </c>
      <c r="C248" s="16">
        <v>6.0019788E7</v>
      </c>
      <c r="D248" s="16" t="s">
        <v>711</v>
      </c>
      <c r="E248" s="16" t="s">
        <v>3106</v>
      </c>
      <c r="F248" s="16" t="s">
        <v>10</v>
      </c>
      <c r="G248" s="16" t="s">
        <v>3787</v>
      </c>
      <c r="H248" s="16" t="s">
        <v>12</v>
      </c>
      <c r="I248" s="16" t="s">
        <v>3788</v>
      </c>
      <c r="J248" s="16" t="s">
        <v>36</v>
      </c>
      <c r="K248" s="16" t="s">
        <v>214</v>
      </c>
      <c r="L248" s="154">
        <v>44848.0</v>
      </c>
      <c r="M248" s="16">
        <f t="shared" si="1"/>
        <v>4</v>
      </c>
      <c r="N248" s="16">
        <v>4.500000469E9</v>
      </c>
      <c r="O248" s="16" t="s">
        <v>4026</v>
      </c>
      <c r="P248" s="16" t="s">
        <v>3136</v>
      </c>
      <c r="Q248" s="152" t="s">
        <v>4027</v>
      </c>
      <c r="R248" s="17"/>
      <c r="S248" s="16" t="s">
        <v>3673</v>
      </c>
      <c r="T248" s="16" t="s">
        <v>4028</v>
      </c>
      <c r="U248" s="16" t="s">
        <v>3141</v>
      </c>
      <c r="V248" s="16" t="s">
        <v>3681</v>
      </c>
      <c r="W248" s="17"/>
      <c r="X248" s="16" t="s">
        <v>4028</v>
      </c>
      <c r="Y248" s="16" t="s">
        <v>3141</v>
      </c>
      <c r="Z248" s="16" t="s">
        <v>3681</v>
      </c>
      <c r="AA248" s="17"/>
      <c r="AB248" s="17"/>
    </row>
    <row r="249">
      <c r="A249" s="16">
        <f t="shared" si="2"/>
        <v>248</v>
      </c>
      <c r="B249" s="16" t="s">
        <v>712</v>
      </c>
      <c r="C249" s="16">
        <v>6.0019774E7</v>
      </c>
      <c r="D249" s="16" t="s">
        <v>713</v>
      </c>
      <c r="E249" s="16" t="s">
        <v>3106</v>
      </c>
      <c r="F249" s="16" t="s">
        <v>10</v>
      </c>
      <c r="G249" s="16" t="s">
        <v>3787</v>
      </c>
      <c r="H249" s="16" t="s">
        <v>12</v>
      </c>
      <c r="I249" s="16" t="s">
        <v>3788</v>
      </c>
      <c r="J249" s="16" t="s">
        <v>36</v>
      </c>
      <c r="K249" s="16" t="s">
        <v>214</v>
      </c>
      <c r="L249" s="154">
        <v>44848.0</v>
      </c>
      <c r="M249" s="16">
        <f t="shared" si="1"/>
        <v>4</v>
      </c>
      <c r="N249" s="16">
        <v>4.500000469E9</v>
      </c>
      <c r="O249" s="16" t="s">
        <v>4029</v>
      </c>
      <c r="P249" s="16" t="s">
        <v>2557</v>
      </c>
      <c r="Q249" s="152" t="s">
        <v>4030</v>
      </c>
      <c r="R249" s="17"/>
      <c r="S249" s="16" t="s">
        <v>3673</v>
      </c>
      <c r="T249" s="16" t="s">
        <v>4031</v>
      </c>
      <c r="U249" s="16" t="s">
        <v>3141</v>
      </c>
      <c r="V249" s="16" t="s">
        <v>3681</v>
      </c>
      <c r="W249" s="17"/>
      <c r="X249" s="16" t="s">
        <v>4031</v>
      </c>
      <c r="Y249" s="16" t="s">
        <v>3141</v>
      </c>
      <c r="Z249" s="16" t="s">
        <v>3681</v>
      </c>
      <c r="AA249" s="17"/>
      <c r="AB249" s="17"/>
    </row>
    <row r="250">
      <c r="A250" s="16">
        <f t="shared" si="2"/>
        <v>249</v>
      </c>
      <c r="B250" s="16" t="s">
        <v>714</v>
      </c>
      <c r="C250" s="16">
        <v>6.0019781E7</v>
      </c>
      <c r="D250" s="16" t="s">
        <v>715</v>
      </c>
      <c r="E250" s="16" t="s">
        <v>3106</v>
      </c>
      <c r="F250" s="16" t="s">
        <v>10</v>
      </c>
      <c r="G250" s="16" t="s">
        <v>3787</v>
      </c>
      <c r="H250" s="16" t="s">
        <v>12</v>
      </c>
      <c r="I250" s="16" t="s">
        <v>3788</v>
      </c>
      <c r="J250" s="16" t="s">
        <v>36</v>
      </c>
      <c r="K250" s="16" t="s">
        <v>214</v>
      </c>
      <c r="L250" s="154">
        <v>44848.0</v>
      </c>
      <c r="M250" s="16">
        <f t="shared" si="1"/>
        <v>4</v>
      </c>
      <c r="N250" s="16">
        <v>4.500000469E9</v>
      </c>
      <c r="O250" s="16" t="s">
        <v>4032</v>
      </c>
      <c r="P250" s="16" t="s">
        <v>3136</v>
      </c>
      <c r="Q250" s="152" t="s">
        <v>4033</v>
      </c>
      <c r="R250" s="17"/>
      <c r="S250" s="16" t="s">
        <v>3673</v>
      </c>
      <c r="T250" s="16" t="s">
        <v>4034</v>
      </c>
      <c r="U250" s="16" t="s">
        <v>3141</v>
      </c>
      <c r="V250" s="16" t="s">
        <v>3681</v>
      </c>
      <c r="W250" s="17"/>
      <c r="X250" s="16" t="s">
        <v>4034</v>
      </c>
      <c r="Y250" s="16" t="s">
        <v>3141</v>
      </c>
      <c r="Z250" s="16" t="s">
        <v>3681</v>
      </c>
      <c r="AA250" s="17"/>
      <c r="AB250" s="17"/>
    </row>
    <row r="251">
      <c r="A251" s="16">
        <f t="shared" si="2"/>
        <v>250</v>
      </c>
      <c r="B251" s="16" t="s">
        <v>716</v>
      </c>
      <c r="C251" s="16">
        <v>6.0019775E7</v>
      </c>
      <c r="D251" s="16" t="s">
        <v>717</v>
      </c>
      <c r="E251" s="16" t="s">
        <v>3106</v>
      </c>
      <c r="F251" s="16" t="s">
        <v>10</v>
      </c>
      <c r="G251" s="16" t="s">
        <v>3787</v>
      </c>
      <c r="H251" s="16" t="s">
        <v>12</v>
      </c>
      <c r="I251" s="16" t="s">
        <v>3788</v>
      </c>
      <c r="J251" s="16" t="s">
        <v>36</v>
      </c>
      <c r="K251" s="16" t="s">
        <v>214</v>
      </c>
      <c r="L251" s="154">
        <v>44848.0</v>
      </c>
      <c r="M251" s="16">
        <f t="shared" si="1"/>
        <v>4</v>
      </c>
      <c r="N251" s="16">
        <v>4.500000469E9</v>
      </c>
      <c r="O251" s="17"/>
      <c r="P251" s="16" t="s">
        <v>3136</v>
      </c>
      <c r="Q251" s="152" t="s">
        <v>3948</v>
      </c>
      <c r="R251" s="17"/>
      <c r="S251" s="16" t="s">
        <v>3671</v>
      </c>
      <c r="T251" s="17"/>
      <c r="U251" s="16" t="s">
        <v>3141</v>
      </c>
      <c r="V251" s="16" t="s">
        <v>3681</v>
      </c>
      <c r="W251" s="17"/>
      <c r="X251" s="17"/>
      <c r="Y251" s="16" t="s">
        <v>3141</v>
      </c>
      <c r="Z251" s="16" t="s">
        <v>3681</v>
      </c>
      <c r="AA251" s="17"/>
      <c r="AB251" s="17"/>
    </row>
    <row r="252">
      <c r="A252" s="16">
        <f t="shared" si="2"/>
        <v>251</v>
      </c>
      <c r="B252" s="16" t="s">
        <v>718</v>
      </c>
      <c r="C252" s="16">
        <v>6.0019791E7</v>
      </c>
      <c r="D252" s="16" t="s">
        <v>719</v>
      </c>
      <c r="E252" s="16" t="s">
        <v>3106</v>
      </c>
      <c r="F252" s="16" t="s">
        <v>10</v>
      </c>
      <c r="G252" s="16" t="s">
        <v>3787</v>
      </c>
      <c r="H252" s="16" t="s">
        <v>12</v>
      </c>
      <c r="I252" s="16" t="s">
        <v>3788</v>
      </c>
      <c r="J252" s="16" t="s">
        <v>36</v>
      </c>
      <c r="K252" s="16" t="s">
        <v>214</v>
      </c>
      <c r="L252" s="154">
        <v>44848.0</v>
      </c>
      <c r="M252" s="16">
        <f t="shared" si="1"/>
        <v>4</v>
      </c>
      <c r="N252" s="16">
        <v>4.500000469E9</v>
      </c>
      <c r="O252" s="17"/>
      <c r="P252" s="16" t="s">
        <v>3136</v>
      </c>
      <c r="Q252" s="152" t="s">
        <v>3950</v>
      </c>
      <c r="R252" s="17"/>
      <c r="S252" s="16" t="s">
        <v>3671</v>
      </c>
      <c r="T252" s="17"/>
      <c r="U252" s="16" t="s">
        <v>3141</v>
      </c>
      <c r="V252" s="16" t="s">
        <v>3681</v>
      </c>
      <c r="W252" s="17"/>
      <c r="X252" s="17"/>
      <c r="Y252" s="16" t="s">
        <v>3141</v>
      </c>
      <c r="Z252" s="16" t="s">
        <v>3681</v>
      </c>
      <c r="AA252" s="17"/>
      <c r="AB252" s="17"/>
    </row>
    <row r="253">
      <c r="A253" s="16">
        <f t="shared" si="2"/>
        <v>252</v>
      </c>
      <c r="B253" s="16" t="s">
        <v>720</v>
      </c>
      <c r="C253" s="16">
        <v>6.0019789E7</v>
      </c>
      <c r="D253" s="16" t="s">
        <v>721</v>
      </c>
      <c r="E253" s="16" t="s">
        <v>3106</v>
      </c>
      <c r="F253" s="16" t="s">
        <v>10</v>
      </c>
      <c r="G253" s="16" t="s">
        <v>3787</v>
      </c>
      <c r="H253" s="16" t="s">
        <v>12</v>
      </c>
      <c r="I253" s="16" t="s">
        <v>3788</v>
      </c>
      <c r="J253" s="16" t="s">
        <v>36</v>
      </c>
      <c r="K253" s="16" t="s">
        <v>214</v>
      </c>
      <c r="L253" s="154">
        <v>44848.0</v>
      </c>
      <c r="M253" s="16">
        <f t="shared" si="1"/>
        <v>4</v>
      </c>
      <c r="N253" s="16">
        <v>4.500000469E9</v>
      </c>
      <c r="O253" s="16" t="s">
        <v>4035</v>
      </c>
      <c r="P253" s="16" t="s">
        <v>3136</v>
      </c>
      <c r="Q253" s="152" t="s">
        <v>4036</v>
      </c>
      <c r="R253" s="16" t="s">
        <v>4037</v>
      </c>
      <c r="S253" s="16" t="s">
        <v>3671</v>
      </c>
      <c r="T253" s="17"/>
      <c r="U253" s="16" t="s">
        <v>3141</v>
      </c>
      <c r="V253" s="16" t="s">
        <v>3681</v>
      </c>
      <c r="W253" s="17"/>
      <c r="X253" s="17"/>
      <c r="Y253" s="16" t="s">
        <v>3141</v>
      </c>
      <c r="Z253" s="16" t="s">
        <v>3681</v>
      </c>
      <c r="AA253" s="17"/>
      <c r="AB253" s="17"/>
    </row>
    <row r="254">
      <c r="A254" s="16">
        <f t="shared" si="2"/>
        <v>253</v>
      </c>
      <c r="B254" s="16" t="s">
        <v>722</v>
      </c>
      <c r="C254" s="16" t="s">
        <v>723</v>
      </c>
      <c r="D254" s="16" t="s">
        <v>724</v>
      </c>
      <c r="E254" s="16" t="s">
        <v>3106</v>
      </c>
      <c r="F254" s="16" t="s">
        <v>10</v>
      </c>
      <c r="G254" s="16" t="s">
        <v>3715</v>
      </c>
      <c r="H254" s="16" t="s">
        <v>12</v>
      </c>
      <c r="I254" s="17"/>
      <c r="J254" s="16" t="s">
        <v>13</v>
      </c>
      <c r="K254" s="16" t="s">
        <v>93</v>
      </c>
      <c r="L254" s="154">
        <v>44243.0</v>
      </c>
      <c r="M254" s="16">
        <f t="shared" si="1"/>
        <v>5</v>
      </c>
      <c r="N254" s="17"/>
      <c r="O254" s="111"/>
      <c r="P254" s="16" t="s">
        <v>3136</v>
      </c>
      <c r="Q254" s="152" t="s">
        <v>3952</v>
      </c>
      <c r="R254" s="17"/>
      <c r="S254" s="16" t="s">
        <v>3671</v>
      </c>
      <c r="T254" s="17"/>
      <c r="U254" s="16" t="s">
        <v>3141</v>
      </c>
      <c r="V254" s="16" t="s">
        <v>3681</v>
      </c>
      <c r="W254" s="17"/>
      <c r="X254" s="17"/>
      <c r="Y254" s="16" t="s">
        <v>3141</v>
      </c>
      <c r="Z254" s="16" t="s">
        <v>3681</v>
      </c>
      <c r="AA254" s="17"/>
      <c r="AB254" s="17"/>
    </row>
    <row r="255">
      <c r="A255" s="16">
        <f t="shared" si="2"/>
        <v>254</v>
      </c>
      <c r="B255" s="16" t="s">
        <v>725</v>
      </c>
      <c r="C255" s="16">
        <v>6.0019792E7</v>
      </c>
      <c r="D255" s="16" t="s">
        <v>726</v>
      </c>
      <c r="E255" s="16" t="s">
        <v>3106</v>
      </c>
      <c r="F255" s="16" t="s">
        <v>10</v>
      </c>
      <c r="G255" s="16" t="s">
        <v>3787</v>
      </c>
      <c r="H255" s="16" t="s">
        <v>12</v>
      </c>
      <c r="I255" s="16" t="s">
        <v>3788</v>
      </c>
      <c r="J255" s="16" t="s">
        <v>36</v>
      </c>
      <c r="K255" s="16" t="s">
        <v>214</v>
      </c>
      <c r="L255" s="154">
        <v>44848.0</v>
      </c>
      <c r="M255" s="16">
        <f t="shared" si="1"/>
        <v>4</v>
      </c>
      <c r="N255" s="16">
        <v>4.500000469E9</v>
      </c>
      <c r="O255" s="17"/>
      <c r="P255" s="16" t="s">
        <v>3136</v>
      </c>
      <c r="Q255" s="152" t="s">
        <v>4038</v>
      </c>
      <c r="R255" s="17"/>
      <c r="S255" s="16" t="s">
        <v>3671</v>
      </c>
      <c r="T255" s="17"/>
      <c r="U255" s="16" t="s">
        <v>3141</v>
      </c>
      <c r="V255" s="16" t="s">
        <v>3681</v>
      </c>
      <c r="W255" s="17"/>
      <c r="X255" s="17"/>
      <c r="Y255" s="16" t="s">
        <v>3141</v>
      </c>
      <c r="Z255" s="16" t="s">
        <v>3681</v>
      </c>
      <c r="AA255" s="17"/>
      <c r="AB255" s="17"/>
    </row>
    <row r="256">
      <c r="A256" s="16">
        <f t="shared" si="2"/>
        <v>255</v>
      </c>
      <c r="B256" s="16" t="s">
        <v>727</v>
      </c>
      <c r="C256" s="16">
        <v>6.0019779E7</v>
      </c>
      <c r="D256" s="16" t="s">
        <v>728</v>
      </c>
      <c r="E256" s="16" t="s">
        <v>3106</v>
      </c>
      <c r="F256" s="16" t="s">
        <v>10</v>
      </c>
      <c r="G256" s="16" t="s">
        <v>3787</v>
      </c>
      <c r="H256" s="16" t="s">
        <v>12</v>
      </c>
      <c r="I256" s="16" t="s">
        <v>3788</v>
      </c>
      <c r="J256" s="16" t="s">
        <v>36</v>
      </c>
      <c r="K256" s="16" t="s">
        <v>214</v>
      </c>
      <c r="L256" s="154">
        <v>44848.0</v>
      </c>
      <c r="M256" s="16">
        <f t="shared" si="1"/>
        <v>4</v>
      </c>
      <c r="N256" s="16">
        <v>4.500000469E9</v>
      </c>
      <c r="O256" s="16" t="s">
        <v>4039</v>
      </c>
      <c r="P256" s="16" t="s">
        <v>3136</v>
      </c>
      <c r="Q256" s="152" t="s">
        <v>3956</v>
      </c>
      <c r="R256" s="17"/>
      <c r="S256" s="16" t="s">
        <v>3673</v>
      </c>
      <c r="T256" s="16" t="s">
        <v>4040</v>
      </c>
      <c r="U256" s="16" t="s">
        <v>3141</v>
      </c>
      <c r="V256" s="16" t="s">
        <v>3681</v>
      </c>
      <c r="W256" s="17"/>
      <c r="X256" s="16" t="s">
        <v>4040</v>
      </c>
      <c r="Y256" s="16" t="s">
        <v>3141</v>
      </c>
      <c r="Z256" s="16" t="s">
        <v>3681</v>
      </c>
      <c r="AA256" s="17"/>
      <c r="AB256" s="17"/>
    </row>
    <row r="257">
      <c r="A257" s="16">
        <f t="shared" si="2"/>
        <v>256</v>
      </c>
      <c r="B257" s="16" t="s">
        <v>729</v>
      </c>
      <c r="C257" s="16">
        <v>6.0019785E7</v>
      </c>
      <c r="D257" s="16" t="s">
        <v>730</v>
      </c>
      <c r="E257" s="16" t="s">
        <v>3106</v>
      </c>
      <c r="F257" s="16" t="s">
        <v>10</v>
      </c>
      <c r="G257" s="16" t="s">
        <v>3787</v>
      </c>
      <c r="H257" s="16" t="s">
        <v>12</v>
      </c>
      <c r="I257" s="16" t="s">
        <v>3788</v>
      </c>
      <c r="J257" s="16" t="s">
        <v>36</v>
      </c>
      <c r="K257" s="16" t="s">
        <v>214</v>
      </c>
      <c r="L257" s="154">
        <v>44848.0</v>
      </c>
      <c r="M257" s="16">
        <f t="shared" si="1"/>
        <v>4</v>
      </c>
      <c r="N257" s="16">
        <v>4.500000469E9</v>
      </c>
      <c r="O257" s="16" t="s">
        <v>4041</v>
      </c>
      <c r="P257" s="16" t="s">
        <v>3136</v>
      </c>
      <c r="Q257" s="152" t="s">
        <v>3958</v>
      </c>
      <c r="R257" s="17"/>
      <c r="S257" s="16" t="s">
        <v>3671</v>
      </c>
      <c r="T257" s="17"/>
      <c r="U257" s="16" t="s">
        <v>3141</v>
      </c>
      <c r="V257" s="16" t="s">
        <v>3681</v>
      </c>
      <c r="W257" s="17"/>
      <c r="X257" s="17"/>
      <c r="Y257" s="16" t="s">
        <v>3141</v>
      </c>
      <c r="Z257" s="16" t="s">
        <v>3681</v>
      </c>
      <c r="AA257" s="17"/>
      <c r="AB257" s="17"/>
    </row>
    <row r="258">
      <c r="A258" s="16">
        <f t="shared" si="2"/>
        <v>257</v>
      </c>
      <c r="B258" s="16" t="s">
        <v>731</v>
      </c>
      <c r="C258" s="16">
        <v>6.0019773E7</v>
      </c>
      <c r="D258" s="16" t="s">
        <v>732</v>
      </c>
      <c r="E258" s="16" t="s">
        <v>3106</v>
      </c>
      <c r="F258" s="16" t="s">
        <v>10</v>
      </c>
      <c r="G258" s="16" t="s">
        <v>3787</v>
      </c>
      <c r="H258" s="16" t="s">
        <v>12</v>
      </c>
      <c r="I258" s="16" t="s">
        <v>3788</v>
      </c>
      <c r="J258" s="16" t="s">
        <v>36</v>
      </c>
      <c r="K258" s="16" t="s">
        <v>214</v>
      </c>
      <c r="L258" s="154">
        <v>44848.0</v>
      </c>
      <c r="M258" s="16">
        <f t="shared" si="1"/>
        <v>4</v>
      </c>
      <c r="N258" s="16">
        <v>4.500000469E9</v>
      </c>
      <c r="O258" s="16" t="s">
        <v>4042</v>
      </c>
      <c r="P258" s="16" t="s">
        <v>3136</v>
      </c>
      <c r="Q258" s="152" t="s">
        <v>3960</v>
      </c>
      <c r="R258" s="17"/>
      <c r="S258" s="16" t="s">
        <v>3671</v>
      </c>
      <c r="T258" s="17"/>
      <c r="U258" s="16" t="s">
        <v>3141</v>
      </c>
      <c r="V258" s="16" t="s">
        <v>3681</v>
      </c>
      <c r="W258" s="17"/>
      <c r="X258" s="17"/>
      <c r="Y258" s="16" t="s">
        <v>3141</v>
      </c>
      <c r="Z258" s="16" t="s">
        <v>3681</v>
      </c>
      <c r="AA258" s="17"/>
      <c r="AB258" s="17"/>
    </row>
    <row r="259">
      <c r="A259" s="16">
        <f t="shared" si="2"/>
        <v>258</v>
      </c>
      <c r="B259" s="16" t="s">
        <v>733</v>
      </c>
      <c r="C259" s="16" t="s">
        <v>734</v>
      </c>
      <c r="D259" s="16" t="s">
        <v>735</v>
      </c>
      <c r="E259" s="16" t="s">
        <v>3106</v>
      </c>
      <c r="F259" s="16" t="s">
        <v>10</v>
      </c>
      <c r="G259" s="16" t="s">
        <v>3715</v>
      </c>
      <c r="H259" s="16" t="s">
        <v>12</v>
      </c>
      <c r="I259" s="17"/>
      <c r="J259" s="16" t="s">
        <v>13</v>
      </c>
      <c r="K259" s="16" t="s">
        <v>93</v>
      </c>
      <c r="L259" s="154">
        <v>44243.0</v>
      </c>
      <c r="M259" s="16">
        <f t="shared" si="1"/>
        <v>5</v>
      </c>
      <c r="N259" s="17"/>
      <c r="O259" s="111"/>
      <c r="P259" s="16" t="s">
        <v>3136</v>
      </c>
      <c r="Q259" s="152" t="s">
        <v>3962</v>
      </c>
      <c r="R259" s="17"/>
      <c r="S259" s="16" t="s">
        <v>3671</v>
      </c>
      <c r="T259" s="17"/>
      <c r="U259" s="16" t="s">
        <v>3141</v>
      </c>
      <c r="V259" s="16" t="s">
        <v>3681</v>
      </c>
      <c r="W259" s="17"/>
      <c r="X259" s="17"/>
      <c r="Y259" s="16" t="s">
        <v>3141</v>
      </c>
      <c r="Z259" s="16" t="s">
        <v>3681</v>
      </c>
      <c r="AA259" s="17"/>
      <c r="AB259" s="17"/>
    </row>
    <row r="260">
      <c r="A260" s="16">
        <f t="shared" si="2"/>
        <v>259</v>
      </c>
      <c r="B260" s="16" t="s">
        <v>736</v>
      </c>
      <c r="C260" s="16">
        <v>6.0019786E7</v>
      </c>
      <c r="D260" s="16" t="s">
        <v>737</v>
      </c>
      <c r="E260" s="16" t="s">
        <v>3106</v>
      </c>
      <c r="F260" s="16" t="s">
        <v>10</v>
      </c>
      <c r="G260" s="16" t="s">
        <v>3787</v>
      </c>
      <c r="H260" s="16" t="s">
        <v>12</v>
      </c>
      <c r="I260" s="16" t="s">
        <v>3788</v>
      </c>
      <c r="J260" s="16" t="s">
        <v>36</v>
      </c>
      <c r="K260" s="16" t="s">
        <v>214</v>
      </c>
      <c r="L260" s="154">
        <v>44848.0</v>
      </c>
      <c r="M260" s="16">
        <f t="shared" si="1"/>
        <v>4</v>
      </c>
      <c r="N260" s="16">
        <v>4.500000469E9</v>
      </c>
      <c r="O260" s="17"/>
      <c r="P260" s="16" t="s">
        <v>3136</v>
      </c>
      <c r="Q260" s="152" t="s">
        <v>4043</v>
      </c>
      <c r="R260" s="17"/>
      <c r="S260" s="16" t="s">
        <v>3671</v>
      </c>
      <c r="T260" s="17"/>
      <c r="U260" s="16" t="s">
        <v>3141</v>
      </c>
      <c r="V260" s="16" t="s">
        <v>3681</v>
      </c>
      <c r="W260" s="17"/>
      <c r="X260" s="17"/>
      <c r="Y260" s="16" t="s">
        <v>3141</v>
      </c>
      <c r="Z260" s="16" t="s">
        <v>3681</v>
      </c>
      <c r="AA260" s="17"/>
      <c r="AB260" s="17"/>
    </row>
    <row r="261">
      <c r="A261" s="16">
        <f t="shared" si="2"/>
        <v>260</v>
      </c>
      <c r="B261" s="16" t="s">
        <v>738</v>
      </c>
      <c r="C261" s="16">
        <v>6.0019784E7</v>
      </c>
      <c r="D261" s="16" t="s">
        <v>739</v>
      </c>
      <c r="E261" s="16" t="s">
        <v>3106</v>
      </c>
      <c r="F261" s="16" t="s">
        <v>10</v>
      </c>
      <c r="G261" s="16" t="s">
        <v>3787</v>
      </c>
      <c r="H261" s="16" t="s">
        <v>12</v>
      </c>
      <c r="I261" s="16" t="s">
        <v>3788</v>
      </c>
      <c r="J261" s="16" t="s">
        <v>36</v>
      </c>
      <c r="K261" s="16" t="s">
        <v>214</v>
      </c>
      <c r="L261" s="154">
        <v>44848.0</v>
      </c>
      <c r="M261" s="16">
        <f t="shared" si="1"/>
        <v>4</v>
      </c>
      <c r="N261" s="16">
        <v>4.500000469E9</v>
      </c>
      <c r="O261" s="17"/>
      <c r="P261" s="16" t="s">
        <v>3136</v>
      </c>
      <c r="Q261" s="152" t="s">
        <v>4044</v>
      </c>
      <c r="R261" s="17"/>
      <c r="S261" s="16" t="s">
        <v>3671</v>
      </c>
      <c r="T261" s="17"/>
      <c r="U261" s="16" t="s">
        <v>3141</v>
      </c>
      <c r="V261" s="16" t="s">
        <v>3681</v>
      </c>
      <c r="W261" s="17"/>
      <c r="X261" s="17"/>
      <c r="Y261" s="16" t="s">
        <v>3141</v>
      </c>
      <c r="Z261" s="16" t="s">
        <v>3681</v>
      </c>
      <c r="AA261" s="17"/>
      <c r="AB261" s="17"/>
    </row>
    <row r="262">
      <c r="A262" s="16">
        <f t="shared" si="2"/>
        <v>261</v>
      </c>
      <c r="B262" s="16" t="s">
        <v>740</v>
      </c>
      <c r="C262" s="16" t="s">
        <v>741</v>
      </c>
      <c r="D262" s="16" t="s">
        <v>742</v>
      </c>
      <c r="E262" s="16" t="s">
        <v>3106</v>
      </c>
      <c r="F262" s="16" t="s">
        <v>10</v>
      </c>
      <c r="G262" s="16" t="s">
        <v>3905</v>
      </c>
      <c r="H262" s="16" t="s">
        <v>12</v>
      </c>
      <c r="I262" s="17"/>
      <c r="J262" s="16" t="s">
        <v>13</v>
      </c>
      <c r="K262" s="16" t="s">
        <v>444</v>
      </c>
      <c r="L262" s="154">
        <v>44026.0</v>
      </c>
      <c r="M262" s="16">
        <f t="shared" si="1"/>
        <v>6</v>
      </c>
      <c r="N262" s="17"/>
      <c r="O262" s="111"/>
      <c r="P262" s="16" t="s">
        <v>3136</v>
      </c>
      <c r="Q262" s="152" t="s">
        <v>4045</v>
      </c>
      <c r="R262" s="17"/>
      <c r="S262" s="16" t="s">
        <v>3671</v>
      </c>
      <c r="T262" s="17"/>
      <c r="U262" s="16" t="s">
        <v>3141</v>
      </c>
      <c r="V262" s="16" t="s">
        <v>3681</v>
      </c>
      <c r="W262" s="17"/>
      <c r="X262" s="17"/>
      <c r="Y262" s="16" t="s">
        <v>3141</v>
      </c>
      <c r="Z262" s="16" t="s">
        <v>3681</v>
      </c>
      <c r="AA262" s="17"/>
      <c r="AB262" s="17"/>
    </row>
    <row r="263">
      <c r="A263" s="16">
        <f t="shared" si="2"/>
        <v>262</v>
      </c>
      <c r="B263" s="16" t="s">
        <v>743</v>
      </c>
      <c r="C263" s="16">
        <v>6.0019787E7</v>
      </c>
      <c r="D263" s="16" t="s">
        <v>744</v>
      </c>
      <c r="E263" s="16" t="s">
        <v>3106</v>
      </c>
      <c r="F263" s="16" t="s">
        <v>10</v>
      </c>
      <c r="G263" s="16" t="s">
        <v>3787</v>
      </c>
      <c r="H263" s="16" t="s">
        <v>12</v>
      </c>
      <c r="I263" s="16" t="s">
        <v>3788</v>
      </c>
      <c r="J263" s="16" t="s">
        <v>36</v>
      </c>
      <c r="K263" s="16" t="s">
        <v>214</v>
      </c>
      <c r="L263" s="154">
        <v>44848.0</v>
      </c>
      <c r="M263" s="16">
        <f t="shared" si="1"/>
        <v>4</v>
      </c>
      <c r="N263" s="16">
        <v>4.500000469E9</v>
      </c>
      <c r="O263" s="17"/>
      <c r="P263" s="16" t="s">
        <v>2557</v>
      </c>
      <c r="Q263" s="152" t="s">
        <v>4046</v>
      </c>
      <c r="R263" s="17"/>
      <c r="S263" s="16" t="s">
        <v>3671</v>
      </c>
      <c r="T263" s="17"/>
      <c r="U263" s="16" t="s">
        <v>3141</v>
      </c>
      <c r="V263" s="16" t="s">
        <v>3681</v>
      </c>
      <c r="W263" s="17"/>
      <c r="X263" s="17"/>
      <c r="Y263" s="16" t="s">
        <v>3141</v>
      </c>
      <c r="Z263" s="16" t="s">
        <v>3681</v>
      </c>
      <c r="AA263" s="17"/>
      <c r="AB263" s="17"/>
    </row>
    <row r="264">
      <c r="A264" s="16">
        <f t="shared" si="2"/>
        <v>263</v>
      </c>
      <c r="B264" s="16" t="s">
        <v>745</v>
      </c>
      <c r="C264" s="16">
        <v>6.0019777E7</v>
      </c>
      <c r="D264" s="16" t="s">
        <v>746</v>
      </c>
      <c r="E264" s="16" t="s">
        <v>3106</v>
      </c>
      <c r="F264" s="16" t="s">
        <v>10</v>
      </c>
      <c r="G264" s="16" t="s">
        <v>3787</v>
      </c>
      <c r="H264" s="16" t="s">
        <v>12</v>
      </c>
      <c r="I264" s="16" t="s">
        <v>3788</v>
      </c>
      <c r="J264" s="16" t="s">
        <v>36</v>
      </c>
      <c r="K264" s="16" t="s">
        <v>214</v>
      </c>
      <c r="L264" s="154">
        <v>44848.0</v>
      </c>
      <c r="M264" s="16">
        <f t="shared" si="1"/>
        <v>4</v>
      </c>
      <c r="N264" s="16">
        <v>4.500000469E9</v>
      </c>
      <c r="O264" s="17"/>
      <c r="P264" s="16" t="s">
        <v>3136</v>
      </c>
      <c r="Q264" s="152" t="s">
        <v>3972</v>
      </c>
      <c r="R264" s="17"/>
      <c r="S264" s="16" t="s">
        <v>3671</v>
      </c>
      <c r="T264" s="17"/>
      <c r="U264" s="16" t="s">
        <v>3141</v>
      </c>
      <c r="V264" s="16" t="s">
        <v>3681</v>
      </c>
      <c r="W264" s="17"/>
      <c r="X264" s="17"/>
      <c r="Y264" s="16" t="s">
        <v>3141</v>
      </c>
      <c r="Z264" s="16" t="s">
        <v>3681</v>
      </c>
      <c r="AA264" s="17"/>
      <c r="AB264" s="17"/>
    </row>
    <row r="265">
      <c r="A265" s="16">
        <f t="shared" si="2"/>
        <v>264</v>
      </c>
      <c r="B265" s="16" t="s">
        <v>747</v>
      </c>
      <c r="C265" s="16" t="s">
        <v>748</v>
      </c>
      <c r="D265" s="16" t="s">
        <v>749</v>
      </c>
      <c r="E265" s="16" t="s">
        <v>3106</v>
      </c>
      <c r="F265" s="16" t="s">
        <v>10</v>
      </c>
      <c r="G265" s="16" t="s">
        <v>3678</v>
      </c>
      <c r="H265" s="16" t="s">
        <v>12</v>
      </c>
      <c r="I265" s="17"/>
      <c r="J265" s="16" t="s">
        <v>36</v>
      </c>
      <c r="K265" s="16" t="s">
        <v>35</v>
      </c>
      <c r="L265" s="154">
        <v>43153.0</v>
      </c>
      <c r="M265" s="16">
        <f t="shared" si="1"/>
        <v>8</v>
      </c>
      <c r="N265" s="17"/>
      <c r="O265" s="16" t="s">
        <v>4047</v>
      </c>
      <c r="P265" s="16" t="s">
        <v>2557</v>
      </c>
      <c r="Q265" s="152" t="s">
        <v>3974</v>
      </c>
      <c r="R265" s="17"/>
      <c r="S265" s="16" t="s">
        <v>3671</v>
      </c>
      <c r="T265" s="17"/>
      <c r="U265" s="16" t="s">
        <v>3151</v>
      </c>
      <c r="V265" s="17"/>
      <c r="W265" s="17"/>
      <c r="X265" s="17"/>
      <c r="Y265" s="16" t="s">
        <v>3151</v>
      </c>
      <c r="Z265" s="16" t="s">
        <v>3734</v>
      </c>
      <c r="AA265" s="17"/>
      <c r="AB265" s="17"/>
    </row>
    <row r="266">
      <c r="A266" s="16">
        <f t="shared" si="2"/>
        <v>265</v>
      </c>
      <c r="B266" s="16" t="s">
        <v>750</v>
      </c>
      <c r="C266" s="16" t="s">
        <v>751</v>
      </c>
      <c r="D266" s="16" t="s">
        <v>752</v>
      </c>
      <c r="E266" s="16" t="s">
        <v>3106</v>
      </c>
      <c r="F266" s="16" t="s">
        <v>10</v>
      </c>
      <c r="G266" s="16" t="s">
        <v>3712</v>
      </c>
      <c r="H266" s="16" t="s">
        <v>12</v>
      </c>
      <c r="I266" s="17"/>
      <c r="J266" s="16" t="s">
        <v>36</v>
      </c>
      <c r="K266" s="16" t="s">
        <v>89</v>
      </c>
      <c r="L266" s="154">
        <v>43808.0</v>
      </c>
      <c r="M266" s="16">
        <f t="shared" si="1"/>
        <v>7</v>
      </c>
      <c r="N266" s="17"/>
      <c r="O266" s="111"/>
      <c r="P266" s="16" t="s">
        <v>2557</v>
      </c>
      <c r="Q266" s="152" t="s">
        <v>4048</v>
      </c>
      <c r="R266" s="17"/>
      <c r="S266" s="16" t="s">
        <v>3671</v>
      </c>
      <c r="T266" s="17"/>
      <c r="U266" s="16" t="s">
        <v>3151</v>
      </c>
      <c r="V266" s="17"/>
      <c r="W266" s="17"/>
      <c r="X266" s="17"/>
      <c r="Y266" s="16" t="s">
        <v>3151</v>
      </c>
      <c r="Z266" s="16" t="s">
        <v>3734</v>
      </c>
      <c r="AA266" s="17"/>
      <c r="AB266" s="17"/>
    </row>
    <row r="267">
      <c r="A267" s="16">
        <f t="shared" si="2"/>
        <v>266</v>
      </c>
      <c r="B267" s="16" t="s">
        <v>753</v>
      </c>
      <c r="C267" s="16" t="s">
        <v>754</v>
      </c>
      <c r="D267" s="16" t="s">
        <v>755</v>
      </c>
      <c r="E267" s="16" t="s">
        <v>3106</v>
      </c>
      <c r="F267" s="16" t="s">
        <v>10</v>
      </c>
      <c r="G267" s="16" t="s">
        <v>4049</v>
      </c>
      <c r="H267" s="16" t="s">
        <v>12</v>
      </c>
      <c r="I267" s="17"/>
      <c r="J267" s="16" t="s">
        <v>36</v>
      </c>
      <c r="K267" s="16" t="s">
        <v>756</v>
      </c>
      <c r="L267" s="154">
        <v>43942.0</v>
      </c>
      <c r="M267" s="16">
        <f t="shared" si="1"/>
        <v>6</v>
      </c>
      <c r="N267" s="17"/>
      <c r="O267" s="16" t="s">
        <v>4050</v>
      </c>
      <c r="P267" s="16" t="s">
        <v>2557</v>
      </c>
      <c r="Q267" s="152" t="s">
        <v>4051</v>
      </c>
      <c r="R267" s="17"/>
      <c r="S267" s="16" t="s">
        <v>3673</v>
      </c>
      <c r="T267" s="16" t="s">
        <v>4052</v>
      </c>
      <c r="U267" s="16" t="s">
        <v>3151</v>
      </c>
      <c r="V267" s="17"/>
      <c r="W267" s="17"/>
      <c r="X267" s="16" t="s">
        <v>4052</v>
      </c>
      <c r="Y267" s="16" t="s">
        <v>3151</v>
      </c>
      <c r="Z267" s="16" t="s">
        <v>3734</v>
      </c>
      <c r="AA267" s="17"/>
      <c r="AB267" s="17"/>
    </row>
    <row r="268">
      <c r="A268" s="16">
        <f t="shared" si="2"/>
        <v>267</v>
      </c>
      <c r="B268" s="16" t="s">
        <v>757</v>
      </c>
      <c r="C268" s="16" t="s">
        <v>758</v>
      </c>
      <c r="D268" s="16" t="s">
        <v>759</v>
      </c>
      <c r="E268" s="16" t="s">
        <v>3106</v>
      </c>
      <c r="F268" s="16" t="s">
        <v>10</v>
      </c>
      <c r="G268" s="16" t="s">
        <v>3685</v>
      </c>
      <c r="H268" s="16" t="s">
        <v>12</v>
      </c>
      <c r="I268" s="17"/>
      <c r="J268" s="16" t="s">
        <v>13</v>
      </c>
      <c r="K268" s="16" t="s">
        <v>47</v>
      </c>
      <c r="L268" s="154">
        <v>41502.0</v>
      </c>
      <c r="M268" s="16">
        <f t="shared" si="1"/>
        <v>13</v>
      </c>
      <c r="N268" s="17"/>
      <c r="O268" s="16" t="s">
        <v>4053</v>
      </c>
      <c r="P268" s="16" t="s">
        <v>2557</v>
      </c>
      <c r="Q268" s="152" t="s">
        <v>4054</v>
      </c>
      <c r="R268" s="17"/>
      <c r="S268" s="16" t="s">
        <v>3673</v>
      </c>
      <c r="T268" s="16" t="s">
        <v>4055</v>
      </c>
      <c r="U268" s="16" t="s">
        <v>3151</v>
      </c>
      <c r="V268" s="17"/>
      <c r="W268" s="17"/>
      <c r="X268" s="16" t="s">
        <v>4055</v>
      </c>
      <c r="Y268" s="16" t="s">
        <v>3151</v>
      </c>
      <c r="Z268" s="16" t="s">
        <v>3734</v>
      </c>
      <c r="AA268" s="17"/>
      <c r="AB268" s="17"/>
    </row>
    <row r="269">
      <c r="A269" s="16">
        <f t="shared" si="2"/>
        <v>268</v>
      </c>
      <c r="B269" s="16" t="s">
        <v>760</v>
      </c>
      <c r="C269" s="16" t="s">
        <v>761</v>
      </c>
      <c r="D269" s="16" t="s">
        <v>762</v>
      </c>
      <c r="E269" s="16" t="s">
        <v>3106</v>
      </c>
      <c r="F269" s="16" t="s">
        <v>10</v>
      </c>
      <c r="G269" s="16" t="s">
        <v>3678</v>
      </c>
      <c r="H269" s="16" t="s">
        <v>12</v>
      </c>
      <c r="I269" s="17"/>
      <c r="J269" s="16" t="s">
        <v>36</v>
      </c>
      <c r="K269" s="16" t="s">
        <v>35</v>
      </c>
      <c r="L269" s="154">
        <v>43153.0</v>
      </c>
      <c r="M269" s="16">
        <f t="shared" si="1"/>
        <v>8</v>
      </c>
      <c r="N269" s="17"/>
      <c r="O269" s="16" t="s">
        <v>3670</v>
      </c>
      <c r="P269" s="16" t="s">
        <v>2557</v>
      </c>
      <c r="Q269" s="152" t="s">
        <v>4056</v>
      </c>
      <c r="R269" s="115">
        <v>45633.0</v>
      </c>
      <c r="S269" s="16" t="s">
        <v>3673</v>
      </c>
      <c r="T269" s="17"/>
      <c r="U269" s="16" t="s">
        <v>3151</v>
      </c>
      <c r="V269" s="17"/>
      <c r="W269" s="17"/>
      <c r="X269" s="17"/>
      <c r="Y269" s="16" t="s">
        <v>3151</v>
      </c>
      <c r="Z269" s="16" t="s">
        <v>3734</v>
      </c>
      <c r="AA269" s="17"/>
      <c r="AB269" s="17"/>
    </row>
    <row r="270">
      <c r="A270" s="16">
        <f t="shared" si="2"/>
        <v>269</v>
      </c>
      <c r="B270" s="16" t="s">
        <v>763</v>
      </c>
      <c r="C270" s="16" t="s">
        <v>764</v>
      </c>
      <c r="D270" s="16" t="s">
        <v>765</v>
      </c>
      <c r="E270" s="16" t="s">
        <v>3106</v>
      </c>
      <c r="F270" s="16" t="s">
        <v>10</v>
      </c>
      <c r="G270" s="16" t="s">
        <v>3678</v>
      </c>
      <c r="H270" s="16" t="s">
        <v>12</v>
      </c>
      <c r="I270" s="17"/>
      <c r="J270" s="16" t="s">
        <v>36</v>
      </c>
      <c r="K270" s="16" t="s">
        <v>35</v>
      </c>
      <c r="L270" s="154">
        <v>43808.0</v>
      </c>
      <c r="M270" s="16">
        <f t="shared" si="1"/>
        <v>7</v>
      </c>
      <c r="N270" s="17"/>
      <c r="O270" s="16" t="s">
        <v>3670</v>
      </c>
      <c r="P270" s="16" t="s">
        <v>2557</v>
      </c>
      <c r="Q270" s="152" t="s">
        <v>4057</v>
      </c>
      <c r="R270" s="17"/>
      <c r="S270" s="16" t="s">
        <v>3673</v>
      </c>
      <c r="T270" s="17"/>
      <c r="U270" s="16" t="s">
        <v>3151</v>
      </c>
      <c r="V270" s="17"/>
      <c r="W270" s="17"/>
      <c r="X270" s="17"/>
      <c r="Y270" s="16" t="s">
        <v>3151</v>
      </c>
      <c r="Z270" s="16" t="s">
        <v>3734</v>
      </c>
      <c r="AA270" s="17"/>
      <c r="AB270" s="17"/>
    </row>
    <row r="271">
      <c r="A271" s="16">
        <f t="shared" si="2"/>
        <v>270</v>
      </c>
      <c r="B271" s="16" t="s">
        <v>766</v>
      </c>
      <c r="C271" s="16" t="s">
        <v>767</v>
      </c>
      <c r="D271" s="16" t="s">
        <v>768</v>
      </c>
      <c r="E271" s="16" t="s">
        <v>3106</v>
      </c>
      <c r="F271" s="16" t="s">
        <v>10</v>
      </c>
      <c r="G271" s="16" t="s">
        <v>3712</v>
      </c>
      <c r="H271" s="16" t="s">
        <v>12</v>
      </c>
      <c r="I271" s="17"/>
      <c r="J271" s="16" t="s">
        <v>36</v>
      </c>
      <c r="K271" s="16" t="s">
        <v>89</v>
      </c>
      <c r="L271" s="154">
        <v>44848.0</v>
      </c>
      <c r="M271" s="16">
        <f t="shared" si="1"/>
        <v>4</v>
      </c>
      <c r="N271" s="17"/>
      <c r="O271" s="16" t="s">
        <v>4050</v>
      </c>
      <c r="P271" s="16" t="s">
        <v>3136</v>
      </c>
      <c r="Q271" s="152" t="s">
        <v>4058</v>
      </c>
      <c r="R271" s="17"/>
      <c r="S271" s="16" t="s">
        <v>3673</v>
      </c>
      <c r="T271" s="16" t="s">
        <v>4059</v>
      </c>
      <c r="U271" s="16" t="s">
        <v>3151</v>
      </c>
      <c r="V271" s="17"/>
      <c r="W271" s="17"/>
      <c r="X271" s="16" t="s">
        <v>4059</v>
      </c>
      <c r="Y271" s="16" t="s">
        <v>3151</v>
      </c>
      <c r="Z271" s="16" t="s">
        <v>3734</v>
      </c>
      <c r="AA271" s="17"/>
      <c r="AB271" s="17"/>
    </row>
    <row r="272">
      <c r="A272" s="16">
        <f t="shared" si="2"/>
        <v>271</v>
      </c>
      <c r="B272" s="16" t="s">
        <v>769</v>
      </c>
      <c r="C272" s="16" t="s">
        <v>770</v>
      </c>
      <c r="D272" s="16" t="s">
        <v>771</v>
      </c>
      <c r="E272" s="16" t="s">
        <v>3106</v>
      </c>
      <c r="F272" s="16" t="s">
        <v>10</v>
      </c>
      <c r="G272" s="16" t="s">
        <v>3678</v>
      </c>
      <c r="H272" s="16" t="s">
        <v>12</v>
      </c>
      <c r="I272" s="17"/>
      <c r="J272" s="16" t="s">
        <v>36</v>
      </c>
      <c r="K272" s="16" t="s">
        <v>35</v>
      </c>
      <c r="L272" s="154">
        <v>43361.0</v>
      </c>
      <c r="M272" s="16">
        <f t="shared" si="1"/>
        <v>8</v>
      </c>
      <c r="N272" s="17"/>
      <c r="O272" s="16" t="s">
        <v>4060</v>
      </c>
      <c r="P272" s="16" t="s">
        <v>3136</v>
      </c>
      <c r="Q272" s="152" t="s">
        <v>4061</v>
      </c>
      <c r="R272" s="17"/>
      <c r="S272" s="16" t="s">
        <v>3671</v>
      </c>
      <c r="T272" s="17"/>
      <c r="U272" s="16" t="s">
        <v>3151</v>
      </c>
      <c r="V272" s="17"/>
      <c r="W272" s="17"/>
      <c r="X272" s="17"/>
      <c r="Y272" s="16" t="s">
        <v>3151</v>
      </c>
      <c r="Z272" s="16" t="s">
        <v>3734</v>
      </c>
      <c r="AA272" s="17"/>
      <c r="AB272" s="17"/>
    </row>
    <row r="273">
      <c r="A273" s="16">
        <f t="shared" si="2"/>
        <v>272</v>
      </c>
      <c r="B273" s="16" t="s">
        <v>772</v>
      </c>
      <c r="C273" s="16" t="s">
        <v>773</v>
      </c>
      <c r="D273" s="16" t="s">
        <v>774</v>
      </c>
      <c r="E273" s="16" t="s">
        <v>3106</v>
      </c>
      <c r="F273" s="16" t="s">
        <v>10</v>
      </c>
      <c r="G273" s="16" t="s">
        <v>775</v>
      </c>
      <c r="H273" s="16" t="s">
        <v>12</v>
      </c>
      <c r="I273" s="16" t="s">
        <v>4062</v>
      </c>
      <c r="J273" s="16" t="s">
        <v>79</v>
      </c>
      <c r="K273" s="16" t="s">
        <v>775</v>
      </c>
      <c r="L273" s="154">
        <v>44300.0</v>
      </c>
      <c r="M273" s="16">
        <f t="shared" si="1"/>
        <v>5</v>
      </c>
      <c r="N273" s="135">
        <v>5.0003965E7</v>
      </c>
      <c r="O273" s="16" t="s">
        <v>4048</v>
      </c>
      <c r="P273" s="16" t="s">
        <v>2557</v>
      </c>
      <c r="Q273" s="152" t="s">
        <v>4063</v>
      </c>
      <c r="R273" s="17"/>
      <c r="S273" s="16" t="s">
        <v>3671</v>
      </c>
      <c r="T273" s="17"/>
      <c r="U273" s="16" t="s">
        <v>4064</v>
      </c>
      <c r="V273" s="17"/>
      <c r="W273" s="17"/>
      <c r="X273" s="17"/>
      <c r="Y273" s="16" t="s">
        <v>4064</v>
      </c>
      <c r="Z273" s="16" t="s">
        <v>4065</v>
      </c>
      <c r="AA273" s="17"/>
      <c r="AB273" s="17"/>
    </row>
    <row r="274">
      <c r="A274" s="16">
        <f t="shared" si="2"/>
        <v>273</v>
      </c>
      <c r="B274" s="16" t="s">
        <v>776</v>
      </c>
      <c r="C274" s="16" t="s">
        <v>777</v>
      </c>
      <c r="D274" s="16" t="s">
        <v>778</v>
      </c>
      <c r="E274" s="16" t="s">
        <v>3106</v>
      </c>
      <c r="F274" s="16" t="s">
        <v>10</v>
      </c>
      <c r="G274" s="16" t="s">
        <v>775</v>
      </c>
      <c r="H274" s="16" t="s">
        <v>12</v>
      </c>
      <c r="I274" s="16" t="s">
        <v>4062</v>
      </c>
      <c r="J274" s="16" t="s">
        <v>79</v>
      </c>
      <c r="K274" s="16" t="s">
        <v>775</v>
      </c>
      <c r="L274" s="154">
        <v>44300.0</v>
      </c>
      <c r="M274" s="16">
        <f t="shared" si="1"/>
        <v>5</v>
      </c>
      <c r="N274" s="135">
        <v>5.0003965E7</v>
      </c>
      <c r="O274" s="17"/>
      <c r="P274" s="16" t="s">
        <v>2557</v>
      </c>
      <c r="Q274" s="152" t="s">
        <v>4066</v>
      </c>
      <c r="R274" s="123">
        <v>45977.0</v>
      </c>
      <c r="S274" s="16" t="s">
        <v>3671</v>
      </c>
      <c r="T274" s="17"/>
      <c r="U274" s="16" t="s">
        <v>4064</v>
      </c>
      <c r="V274" s="17"/>
      <c r="W274" s="17"/>
      <c r="X274" s="17"/>
      <c r="Y274" s="16" t="s">
        <v>4064</v>
      </c>
      <c r="Z274" s="16" t="s">
        <v>4065</v>
      </c>
      <c r="AA274" s="17"/>
      <c r="AB274" s="17"/>
    </row>
    <row r="275">
      <c r="A275" s="16">
        <f t="shared" si="2"/>
        <v>274</v>
      </c>
      <c r="B275" s="16" t="s">
        <v>779</v>
      </c>
      <c r="C275" s="16" t="s">
        <v>780</v>
      </c>
      <c r="D275" s="16" t="s">
        <v>781</v>
      </c>
      <c r="E275" s="16" t="s">
        <v>3106</v>
      </c>
      <c r="F275" s="16" t="s">
        <v>10</v>
      </c>
      <c r="G275" s="16" t="s">
        <v>3669</v>
      </c>
      <c r="H275" s="16" t="s">
        <v>12</v>
      </c>
      <c r="I275" s="16" t="s">
        <v>3396</v>
      </c>
      <c r="J275" s="16" t="s">
        <v>13</v>
      </c>
      <c r="K275" s="16" t="s">
        <v>11</v>
      </c>
      <c r="L275" s="154">
        <v>44670.0</v>
      </c>
      <c r="M275" s="16">
        <f t="shared" si="1"/>
        <v>4</v>
      </c>
      <c r="N275" s="16">
        <v>5.000458E7</v>
      </c>
      <c r="O275" s="17"/>
      <c r="P275" s="16" t="s">
        <v>2557</v>
      </c>
      <c r="Q275" s="152" t="s">
        <v>4067</v>
      </c>
      <c r="R275" s="123">
        <v>45977.0</v>
      </c>
      <c r="S275" s="16" t="s">
        <v>3671</v>
      </c>
      <c r="T275" s="17"/>
      <c r="U275" s="16" t="s">
        <v>4064</v>
      </c>
      <c r="V275" s="17"/>
      <c r="W275" s="17"/>
      <c r="X275" s="17"/>
      <c r="Y275" s="16" t="s">
        <v>4064</v>
      </c>
      <c r="Z275" s="16" t="s">
        <v>4065</v>
      </c>
      <c r="AA275" s="17"/>
      <c r="AB275" s="17"/>
    </row>
    <row r="276">
      <c r="A276" s="16">
        <f t="shared" si="2"/>
        <v>275</v>
      </c>
      <c r="B276" s="16" t="s">
        <v>782</v>
      </c>
      <c r="C276" s="16" t="s">
        <v>783</v>
      </c>
      <c r="D276" s="16" t="s">
        <v>784</v>
      </c>
      <c r="E276" s="16" t="s">
        <v>3106</v>
      </c>
      <c r="F276" s="16" t="s">
        <v>10</v>
      </c>
      <c r="G276" s="16" t="s">
        <v>775</v>
      </c>
      <c r="H276" s="16" t="s">
        <v>12</v>
      </c>
      <c r="I276" s="16" t="s">
        <v>4062</v>
      </c>
      <c r="J276" s="16" t="s">
        <v>79</v>
      </c>
      <c r="K276" s="16" t="s">
        <v>775</v>
      </c>
      <c r="L276" s="154">
        <v>44300.0</v>
      </c>
      <c r="M276" s="16">
        <f t="shared" si="1"/>
        <v>5</v>
      </c>
      <c r="N276" s="135">
        <v>5.0003965E7</v>
      </c>
      <c r="O276" s="16" t="s">
        <v>4057</v>
      </c>
      <c r="P276" s="16" t="s">
        <v>3121</v>
      </c>
      <c r="Q276" s="152" t="s">
        <v>4068</v>
      </c>
      <c r="R276" s="17"/>
      <c r="S276" s="16" t="s">
        <v>3671</v>
      </c>
      <c r="T276" s="17"/>
      <c r="U276" s="16" t="s">
        <v>4064</v>
      </c>
      <c r="V276" s="17"/>
      <c r="W276" s="17"/>
      <c r="X276" s="17"/>
      <c r="Y276" s="16" t="s">
        <v>4064</v>
      </c>
      <c r="Z276" s="16" t="s">
        <v>4065</v>
      </c>
      <c r="AA276" s="17"/>
      <c r="AB276" s="17"/>
    </row>
    <row r="277">
      <c r="A277" s="16">
        <f t="shared" si="2"/>
        <v>276</v>
      </c>
      <c r="B277" s="16" t="s">
        <v>785</v>
      </c>
      <c r="C277" s="16" t="s">
        <v>786</v>
      </c>
      <c r="D277" s="16" t="s">
        <v>787</v>
      </c>
      <c r="E277" s="16" t="s">
        <v>3106</v>
      </c>
      <c r="F277" s="16" t="s">
        <v>10</v>
      </c>
      <c r="G277" s="16" t="s">
        <v>3669</v>
      </c>
      <c r="H277" s="16" t="s">
        <v>12</v>
      </c>
      <c r="I277" s="16" t="s">
        <v>3396</v>
      </c>
      <c r="J277" s="16" t="s">
        <v>13</v>
      </c>
      <c r="K277" s="16" t="s">
        <v>11</v>
      </c>
      <c r="L277" s="154">
        <v>44670.0</v>
      </c>
      <c r="M277" s="16">
        <f t="shared" si="1"/>
        <v>4</v>
      </c>
      <c r="N277" s="16">
        <v>5.000458E7</v>
      </c>
      <c r="O277" s="16" t="s">
        <v>4061</v>
      </c>
      <c r="P277" s="16" t="s">
        <v>3121</v>
      </c>
      <c r="Q277" s="152" t="s">
        <v>4069</v>
      </c>
      <c r="R277" s="17"/>
      <c r="S277" s="16" t="s">
        <v>3671</v>
      </c>
      <c r="T277" s="16" t="s">
        <v>4070</v>
      </c>
      <c r="U277" s="16" t="s">
        <v>4064</v>
      </c>
      <c r="V277" s="17"/>
      <c r="W277" s="17"/>
      <c r="X277" s="16" t="s">
        <v>4070</v>
      </c>
      <c r="Y277" s="16" t="s">
        <v>4064</v>
      </c>
      <c r="Z277" s="16" t="s">
        <v>4065</v>
      </c>
      <c r="AA277" s="17"/>
      <c r="AB277" s="17"/>
    </row>
    <row r="278">
      <c r="A278" s="16">
        <f t="shared" si="2"/>
        <v>277</v>
      </c>
      <c r="B278" s="16" t="s">
        <v>788</v>
      </c>
      <c r="C278" s="16" t="s">
        <v>789</v>
      </c>
      <c r="D278" s="16" t="s">
        <v>790</v>
      </c>
      <c r="E278" s="16" t="s">
        <v>3106</v>
      </c>
      <c r="F278" s="16" t="s">
        <v>10</v>
      </c>
      <c r="G278" s="16" t="s">
        <v>775</v>
      </c>
      <c r="H278" s="16" t="s">
        <v>12</v>
      </c>
      <c r="I278" s="16" t="s">
        <v>4062</v>
      </c>
      <c r="J278" s="16" t="s">
        <v>79</v>
      </c>
      <c r="K278" s="16" t="s">
        <v>775</v>
      </c>
      <c r="L278" s="154">
        <v>44300.0</v>
      </c>
      <c r="M278" s="16">
        <f t="shared" si="1"/>
        <v>5</v>
      </c>
      <c r="N278" s="135">
        <v>5.0003965E7</v>
      </c>
      <c r="O278" s="16" t="s">
        <v>3670</v>
      </c>
      <c r="P278" s="16" t="s">
        <v>3121</v>
      </c>
      <c r="Q278" s="152" t="s">
        <v>4071</v>
      </c>
      <c r="R278" s="115">
        <v>45977.0</v>
      </c>
      <c r="S278" s="16" t="s">
        <v>3671</v>
      </c>
      <c r="T278" s="16" t="s">
        <v>4072</v>
      </c>
      <c r="U278" s="16" t="s">
        <v>4064</v>
      </c>
      <c r="V278" s="17"/>
      <c r="W278" s="17"/>
      <c r="X278" s="16" t="s">
        <v>4072</v>
      </c>
      <c r="Y278" s="16" t="s">
        <v>4064</v>
      </c>
      <c r="Z278" s="16" t="s">
        <v>4065</v>
      </c>
      <c r="AA278" s="17"/>
      <c r="AB278" s="17"/>
    </row>
    <row r="279">
      <c r="A279" s="16">
        <f t="shared" si="2"/>
        <v>278</v>
      </c>
      <c r="B279" s="16" t="s">
        <v>791</v>
      </c>
      <c r="C279" s="16" t="s">
        <v>792</v>
      </c>
      <c r="D279" s="16" t="s">
        <v>793</v>
      </c>
      <c r="E279" s="16" t="s">
        <v>3106</v>
      </c>
      <c r="F279" s="16" t="s">
        <v>10</v>
      </c>
      <c r="G279" s="16" t="s">
        <v>3669</v>
      </c>
      <c r="H279" s="16" t="s">
        <v>12</v>
      </c>
      <c r="I279" s="16" t="s">
        <v>3396</v>
      </c>
      <c r="J279" s="16" t="s">
        <v>13</v>
      </c>
      <c r="K279" s="16" t="s">
        <v>11</v>
      </c>
      <c r="L279" s="154">
        <v>44670.0</v>
      </c>
      <c r="M279" s="16">
        <f t="shared" si="1"/>
        <v>4</v>
      </c>
      <c r="N279" s="16">
        <v>5.000458E7</v>
      </c>
      <c r="O279" s="17"/>
      <c r="P279" s="16" t="s">
        <v>2557</v>
      </c>
      <c r="Q279" s="152" t="s">
        <v>4073</v>
      </c>
      <c r="R279" s="17"/>
      <c r="S279" s="16" t="s">
        <v>3671</v>
      </c>
      <c r="T279" s="17"/>
      <c r="U279" s="16" t="s">
        <v>4064</v>
      </c>
      <c r="V279" s="17"/>
      <c r="W279" s="17"/>
      <c r="X279" s="17"/>
      <c r="Y279" s="16" t="s">
        <v>4064</v>
      </c>
      <c r="Z279" s="16" t="s">
        <v>4065</v>
      </c>
      <c r="AA279" s="17"/>
      <c r="AB279" s="17"/>
    </row>
    <row r="280">
      <c r="A280" s="16">
        <f t="shared" si="2"/>
        <v>279</v>
      </c>
      <c r="B280" s="16" t="s">
        <v>794</v>
      </c>
      <c r="C280" s="16" t="s">
        <v>795</v>
      </c>
      <c r="D280" s="16" t="s">
        <v>796</v>
      </c>
      <c r="E280" s="16" t="s">
        <v>3106</v>
      </c>
      <c r="F280" s="16" t="s">
        <v>10</v>
      </c>
      <c r="G280" s="16" t="s">
        <v>3669</v>
      </c>
      <c r="H280" s="16" t="s">
        <v>12</v>
      </c>
      <c r="I280" s="16" t="s">
        <v>3396</v>
      </c>
      <c r="J280" s="16" t="s">
        <v>13</v>
      </c>
      <c r="K280" s="16" t="s">
        <v>11</v>
      </c>
      <c r="L280" s="154">
        <v>44670.0</v>
      </c>
      <c r="M280" s="16">
        <f t="shared" si="1"/>
        <v>4</v>
      </c>
      <c r="N280" s="16">
        <v>5.000458E7</v>
      </c>
      <c r="O280" s="16" t="s">
        <v>4066</v>
      </c>
      <c r="P280" s="16" t="s">
        <v>2557</v>
      </c>
      <c r="Q280" s="152" t="s">
        <v>4074</v>
      </c>
      <c r="R280" s="17"/>
      <c r="S280" s="16" t="s">
        <v>3671</v>
      </c>
      <c r="T280" s="17"/>
      <c r="U280" s="16" t="s">
        <v>4064</v>
      </c>
      <c r="V280" s="17"/>
      <c r="W280" s="17"/>
      <c r="X280" s="17"/>
      <c r="Y280" s="16" t="s">
        <v>4064</v>
      </c>
      <c r="Z280" s="16" t="s">
        <v>4065</v>
      </c>
      <c r="AA280" s="17"/>
      <c r="AB280" s="17"/>
    </row>
    <row r="281">
      <c r="A281" s="16">
        <f t="shared" si="2"/>
        <v>280</v>
      </c>
      <c r="B281" s="16" t="s">
        <v>797</v>
      </c>
      <c r="C281" s="16" t="s">
        <v>798</v>
      </c>
      <c r="D281" s="16" t="s">
        <v>799</v>
      </c>
      <c r="E281" s="16" t="s">
        <v>3106</v>
      </c>
      <c r="F281" s="16" t="s">
        <v>10</v>
      </c>
      <c r="G281" s="16" t="s">
        <v>3678</v>
      </c>
      <c r="H281" s="16" t="s">
        <v>12</v>
      </c>
      <c r="I281" s="17"/>
      <c r="J281" s="16" t="s">
        <v>36</v>
      </c>
      <c r="K281" s="16" t="s">
        <v>35</v>
      </c>
      <c r="L281" s="154">
        <v>43549.0</v>
      </c>
      <c r="M281" s="16">
        <f t="shared" si="1"/>
        <v>7</v>
      </c>
      <c r="N281" s="17"/>
      <c r="O281" s="16" t="s">
        <v>4067</v>
      </c>
      <c r="P281" s="16" t="s">
        <v>3136</v>
      </c>
      <c r="Q281" s="152" t="s">
        <v>4075</v>
      </c>
      <c r="R281" s="17"/>
      <c r="S281" s="16" t="s">
        <v>3671</v>
      </c>
      <c r="T281" s="17"/>
      <c r="U281" s="16" t="s">
        <v>4064</v>
      </c>
      <c r="V281" s="17"/>
      <c r="W281" s="17"/>
      <c r="X281" s="17"/>
      <c r="Y281" s="16" t="s">
        <v>4064</v>
      </c>
      <c r="Z281" s="16" t="s">
        <v>4065</v>
      </c>
      <c r="AA281" s="17"/>
      <c r="AB281" s="17"/>
    </row>
    <row r="282">
      <c r="A282" s="16">
        <f t="shared" si="2"/>
        <v>281</v>
      </c>
      <c r="B282" s="16" t="s">
        <v>800</v>
      </c>
      <c r="C282" s="16" t="s">
        <v>801</v>
      </c>
      <c r="D282" s="16" t="s">
        <v>802</v>
      </c>
      <c r="E282" s="16" t="s">
        <v>3106</v>
      </c>
      <c r="F282" s="16" t="s">
        <v>10</v>
      </c>
      <c r="G282" s="16" t="s">
        <v>775</v>
      </c>
      <c r="H282" s="16" t="s">
        <v>12</v>
      </c>
      <c r="I282" s="16" t="s">
        <v>4062</v>
      </c>
      <c r="J282" s="16" t="s">
        <v>79</v>
      </c>
      <c r="K282" s="16" t="s">
        <v>775</v>
      </c>
      <c r="L282" s="154">
        <v>44300.0</v>
      </c>
      <c r="M282" s="16">
        <f t="shared" si="1"/>
        <v>5</v>
      </c>
      <c r="N282" s="135">
        <v>5.0003965E7</v>
      </c>
      <c r="O282" s="16" t="s">
        <v>4068</v>
      </c>
      <c r="P282" s="16" t="s">
        <v>2557</v>
      </c>
      <c r="Q282" s="152" t="s">
        <v>4076</v>
      </c>
      <c r="R282" s="17"/>
      <c r="S282" s="16" t="s">
        <v>3671</v>
      </c>
      <c r="T282" s="17"/>
      <c r="U282" s="16" t="s">
        <v>4064</v>
      </c>
      <c r="V282" s="17"/>
      <c r="W282" s="17"/>
      <c r="X282" s="17"/>
      <c r="Y282" s="16" t="s">
        <v>4064</v>
      </c>
      <c r="Z282" s="16" t="s">
        <v>4065</v>
      </c>
      <c r="AA282" s="17"/>
      <c r="AB282" s="17"/>
    </row>
    <row r="283">
      <c r="A283" s="16">
        <f t="shared" si="2"/>
        <v>282</v>
      </c>
      <c r="B283" s="16" t="s">
        <v>803</v>
      </c>
      <c r="C283" s="16" t="s">
        <v>804</v>
      </c>
      <c r="D283" s="16" t="s">
        <v>805</v>
      </c>
      <c r="E283" s="16" t="s">
        <v>3106</v>
      </c>
      <c r="F283" s="16" t="s">
        <v>10</v>
      </c>
      <c r="G283" s="16" t="s">
        <v>3669</v>
      </c>
      <c r="H283" s="16" t="s">
        <v>12</v>
      </c>
      <c r="I283" s="16" t="s">
        <v>3396</v>
      </c>
      <c r="J283" s="16" t="s">
        <v>13</v>
      </c>
      <c r="K283" s="16" t="s">
        <v>11</v>
      </c>
      <c r="L283" s="154">
        <v>44670.0</v>
      </c>
      <c r="M283" s="16">
        <f t="shared" si="1"/>
        <v>4</v>
      </c>
      <c r="N283" s="16">
        <v>5.000458E7</v>
      </c>
      <c r="O283" s="16" t="s">
        <v>4073</v>
      </c>
      <c r="P283" s="16" t="s">
        <v>3136</v>
      </c>
      <c r="Q283" s="152" t="s">
        <v>4077</v>
      </c>
      <c r="R283" s="17"/>
      <c r="S283" s="16" t="s">
        <v>3673</v>
      </c>
      <c r="T283" s="16" t="s">
        <v>4078</v>
      </c>
      <c r="U283" s="16" t="s">
        <v>4064</v>
      </c>
      <c r="V283" s="17"/>
      <c r="W283" s="17"/>
      <c r="X283" s="16" t="s">
        <v>4079</v>
      </c>
      <c r="Y283" s="16" t="s">
        <v>4064</v>
      </c>
      <c r="Z283" s="16" t="s">
        <v>4065</v>
      </c>
      <c r="AA283" s="17"/>
      <c r="AB283" s="17"/>
    </row>
    <row r="284">
      <c r="A284" s="16">
        <f t="shared" si="2"/>
        <v>283</v>
      </c>
      <c r="B284" s="16" t="s">
        <v>806</v>
      </c>
      <c r="C284" s="16" t="s">
        <v>807</v>
      </c>
      <c r="D284" s="16" t="s">
        <v>808</v>
      </c>
      <c r="E284" s="16" t="s">
        <v>3106</v>
      </c>
      <c r="F284" s="16" t="s">
        <v>10</v>
      </c>
      <c r="G284" s="16" t="s">
        <v>775</v>
      </c>
      <c r="H284" s="16" t="s">
        <v>12</v>
      </c>
      <c r="I284" s="16" t="s">
        <v>4062</v>
      </c>
      <c r="J284" s="16" t="s">
        <v>79</v>
      </c>
      <c r="K284" s="16" t="s">
        <v>775</v>
      </c>
      <c r="L284" s="154">
        <v>44300.0</v>
      </c>
      <c r="M284" s="16">
        <f t="shared" si="1"/>
        <v>5</v>
      </c>
      <c r="N284" s="135">
        <v>5.0003965E7</v>
      </c>
      <c r="O284" s="16" t="s">
        <v>4071</v>
      </c>
      <c r="P284" s="16" t="s">
        <v>3136</v>
      </c>
      <c r="Q284" s="152" t="s">
        <v>4080</v>
      </c>
      <c r="R284" s="17"/>
      <c r="S284" s="16" t="s">
        <v>3671</v>
      </c>
      <c r="T284" s="17"/>
      <c r="U284" s="16" t="s">
        <v>4064</v>
      </c>
      <c r="V284" s="17"/>
      <c r="W284" s="17"/>
      <c r="X284" s="17"/>
      <c r="Y284" s="16" t="s">
        <v>4064</v>
      </c>
      <c r="Z284" s="16" t="s">
        <v>4065</v>
      </c>
      <c r="AA284" s="17"/>
      <c r="AB284" s="17"/>
    </row>
    <row r="285">
      <c r="A285" s="16">
        <f t="shared" si="2"/>
        <v>284</v>
      </c>
      <c r="B285" s="16" t="s">
        <v>809</v>
      </c>
      <c r="C285" s="16" t="s">
        <v>810</v>
      </c>
      <c r="D285" s="16" t="s">
        <v>811</v>
      </c>
      <c r="E285" s="16" t="s">
        <v>3106</v>
      </c>
      <c r="F285" s="16" t="s">
        <v>10</v>
      </c>
      <c r="G285" s="16" t="s">
        <v>3669</v>
      </c>
      <c r="H285" s="16" t="s">
        <v>12</v>
      </c>
      <c r="I285" s="16" t="s">
        <v>3396</v>
      </c>
      <c r="J285" s="16" t="s">
        <v>13</v>
      </c>
      <c r="K285" s="16" t="s">
        <v>11</v>
      </c>
      <c r="L285" s="154">
        <v>44670.0</v>
      </c>
      <c r="M285" s="16">
        <f t="shared" si="1"/>
        <v>4</v>
      </c>
      <c r="N285" s="16">
        <v>5.000458E7</v>
      </c>
      <c r="O285" s="16" t="s">
        <v>3630</v>
      </c>
      <c r="P285" s="16" t="s">
        <v>3136</v>
      </c>
      <c r="Q285" s="152" t="s">
        <v>4081</v>
      </c>
      <c r="R285" s="17"/>
      <c r="S285" s="16" t="s">
        <v>3671</v>
      </c>
      <c r="T285" s="17"/>
      <c r="U285" s="16" t="s">
        <v>4064</v>
      </c>
      <c r="V285" s="17"/>
      <c r="W285" s="17"/>
      <c r="X285" s="17"/>
      <c r="Y285" s="16" t="s">
        <v>4064</v>
      </c>
      <c r="Z285" s="16" t="s">
        <v>4065</v>
      </c>
      <c r="AA285" s="17"/>
      <c r="AB285" s="17"/>
    </row>
    <row r="286">
      <c r="A286" s="16">
        <f t="shared" si="2"/>
        <v>285</v>
      </c>
      <c r="B286" s="16" t="s">
        <v>812</v>
      </c>
      <c r="C286" s="16" t="s">
        <v>813</v>
      </c>
      <c r="D286" s="16" t="s">
        <v>814</v>
      </c>
      <c r="E286" s="16" t="s">
        <v>3106</v>
      </c>
      <c r="F286" s="16" t="s">
        <v>10</v>
      </c>
      <c r="G286" s="16" t="s">
        <v>775</v>
      </c>
      <c r="H286" s="16" t="s">
        <v>12</v>
      </c>
      <c r="I286" s="16" t="s">
        <v>4062</v>
      </c>
      <c r="J286" s="16" t="s">
        <v>79</v>
      </c>
      <c r="K286" s="16" t="s">
        <v>775</v>
      </c>
      <c r="L286" s="154">
        <v>44300.0</v>
      </c>
      <c r="M286" s="16">
        <f t="shared" si="1"/>
        <v>5</v>
      </c>
      <c r="N286" s="135">
        <v>5.0003965E7</v>
      </c>
      <c r="O286" s="17"/>
      <c r="P286" s="16" t="s">
        <v>3121</v>
      </c>
      <c r="Q286" s="152" t="s">
        <v>4082</v>
      </c>
      <c r="R286" s="17"/>
      <c r="S286" s="16" t="s">
        <v>3671</v>
      </c>
      <c r="T286" s="17"/>
      <c r="U286" s="16" t="s">
        <v>4064</v>
      </c>
      <c r="V286" s="17"/>
      <c r="W286" s="17"/>
      <c r="X286" s="17"/>
      <c r="Y286" s="16" t="s">
        <v>4064</v>
      </c>
      <c r="Z286" s="16" t="s">
        <v>4065</v>
      </c>
      <c r="AA286" s="17"/>
      <c r="AB286" s="17"/>
    </row>
    <row r="287">
      <c r="A287" s="16">
        <f t="shared" si="2"/>
        <v>286</v>
      </c>
      <c r="B287" s="16" t="s">
        <v>815</v>
      </c>
      <c r="C287" s="16" t="s">
        <v>816</v>
      </c>
      <c r="D287" s="16" t="s">
        <v>817</v>
      </c>
      <c r="E287" s="16" t="s">
        <v>3106</v>
      </c>
      <c r="F287" s="16" t="s">
        <v>10</v>
      </c>
      <c r="G287" s="16" t="s">
        <v>3678</v>
      </c>
      <c r="H287" s="16" t="s">
        <v>12</v>
      </c>
      <c r="I287" s="17"/>
      <c r="J287" s="16" t="s">
        <v>36</v>
      </c>
      <c r="K287" s="16" t="s">
        <v>35</v>
      </c>
      <c r="L287" s="154">
        <v>43549.0</v>
      </c>
      <c r="M287" s="16">
        <f t="shared" si="1"/>
        <v>7</v>
      </c>
      <c r="N287" s="17"/>
      <c r="O287" s="16" t="s">
        <v>4071</v>
      </c>
      <c r="P287" s="16" t="s">
        <v>3136</v>
      </c>
      <c r="Q287" s="152" t="s">
        <v>4083</v>
      </c>
      <c r="R287" s="123">
        <v>45977.0</v>
      </c>
      <c r="S287" s="16" t="s">
        <v>3671</v>
      </c>
      <c r="T287" s="17"/>
      <c r="U287" s="16" t="s">
        <v>4064</v>
      </c>
      <c r="V287" s="17"/>
      <c r="W287" s="17"/>
      <c r="X287" s="17"/>
      <c r="Y287" s="16" t="s">
        <v>4064</v>
      </c>
      <c r="Z287" s="16" t="s">
        <v>4065</v>
      </c>
      <c r="AA287" s="17"/>
      <c r="AB287" s="17"/>
    </row>
    <row r="288">
      <c r="A288" s="16">
        <f t="shared" si="2"/>
        <v>287</v>
      </c>
      <c r="B288" s="16" t="s">
        <v>818</v>
      </c>
      <c r="C288" s="16" t="s">
        <v>819</v>
      </c>
      <c r="D288" s="16" t="s">
        <v>820</v>
      </c>
      <c r="E288" s="16" t="s">
        <v>3106</v>
      </c>
      <c r="F288" s="16" t="s">
        <v>10</v>
      </c>
      <c r="G288" s="16" t="s">
        <v>4049</v>
      </c>
      <c r="H288" s="16" t="s">
        <v>12</v>
      </c>
      <c r="I288" s="17"/>
      <c r="J288" s="16" t="s">
        <v>36</v>
      </c>
      <c r="K288" s="16" t="s">
        <v>756</v>
      </c>
      <c r="L288" s="154">
        <v>43951.0</v>
      </c>
      <c r="M288" s="16">
        <f t="shared" si="1"/>
        <v>6</v>
      </c>
      <c r="N288" s="17"/>
      <c r="O288" s="17"/>
      <c r="P288" s="16" t="s">
        <v>2557</v>
      </c>
      <c r="Q288" s="152" t="s">
        <v>4084</v>
      </c>
      <c r="R288" s="123">
        <v>45977.0</v>
      </c>
      <c r="S288" s="16" t="s">
        <v>3671</v>
      </c>
      <c r="T288" s="17"/>
      <c r="U288" s="16" t="s">
        <v>4064</v>
      </c>
      <c r="V288" s="17"/>
      <c r="W288" s="17"/>
      <c r="X288" s="17"/>
      <c r="Y288" s="16" t="s">
        <v>4064</v>
      </c>
      <c r="Z288" s="16" t="s">
        <v>4065</v>
      </c>
      <c r="AA288" s="17"/>
      <c r="AB288" s="17"/>
    </row>
    <row r="289">
      <c r="A289" s="16">
        <f t="shared" si="2"/>
        <v>288</v>
      </c>
      <c r="B289" s="16" t="s">
        <v>821</v>
      </c>
      <c r="C289" s="16" t="s">
        <v>822</v>
      </c>
      <c r="D289" s="16" t="s">
        <v>823</v>
      </c>
      <c r="E289" s="16" t="s">
        <v>3106</v>
      </c>
      <c r="F289" s="16" t="s">
        <v>10</v>
      </c>
      <c r="G289" s="16" t="s">
        <v>3678</v>
      </c>
      <c r="H289" s="16" t="s">
        <v>12</v>
      </c>
      <c r="I289" s="17"/>
      <c r="J289" s="16" t="s">
        <v>36</v>
      </c>
      <c r="K289" s="16" t="s">
        <v>35</v>
      </c>
      <c r="L289" s="154">
        <v>43549.0</v>
      </c>
      <c r="M289" s="16">
        <f t="shared" si="1"/>
        <v>7</v>
      </c>
      <c r="N289" s="17"/>
      <c r="O289" s="17"/>
      <c r="P289" s="16" t="s">
        <v>3121</v>
      </c>
      <c r="Q289" s="152" t="s">
        <v>4085</v>
      </c>
      <c r="R289" s="123">
        <v>45977.0</v>
      </c>
      <c r="S289" s="16" t="s">
        <v>3671</v>
      </c>
      <c r="T289" s="17"/>
      <c r="U289" s="16" t="s">
        <v>4064</v>
      </c>
      <c r="V289" s="17"/>
      <c r="W289" s="17"/>
      <c r="X289" s="17"/>
      <c r="Y289" s="16" t="s">
        <v>4064</v>
      </c>
      <c r="Z289" s="16" t="s">
        <v>4065</v>
      </c>
      <c r="AA289" s="17"/>
      <c r="AB289" s="17"/>
    </row>
    <row r="290">
      <c r="A290" s="16">
        <f t="shared" si="2"/>
        <v>289</v>
      </c>
      <c r="B290" s="16" t="s">
        <v>824</v>
      </c>
      <c r="C290" s="16" t="s">
        <v>825</v>
      </c>
      <c r="D290" s="16" t="s">
        <v>826</v>
      </c>
      <c r="E290" s="16" t="s">
        <v>3106</v>
      </c>
      <c r="F290" s="16" t="s">
        <v>10</v>
      </c>
      <c r="G290" s="16" t="s">
        <v>3678</v>
      </c>
      <c r="H290" s="16" t="s">
        <v>12</v>
      </c>
      <c r="I290" s="17"/>
      <c r="J290" s="16" t="s">
        <v>36</v>
      </c>
      <c r="K290" s="16" t="s">
        <v>35</v>
      </c>
      <c r="L290" s="154">
        <v>43549.0</v>
      </c>
      <c r="M290" s="16">
        <f t="shared" si="1"/>
        <v>7</v>
      </c>
      <c r="N290" s="17"/>
      <c r="O290" s="17"/>
      <c r="P290" s="16" t="s">
        <v>3121</v>
      </c>
      <c r="Q290" s="152" t="s">
        <v>4086</v>
      </c>
      <c r="R290" s="123" t="s">
        <v>4087</v>
      </c>
      <c r="S290" s="16" t="s">
        <v>3671</v>
      </c>
      <c r="T290" s="17"/>
      <c r="U290" s="16" t="s">
        <v>4064</v>
      </c>
      <c r="V290" s="17"/>
      <c r="W290" s="17"/>
      <c r="X290" s="17"/>
      <c r="Y290" s="16" t="s">
        <v>4064</v>
      </c>
      <c r="Z290" s="16" t="s">
        <v>4065</v>
      </c>
      <c r="AA290" s="17"/>
      <c r="AB290" s="17"/>
    </row>
    <row r="291">
      <c r="A291" s="16">
        <f t="shared" si="2"/>
        <v>290</v>
      </c>
      <c r="B291" s="16" t="s">
        <v>827</v>
      </c>
      <c r="C291" s="16" t="s">
        <v>828</v>
      </c>
      <c r="D291" s="16" t="s">
        <v>829</v>
      </c>
      <c r="E291" s="16" t="s">
        <v>3106</v>
      </c>
      <c r="F291" s="16" t="s">
        <v>10</v>
      </c>
      <c r="G291" s="16" t="s">
        <v>4049</v>
      </c>
      <c r="H291" s="16" t="s">
        <v>12</v>
      </c>
      <c r="I291" s="17"/>
      <c r="J291" s="16" t="s">
        <v>36</v>
      </c>
      <c r="K291" s="16" t="s">
        <v>756</v>
      </c>
      <c r="L291" s="154">
        <v>44287.0</v>
      </c>
      <c r="M291" s="16">
        <f t="shared" si="1"/>
        <v>5</v>
      </c>
      <c r="N291" s="17"/>
      <c r="O291" s="16" t="s">
        <v>4081</v>
      </c>
      <c r="P291" s="16" t="s">
        <v>3121</v>
      </c>
      <c r="Q291" s="152" t="s">
        <v>4088</v>
      </c>
      <c r="R291" s="16" t="s">
        <v>4089</v>
      </c>
      <c r="S291" s="16" t="s">
        <v>3671</v>
      </c>
      <c r="T291" s="17"/>
      <c r="U291" s="16" t="s">
        <v>4064</v>
      </c>
      <c r="V291" s="17"/>
      <c r="W291" s="17"/>
      <c r="X291" s="17"/>
      <c r="Y291" s="16" t="s">
        <v>4064</v>
      </c>
      <c r="Z291" s="16" t="s">
        <v>4065</v>
      </c>
      <c r="AA291" s="17"/>
      <c r="AB291" s="17"/>
    </row>
    <row r="292">
      <c r="A292" s="16">
        <f t="shared" si="2"/>
        <v>291</v>
      </c>
      <c r="B292" s="16" t="s">
        <v>830</v>
      </c>
      <c r="C292" s="16" t="s">
        <v>831</v>
      </c>
      <c r="D292" s="16" t="s">
        <v>832</v>
      </c>
      <c r="E292" s="16" t="s">
        <v>3106</v>
      </c>
      <c r="F292" s="16" t="s">
        <v>10</v>
      </c>
      <c r="G292" s="16" t="s">
        <v>3905</v>
      </c>
      <c r="H292" s="16" t="s">
        <v>12</v>
      </c>
      <c r="I292" s="17"/>
      <c r="J292" s="16" t="s">
        <v>13</v>
      </c>
      <c r="K292" s="16" t="s">
        <v>444</v>
      </c>
      <c r="L292" s="154">
        <v>44060.0</v>
      </c>
      <c r="M292" s="16">
        <f t="shared" si="1"/>
        <v>6</v>
      </c>
      <c r="N292" s="17"/>
      <c r="O292" s="16" t="s">
        <v>4051</v>
      </c>
      <c r="P292" s="16" t="s">
        <v>3136</v>
      </c>
      <c r="Q292" s="152" t="s">
        <v>4090</v>
      </c>
      <c r="R292" s="123">
        <v>45977.0</v>
      </c>
      <c r="S292" s="16" t="s">
        <v>3671</v>
      </c>
      <c r="T292" s="17"/>
      <c r="U292" s="16" t="s">
        <v>4064</v>
      </c>
      <c r="V292" s="17"/>
      <c r="W292" s="17"/>
      <c r="X292" s="17"/>
      <c r="Y292" s="16" t="s">
        <v>4064</v>
      </c>
      <c r="Z292" s="16" t="s">
        <v>4065</v>
      </c>
      <c r="AA292" s="17"/>
      <c r="AB292" s="17"/>
    </row>
    <row r="293">
      <c r="A293" s="16">
        <f t="shared" si="2"/>
        <v>292</v>
      </c>
      <c r="B293" s="16" t="s">
        <v>833</v>
      </c>
      <c r="C293" s="16" t="s">
        <v>834</v>
      </c>
      <c r="D293" s="16" t="s">
        <v>835</v>
      </c>
      <c r="E293" s="16" t="s">
        <v>3106</v>
      </c>
      <c r="F293" s="16" t="s">
        <v>10</v>
      </c>
      <c r="G293" s="16" t="s">
        <v>4049</v>
      </c>
      <c r="H293" s="16" t="s">
        <v>12</v>
      </c>
      <c r="I293" s="17"/>
      <c r="J293" s="16" t="s">
        <v>36</v>
      </c>
      <c r="K293" s="16" t="s">
        <v>756</v>
      </c>
      <c r="L293" s="154">
        <v>44287.0</v>
      </c>
      <c r="M293" s="16">
        <f t="shared" si="1"/>
        <v>5</v>
      </c>
      <c r="N293" s="17"/>
      <c r="O293" s="16" t="s">
        <v>4054</v>
      </c>
      <c r="P293" s="16" t="s">
        <v>3121</v>
      </c>
      <c r="Q293" s="152" t="s">
        <v>4091</v>
      </c>
      <c r="R293" s="17"/>
      <c r="S293" s="16" t="s">
        <v>3671</v>
      </c>
      <c r="T293" s="17"/>
      <c r="U293" s="16" t="s">
        <v>4064</v>
      </c>
      <c r="V293" s="17"/>
      <c r="W293" s="17"/>
      <c r="X293" s="17"/>
      <c r="Y293" s="16" t="s">
        <v>4064</v>
      </c>
      <c r="Z293" s="16" t="s">
        <v>4065</v>
      </c>
      <c r="AA293" s="17"/>
      <c r="AB293" s="17"/>
    </row>
    <row r="294">
      <c r="A294" s="16">
        <f t="shared" si="2"/>
        <v>293</v>
      </c>
      <c r="B294" s="16" t="s">
        <v>836</v>
      </c>
      <c r="C294" s="16" t="s">
        <v>837</v>
      </c>
      <c r="D294" s="16" t="s">
        <v>838</v>
      </c>
      <c r="E294" s="16" t="s">
        <v>3106</v>
      </c>
      <c r="F294" s="16" t="s">
        <v>10</v>
      </c>
      <c r="G294" s="16" t="s">
        <v>775</v>
      </c>
      <c r="H294" s="16" t="s">
        <v>12</v>
      </c>
      <c r="I294" s="16" t="s">
        <v>4062</v>
      </c>
      <c r="J294" s="16" t="s">
        <v>79</v>
      </c>
      <c r="K294" s="16" t="s">
        <v>775</v>
      </c>
      <c r="L294" s="154">
        <v>44300.0</v>
      </c>
      <c r="M294" s="16">
        <f t="shared" si="1"/>
        <v>5</v>
      </c>
      <c r="N294" s="135">
        <v>5.0003965E7</v>
      </c>
      <c r="O294" s="16" t="s">
        <v>4056</v>
      </c>
      <c r="P294" s="16" t="s">
        <v>2557</v>
      </c>
      <c r="Q294" s="152" t="s">
        <v>4092</v>
      </c>
      <c r="R294" s="17"/>
      <c r="S294" s="16" t="s">
        <v>3671</v>
      </c>
      <c r="T294" s="17"/>
      <c r="U294" s="16" t="s">
        <v>4064</v>
      </c>
      <c r="V294" s="17"/>
      <c r="W294" s="17"/>
      <c r="X294" s="17"/>
      <c r="Y294" s="16" t="s">
        <v>4064</v>
      </c>
      <c r="Z294" s="16" t="s">
        <v>4065</v>
      </c>
      <c r="AA294" s="17"/>
      <c r="AB294" s="17"/>
    </row>
    <row r="295">
      <c r="A295" s="16">
        <f t="shared" si="2"/>
        <v>294</v>
      </c>
      <c r="B295" s="16" t="s">
        <v>839</v>
      </c>
      <c r="C295" s="16" t="s">
        <v>840</v>
      </c>
      <c r="D295" s="16" t="s">
        <v>841</v>
      </c>
      <c r="E295" s="16" t="s">
        <v>3106</v>
      </c>
      <c r="F295" s="16" t="s">
        <v>10</v>
      </c>
      <c r="G295" s="16" t="s">
        <v>3905</v>
      </c>
      <c r="H295" s="16" t="s">
        <v>12</v>
      </c>
      <c r="I295" s="17"/>
      <c r="J295" s="16" t="s">
        <v>13</v>
      </c>
      <c r="K295" s="16" t="s">
        <v>444</v>
      </c>
      <c r="L295" s="154">
        <v>44026.0</v>
      </c>
      <c r="M295" s="16">
        <f t="shared" si="1"/>
        <v>6</v>
      </c>
      <c r="N295" s="17"/>
      <c r="O295" s="17"/>
      <c r="P295" s="16" t="s">
        <v>2557</v>
      </c>
      <c r="Q295" s="152" t="s">
        <v>4093</v>
      </c>
      <c r="R295" s="123">
        <v>45977.0</v>
      </c>
      <c r="S295" s="16" t="s">
        <v>3671</v>
      </c>
      <c r="T295" s="17"/>
      <c r="U295" s="16" t="s">
        <v>4064</v>
      </c>
      <c r="V295" s="17"/>
      <c r="W295" s="17"/>
      <c r="X295" s="17"/>
      <c r="Y295" s="16" t="s">
        <v>4064</v>
      </c>
      <c r="Z295" s="16" t="s">
        <v>4065</v>
      </c>
      <c r="AA295" s="17"/>
      <c r="AB295" s="17"/>
    </row>
    <row r="296">
      <c r="A296" s="16">
        <f t="shared" si="2"/>
        <v>295</v>
      </c>
      <c r="B296" s="16" t="s">
        <v>842</v>
      </c>
      <c r="C296" s="16" t="s">
        <v>843</v>
      </c>
      <c r="D296" s="16" t="s">
        <v>844</v>
      </c>
      <c r="E296" s="16" t="s">
        <v>3106</v>
      </c>
      <c r="F296" s="16" t="s">
        <v>10</v>
      </c>
      <c r="G296" s="16" t="s">
        <v>3748</v>
      </c>
      <c r="H296" s="16" t="s">
        <v>12</v>
      </c>
      <c r="I296" s="17"/>
      <c r="J296" s="16" t="s">
        <v>36</v>
      </c>
      <c r="K296" s="16" t="s">
        <v>131</v>
      </c>
      <c r="L296" s="154">
        <v>42739.0</v>
      </c>
      <c r="M296" s="16">
        <f t="shared" si="1"/>
        <v>9</v>
      </c>
      <c r="N296" s="17"/>
      <c r="O296" s="16" t="s">
        <v>4080</v>
      </c>
      <c r="P296" s="16" t="s">
        <v>3136</v>
      </c>
      <c r="Q296" s="152" t="s">
        <v>4094</v>
      </c>
      <c r="R296" s="16" t="s">
        <v>4089</v>
      </c>
      <c r="S296" s="16" t="s">
        <v>3671</v>
      </c>
      <c r="T296" s="17"/>
      <c r="U296" s="16" t="s">
        <v>4064</v>
      </c>
      <c r="V296" s="17"/>
      <c r="W296" s="17"/>
      <c r="X296" s="17"/>
      <c r="Y296" s="16" t="s">
        <v>4064</v>
      </c>
      <c r="Z296" s="16" t="s">
        <v>4065</v>
      </c>
      <c r="AA296" s="17"/>
      <c r="AB296" s="17"/>
    </row>
    <row r="297">
      <c r="A297" s="16">
        <f t="shared" si="2"/>
        <v>296</v>
      </c>
      <c r="B297" s="16" t="s">
        <v>845</v>
      </c>
      <c r="C297" s="16" t="s">
        <v>846</v>
      </c>
      <c r="D297" s="16" t="s">
        <v>847</v>
      </c>
      <c r="E297" s="16" t="s">
        <v>3106</v>
      </c>
      <c r="F297" s="16" t="s">
        <v>10</v>
      </c>
      <c r="G297" s="16" t="e">
        <v>#N/A</v>
      </c>
      <c r="H297" s="16" t="s">
        <v>12</v>
      </c>
      <c r="I297" s="17"/>
      <c r="J297" s="16" t="e">
        <v>#N/A</v>
      </c>
      <c r="K297" s="16" t="e">
        <v>#N/A</v>
      </c>
      <c r="L297" s="154">
        <v>43549.0</v>
      </c>
      <c r="M297" s="16">
        <f t="shared" si="1"/>
        <v>7</v>
      </c>
      <c r="N297" s="17"/>
      <c r="O297" s="16" t="s">
        <v>4091</v>
      </c>
      <c r="P297" s="16" t="s">
        <v>2557</v>
      </c>
      <c r="Q297" s="152" t="s">
        <v>4095</v>
      </c>
      <c r="R297" s="16" t="s">
        <v>4089</v>
      </c>
      <c r="S297" s="16" t="s">
        <v>3671</v>
      </c>
      <c r="T297" s="17"/>
      <c r="U297" s="16" t="s">
        <v>4064</v>
      </c>
      <c r="V297" s="17"/>
      <c r="W297" s="17"/>
      <c r="X297" s="17"/>
      <c r="Y297" s="16" t="s">
        <v>4064</v>
      </c>
      <c r="Z297" s="16" t="s">
        <v>4065</v>
      </c>
      <c r="AA297" s="17"/>
      <c r="AB297" s="16" t="s">
        <v>4096</v>
      </c>
    </row>
    <row r="298">
      <c r="A298" s="16">
        <f t="shared" si="2"/>
        <v>297</v>
      </c>
      <c r="B298" s="16" t="s">
        <v>848</v>
      </c>
      <c r="C298" s="16" t="s">
        <v>849</v>
      </c>
      <c r="D298" s="16" t="s">
        <v>850</v>
      </c>
      <c r="E298" s="16" t="s">
        <v>3106</v>
      </c>
      <c r="F298" s="16" t="s">
        <v>10</v>
      </c>
      <c r="G298" s="16" t="e">
        <v>#N/A</v>
      </c>
      <c r="H298" s="16" t="s">
        <v>12</v>
      </c>
      <c r="I298" s="17"/>
      <c r="J298" s="16" t="e">
        <v>#N/A</v>
      </c>
      <c r="K298" s="16" t="e">
        <v>#N/A</v>
      </c>
      <c r="L298" s="154">
        <v>42685.0</v>
      </c>
      <c r="M298" s="16">
        <f t="shared" si="1"/>
        <v>10</v>
      </c>
      <c r="N298" s="17"/>
      <c r="O298" s="16" t="s">
        <v>4088</v>
      </c>
      <c r="P298" s="16" t="s">
        <v>2557</v>
      </c>
      <c r="Q298" s="152" t="s">
        <v>4097</v>
      </c>
      <c r="R298" s="16" t="s">
        <v>4089</v>
      </c>
      <c r="S298" s="16" t="s">
        <v>3671</v>
      </c>
      <c r="T298" s="17"/>
      <c r="U298" s="16" t="s">
        <v>4064</v>
      </c>
      <c r="V298" s="17"/>
      <c r="W298" s="17"/>
      <c r="X298" s="17"/>
      <c r="Y298" s="16" t="s">
        <v>4064</v>
      </c>
      <c r="Z298" s="16" t="s">
        <v>4065</v>
      </c>
      <c r="AA298" s="17"/>
      <c r="AB298" s="16" t="s">
        <v>4096</v>
      </c>
    </row>
    <row r="299">
      <c r="A299" s="16">
        <f t="shared" si="2"/>
        <v>298</v>
      </c>
      <c r="B299" s="16" t="s">
        <v>851</v>
      </c>
      <c r="C299" s="16" t="s">
        <v>852</v>
      </c>
      <c r="D299" s="16" t="s">
        <v>853</v>
      </c>
      <c r="E299" s="16" t="s">
        <v>3106</v>
      </c>
      <c r="F299" s="16" t="s">
        <v>10</v>
      </c>
      <c r="G299" s="16" t="s">
        <v>4049</v>
      </c>
      <c r="H299" s="16" t="s">
        <v>12</v>
      </c>
      <c r="I299" s="17"/>
      <c r="J299" s="16" t="s">
        <v>36</v>
      </c>
      <c r="K299" s="16" t="s">
        <v>756</v>
      </c>
      <c r="L299" s="154">
        <v>43951.0</v>
      </c>
      <c r="M299" s="16">
        <f t="shared" si="1"/>
        <v>6</v>
      </c>
      <c r="N299" s="17"/>
      <c r="O299" s="16" t="s">
        <v>4076</v>
      </c>
      <c r="P299" s="16" t="s">
        <v>2557</v>
      </c>
      <c r="Q299" s="152" t="s">
        <v>4098</v>
      </c>
      <c r="R299" s="123">
        <v>45977.0</v>
      </c>
      <c r="S299" s="16" t="s">
        <v>3671</v>
      </c>
      <c r="T299" s="17"/>
      <c r="U299" s="16" t="s">
        <v>4064</v>
      </c>
      <c r="V299" s="17"/>
      <c r="W299" s="17"/>
      <c r="X299" s="17"/>
      <c r="Y299" s="16" t="s">
        <v>4064</v>
      </c>
      <c r="Z299" s="16" t="s">
        <v>4065</v>
      </c>
      <c r="AA299" s="17"/>
      <c r="AB299" s="17"/>
    </row>
    <row r="300">
      <c r="A300" s="16">
        <f t="shared" si="2"/>
        <v>299</v>
      </c>
      <c r="B300" s="16" t="s">
        <v>854</v>
      </c>
      <c r="C300" s="16" t="s">
        <v>855</v>
      </c>
      <c r="D300" s="16" t="s">
        <v>856</v>
      </c>
      <c r="E300" s="16" t="s">
        <v>3106</v>
      </c>
      <c r="F300" s="16" t="s">
        <v>10</v>
      </c>
      <c r="G300" s="16" t="s">
        <v>2985</v>
      </c>
      <c r="H300" s="16" t="s">
        <v>12</v>
      </c>
      <c r="I300" s="17"/>
      <c r="J300" s="16" t="s">
        <v>36</v>
      </c>
      <c r="K300" s="16" t="s">
        <v>144</v>
      </c>
      <c r="L300" s="154">
        <v>42919.0</v>
      </c>
      <c r="M300" s="16">
        <f t="shared" si="1"/>
        <v>9</v>
      </c>
      <c r="N300" s="17"/>
      <c r="O300" s="16" t="s">
        <v>4093</v>
      </c>
      <c r="P300" s="16" t="s">
        <v>3136</v>
      </c>
      <c r="Q300" s="152" t="s">
        <v>4099</v>
      </c>
      <c r="R300" s="16" t="s">
        <v>4089</v>
      </c>
      <c r="S300" s="16" t="s">
        <v>3671</v>
      </c>
      <c r="T300" s="17"/>
      <c r="U300" s="16" t="s">
        <v>4064</v>
      </c>
      <c r="V300" s="17"/>
      <c r="W300" s="17"/>
      <c r="X300" s="17"/>
      <c r="Y300" s="16" t="s">
        <v>4064</v>
      </c>
      <c r="Z300" s="16" t="s">
        <v>4065</v>
      </c>
      <c r="AA300" s="17"/>
      <c r="AB300" s="17"/>
    </row>
    <row r="301">
      <c r="A301" s="16">
        <f t="shared" si="2"/>
        <v>300</v>
      </c>
      <c r="B301" s="16" t="s">
        <v>857</v>
      </c>
      <c r="C301" s="16" t="s">
        <v>858</v>
      </c>
      <c r="D301" s="16" t="s">
        <v>859</v>
      </c>
      <c r="E301" s="16" t="s">
        <v>3106</v>
      </c>
      <c r="F301" s="16" t="s">
        <v>10</v>
      </c>
      <c r="G301" s="16" t="e">
        <v>#N/A</v>
      </c>
      <c r="H301" s="16" t="s">
        <v>12</v>
      </c>
      <c r="I301" s="17"/>
      <c r="J301" s="16" t="e">
        <v>#N/A</v>
      </c>
      <c r="K301" s="16" t="e">
        <v>#N/A</v>
      </c>
      <c r="L301" s="154">
        <v>43549.0</v>
      </c>
      <c r="M301" s="16">
        <f t="shared" si="1"/>
        <v>7</v>
      </c>
      <c r="N301" s="17"/>
      <c r="O301" s="16" t="s">
        <v>4094</v>
      </c>
      <c r="P301" s="16" t="s">
        <v>2557</v>
      </c>
      <c r="Q301" s="152" t="s">
        <v>4100</v>
      </c>
      <c r="R301" s="123">
        <v>45977.0</v>
      </c>
      <c r="S301" s="16" t="s">
        <v>3671</v>
      </c>
      <c r="T301" s="17"/>
      <c r="U301" s="16" t="s">
        <v>4064</v>
      </c>
      <c r="V301" s="17"/>
      <c r="W301" s="17"/>
      <c r="X301" s="17"/>
      <c r="Y301" s="16" t="s">
        <v>4064</v>
      </c>
      <c r="Z301" s="16" t="s">
        <v>4065</v>
      </c>
      <c r="AA301" s="17"/>
      <c r="AB301" s="16" t="s">
        <v>4096</v>
      </c>
    </row>
    <row r="302">
      <c r="A302" s="16">
        <f t="shared" si="2"/>
        <v>301</v>
      </c>
      <c r="B302" s="16" t="s">
        <v>860</v>
      </c>
      <c r="C302" s="16" t="s">
        <v>861</v>
      </c>
      <c r="D302" s="16" t="s">
        <v>862</v>
      </c>
      <c r="E302" s="16" t="s">
        <v>3106</v>
      </c>
      <c r="F302" s="16" t="s">
        <v>10</v>
      </c>
      <c r="G302" s="16" t="e">
        <v>#N/A</v>
      </c>
      <c r="H302" s="16" t="s">
        <v>12</v>
      </c>
      <c r="I302" s="17"/>
      <c r="J302" s="16" t="e">
        <v>#N/A</v>
      </c>
      <c r="K302" s="16" t="e">
        <v>#N/A</v>
      </c>
      <c r="L302" s="154">
        <v>42216.0</v>
      </c>
      <c r="M302" s="16">
        <f t="shared" si="1"/>
        <v>11</v>
      </c>
      <c r="N302" s="17"/>
      <c r="O302" s="16" t="s">
        <v>4092</v>
      </c>
      <c r="P302" s="16" t="s">
        <v>2557</v>
      </c>
      <c r="Q302" s="152" t="s">
        <v>4101</v>
      </c>
      <c r="R302" s="123">
        <v>45977.0</v>
      </c>
      <c r="S302" s="16" t="s">
        <v>3671</v>
      </c>
      <c r="T302" s="17"/>
      <c r="U302" s="16" t="s">
        <v>4064</v>
      </c>
      <c r="V302" s="17"/>
      <c r="W302" s="17"/>
      <c r="X302" s="17"/>
      <c r="Y302" s="16" t="s">
        <v>4064</v>
      </c>
      <c r="Z302" s="16" t="s">
        <v>4065</v>
      </c>
      <c r="AA302" s="17"/>
      <c r="AB302" s="16" t="s">
        <v>4096</v>
      </c>
    </row>
    <row r="303">
      <c r="A303" s="16">
        <f t="shared" si="2"/>
        <v>302</v>
      </c>
      <c r="B303" s="16" t="s">
        <v>863</v>
      </c>
      <c r="C303" s="16" t="s">
        <v>864</v>
      </c>
      <c r="D303" s="16" t="s">
        <v>865</v>
      </c>
      <c r="E303" s="16" t="s">
        <v>3106</v>
      </c>
      <c r="F303" s="16" t="s">
        <v>10</v>
      </c>
      <c r="G303" s="16" t="s">
        <v>3748</v>
      </c>
      <c r="H303" s="16" t="s">
        <v>12</v>
      </c>
      <c r="I303" s="17"/>
      <c r="J303" s="16" t="s">
        <v>36</v>
      </c>
      <c r="K303" s="16" t="s">
        <v>131</v>
      </c>
      <c r="L303" s="154">
        <v>42811.0</v>
      </c>
      <c r="M303" s="16">
        <f t="shared" si="1"/>
        <v>9</v>
      </c>
      <c r="N303" s="17"/>
      <c r="O303" s="111"/>
      <c r="P303" s="16" t="s">
        <v>2557</v>
      </c>
      <c r="Q303" s="152" t="s">
        <v>4102</v>
      </c>
      <c r="R303" s="17"/>
      <c r="S303" s="16" t="s">
        <v>3671</v>
      </c>
      <c r="T303" s="17"/>
      <c r="U303" s="16" t="s">
        <v>3151</v>
      </c>
      <c r="V303" s="17"/>
      <c r="W303" s="17"/>
      <c r="X303" s="17"/>
      <c r="Y303" s="16" t="s">
        <v>3151</v>
      </c>
      <c r="Z303" s="16" t="s">
        <v>3734</v>
      </c>
      <c r="AA303" s="17"/>
      <c r="AB303" s="17"/>
    </row>
    <row r="304">
      <c r="A304" s="16">
        <f t="shared" si="2"/>
        <v>303</v>
      </c>
      <c r="B304" s="16" t="s">
        <v>866</v>
      </c>
      <c r="C304" s="16" t="s">
        <v>867</v>
      </c>
      <c r="D304" s="16" t="s">
        <v>868</v>
      </c>
      <c r="E304" s="16" t="s">
        <v>3106</v>
      </c>
      <c r="F304" s="16" t="s">
        <v>10</v>
      </c>
      <c r="G304" s="16" t="s">
        <v>3678</v>
      </c>
      <c r="H304" s="16" t="s">
        <v>12</v>
      </c>
      <c r="I304" s="17"/>
      <c r="J304" s="16" t="s">
        <v>36</v>
      </c>
      <c r="K304" s="16" t="s">
        <v>35</v>
      </c>
      <c r="L304" s="154">
        <v>43499.0</v>
      </c>
      <c r="M304" s="16">
        <f t="shared" si="1"/>
        <v>7</v>
      </c>
      <c r="N304" s="17"/>
      <c r="O304" s="111"/>
      <c r="P304" s="16" t="s">
        <v>2557</v>
      </c>
      <c r="Q304" s="152" t="s">
        <v>4103</v>
      </c>
      <c r="R304" s="17"/>
      <c r="S304" s="16" t="s">
        <v>3671</v>
      </c>
      <c r="T304" s="17"/>
      <c r="U304" s="16" t="s">
        <v>3151</v>
      </c>
      <c r="V304" s="17"/>
      <c r="W304" s="17"/>
      <c r="X304" s="17"/>
      <c r="Y304" s="16" t="s">
        <v>3151</v>
      </c>
      <c r="Z304" s="16" t="s">
        <v>3734</v>
      </c>
      <c r="AA304" s="17"/>
      <c r="AB304" s="17"/>
    </row>
    <row r="305">
      <c r="A305" s="16">
        <f t="shared" si="2"/>
        <v>304</v>
      </c>
      <c r="B305" s="16" t="s">
        <v>869</v>
      </c>
      <c r="C305" s="16" t="s">
        <v>870</v>
      </c>
      <c r="D305" s="16" t="s">
        <v>871</v>
      </c>
      <c r="E305" s="16" t="s">
        <v>3106</v>
      </c>
      <c r="F305" s="16" t="s">
        <v>10</v>
      </c>
      <c r="G305" s="16" t="s">
        <v>3715</v>
      </c>
      <c r="H305" s="16" t="s">
        <v>12</v>
      </c>
      <c r="I305" s="17"/>
      <c r="J305" s="16" t="s">
        <v>13</v>
      </c>
      <c r="K305" s="16" t="s">
        <v>93</v>
      </c>
      <c r="L305" s="154">
        <v>44152.0</v>
      </c>
      <c r="M305" s="16">
        <f t="shared" si="1"/>
        <v>6</v>
      </c>
      <c r="N305" s="17"/>
      <c r="O305" s="111"/>
      <c r="P305" s="16" t="s">
        <v>2557</v>
      </c>
      <c r="Q305" s="152" t="s">
        <v>4104</v>
      </c>
      <c r="R305" s="17"/>
      <c r="S305" s="16" t="s">
        <v>3671</v>
      </c>
      <c r="T305" s="17"/>
      <c r="U305" s="16" t="s">
        <v>3165</v>
      </c>
      <c r="V305" s="16" t="s">
        <v>3681</v>
      </c>
      <c r="W305" s="17"/>
      <c r="X305" s="17"/>
      <c r="Y305" s="16" t="s">
        <v>3165</v>
      </c>
      <c r="Z305" s="16" t="s">
        <v>3681</v>
      </c>
      <c r="AA305" s="17"/>
      <c r="AB305" s="17"/>
    </row>
    <row r="306">
      <c r="A306" s="16">
        <f t="shared" si="2"/>
        <v>305</v>
      </c>
      <c r="B306" s="16" t="s">
        <v>872</v>
      </c>
      <c r="C306" s="16" t="s">
        <v>873</v>
      </c>
      <c r="D306" s="16" t="s">
        <v>874</v>
      </c>
      <c r="E306" s="16" t="s">
        <v>3106</v>
      </c>
      <c r="F306" s="16" t="s">
        <v>10</v>
      </c>
      <c r="G306" s="16" t="s">
        <v>3715</v>
      </c>
      <c r="H306" s="16" t="s">
        <v>12</v>
      </c>
      <c r="I306" s="17"/>
      <c r="J306" s="16" t="s">
        <v>13</v>
      </c>
      <c r="K306" s="16" t="s">
        <v>93</v>
      </c>
      <c r="L306" s="154">
        <v>44152.0</v>
      </c>
      <c r="M306" s="16">
        <f t="shared" si="1"/>
        <v>6</v>
      </c>
      <c r="N306" s="17"/>
      <c r="O306" s="111"/>
      <c r="P306" s="16" t="s">
        <v>2557</v>
      </c>
      <c r="Q306" s="152" t="s">
        <v>4105</v>
      </c>
      <c r="R306" s="17"/>
      <c r="S306" s="16" t="s">
        <v>3671</v>
      </c>
      <c r="T306" s="17"/>
      <c r="U306" s="16" t="s">
        <v>3165</v>
      </c>
      <c r="V306" s="16" t="s">
        <v>3681</v>
      </c>
      <c r="W306" s="17"/>
      <c r="X306" s="17"/>
      <c r="Y306" s="16" t="s">
        <v>3165</v>
      </c>
      <c r="Z306" s="16" t="s">
        <v>3681</v>
      </c>
      <c r="AA306" s="17"/>
      <c r="AB306" s="17"/>
    </row>
    <row r="307">
      <c r="A307" s="16">
        <f t="shared" si="2"/>
        <v>306</v>
      </c>
      <c r="B307" s="16" t="s">
        <v>875</v>
      </c>
      <c r="C307" s="16" t="s">
        <v>876</v>
      </c>
      <c r="D307" s="16" t="s">
        <v>877</v>
      </c>
      <c r="E307" s="16" t="s">
        <v>3106</v>
      </c>
      <c r="F307" s="16" t="s">
        <v>10</v>
      </c>
      <c r="G307" s="16" t="s">
        <v>3669</v>
      </c>
      <c r="H307" s="16" t="s">
        <v>12</v>
      </c>
      <c r="I307" s="16" t="s">
        <v>3396</v>
      </c>
      <c r="J307" s="16" t="s">
        <v>13</v>
      </c>
      <c r="K307" s="16" t="s">
        <v>11</v>
      </c>
      <c r="L307" s="154">
        <v>44347.0</v>
      </c>
      <c r="M307" s="16">
        <f t="shared" si="1"/>
        <v>5</v>
      </c>
      <c r="N307" s="135">
        <v>5.0004077E7</v>
      </c>
      <c r="O307" s="17"/>
      <c r="P307" s="16" t="s">
        <v>2557</v>
      </c>
      <c r="Q307" s="152" t="s">
        <v>4106</v>
      </c>
      <c r="R307" s="17"/>
      <c r="S307" s="16" t="s">
        <v>3671</v>
      </c>
      <c r="T307" s="17"/>
      <c r="U307" s="16" t="s">
        <v>3165</v>
      </c>
      <c r="V307" s="16" t="s">
        <v>3681</v>
      </c>
      <c r="W307" s="17"/>
      <c r="X307" s="17"/>
      <c r="Y307" s="16" t="s">
        <v>3165</v>
      </c>
      <c r="Z307" s="16" t="s">
        <v>3681</v>
      </c>
      <c r="AA307" s="17"/>
      <c r="AB307" s="17"/>
    </row>
    <row r="308">
      <c r="A308" s="16">
        <f t="shared" si="2"/>
        <v>307</v>
      </c>
      <c r="B308" s="16" t="s">
        <v>878</v>
      </c>
      <c r="C308" s="16">
        <v>6.0019739E7</v>
      </c>
      <c r="D308" s="16" t="s">
        <v>879</v>
      </c>
      <c r="E308" s="16" t="s">
        <v>3106</v>
      </c>
      <c r="F308" s="16" t="s">
        <v>10</v>
      </c>
      <c r="G308" s="16" t="s">
        <v>3787</v>
      </c>
      <c r="H308" s="16" t="s">
        <v>12</v>
      </c>
      <c r="I308" s="16" t="s">
        <v>3788</v>
      </c>
      <c r="J308" s="16" t="s">
        <v>36</v>
      </c>
      <c r="K308" s="16" t="s">
        <v>214</v>
      </c>
      <c r="L308" s="154">
        <v>44848.0</v>
      </c>
      <c r="M308" s="16">
        <f t="shared" si="1"/>
        <v>4</v>
      </c>
      <c r="N308" s="16">
        <v>4.500000469E9</v>
      </c>
      <c r="O308" s="17"/>
      <c r="P308" s="16" t="s">
        <v>2557</v>
      </c>
      <c r="Q308" s="152" t="s">
        <v>4107</v>
      </c>
      <c r="R308" s="17"/>
      <c r="S308" s="16" t="s">
        <v>3671</v>
      </c>
      <c r="T308" s="17"/>
      <c r="U308" s="16" t="s">
        <v>3165</v>
      </c>
      <c r="V308" s="16" t="s">
        <v>3681</v>
      </c>
      <c r="W308" s="17"/>
      <c r="X308" s="17"/>
      <c r="Y308" s="16" t="s">
        <v>3165</v>
      </c>
      <c r="Z308" s="16" t="s">
        <v>3681</v>
      </c>
      <c r="AA308" s="17"/>
      <c r="AB308" s="17"/>
    </row>
    <row r="309">
      <c r="A309" s="16">
        <f t="shared" si="2"/>
        <v>308</v>
      </c>
      <c r="B309" s="16" t="s">
        <v>880</v>
      </c>
      <c r="C309" s="16" t="s">
        <v>881</v>
      </c>
      <c r="D309" s="16" t="s">
        <v>882</v>
      </c>
      <c r="E309" s="16" t="s">
        <v>3106</v>
      </c>
      <c r="F309" s="16" t="s">
        <v>10</v>
      </c>
      <c r="G309" s="16" t="s">
        <v>775</v>
      </c>
      <c r="H309" s="16" t="s">
        <v>12</v>
      </c>
      <c r="I309" s="16" t="s">
        <v>4062</v>
      </c>
      <c r="J309" s="16" t="s">
        <v>79</v>
      </c>
      <c r="K309" s="16" t="s">
        <v>775</v>
      </c>
      <c r="L309" s="154">
        <v>44312.0</v>
      </c>
      <c r="M309" s="16">
        <f t="shared" si="1"/>
        <v>5</v>
      </c>
      <c r="N309" s="135">
        <v>5.0003988E7</v>
      </c>
      <c r="O309" s="17"/>
      <c r="P309" s="16" t="s">
        <v>3136</v>
      </c>
      <c r="Q309" s="152" t="s">
        <v>4108</v>
      </c>
      <c r="R309" s="17"/>
      <c r="S309" s="16" t="s">
        <v>3671</v>
      </c>
      <c r="T309" s="17"/>
      <c r="U309" s="16" t="s">
        <v>3165</v>
      </c>
      <c r="V309" s="16" t="s">
        <v>3681</v>
      </c>
      <c r="W309" s="17"/>
      <c r="X309" s="17"/>
      <c r="Y309" s="16" t="s">
        <v>3165</v>
      </c>
      <c r="Z309" s="16" t="s">
        <v>3681</v>
      </c>
      <c r="AA309" s="17"/>
      <c r="AB309" s="17"/>
    </row>
    <row r="310">
      <c r="A310" s="16">
        <f t="shared" si="2"/>
        <v>309</v>
      </c>
      <c r="B310" s="16" t="s">
        <v>883</v>
      </c>
      <c r="C310" s="16" t="s">
        <v>884</v>
      </c>
      <c r="D310" s="16" t="s">
        <v>885</v>
      </c>
      <c r="E310" s="16" t="s">
        <v>3106</v>
      </c>
      <c r="F310" s="16" t="s">
        <v>10</v>
      </c>
      <c r="G310" s="16" t="s">
        <v>3715</v>
      </c>
      <c r="H310" s="16" t="s">
        <v>12</v>
      </c>
      <c r="I310" s="17"/>
      <c r="J310" s="16" t="s">
        <v>13</v>
      </c>
      <c r="K310" s="16" t="s">
        <v>93</v>
      </c>
      <c r="L310" s="154">
        <v>44152.0</v>
      </c>
      <c r="M310" s="16">
        <f t="shared" si="1"/>
        <v>6</v>
      </c>
      <c r="N310" s="17"/>
      <c r="O310" s="111"/>
      <c r="P310" s="16" t="s">
        <v>2557</v>
      </c>
      <c r="Q310" s="152" t="s">
        <v>4109</v>
      </c>
      <c r="R310" s="17"/>
      <c r="S310" s="16" t="s">
        <v>3671</v>
      </c>
      <c r="T310" s="17"/>
      <c r="U310" s="16" t="s">
        <v>3165</v>
      </c>
      <c r="V310" s="16" t="s">
        <v>3681</v>
      </c>
      <c r="W310" s="17"/>
      <c r="X310" s="17"/>
      <c r="Y310" s="16" t="s">
        <v>3165</v>
      </c>
      <c r="Z310" s="16" t="s">
        <v>3681</v>
      </c>
      <c r="AA310" s="17"/>
      <c r="AB310" s="17"/>
    </row>
    <row r="311">
      <c r="A311" s="16">
        <f t="shared" si="2"/>
        <v>310</v>
      </c>
      <c r="B311" s="16" t="s">
        <v>886</v>
      </c>
      <c r="C311" s="16" t="s">
        <v>887</v>
      </c>
      <c r="D311" s="16" t="s">
        <v>888</v>
      </c>
      <c r="E311" s="16" t="s">
        <v>3106</v>
      </c>
      <c r="F311" s="16" t="s">
        <v>10</v>
      </c>
      <c r="G311" s="16" t="s">
        <v>3715</v>
      </c>
      <c r="H311" s="16" t="s">
        <v>12</v>
      </c>
      <c r="I311" s="17"/>
      <c r="J311" s="16" t="s">
        <v>13</v>
      </c>
      <c r="K311" s="16" t="s">
        <v>93</v>
      </c>
      <c r="L311" s="154">
        <v>44105.0</v>
      </c>
      <c r="M311" s="16">
        <f t="shared" si="1"/>
        <v>6</v>
      </c>
      <c r="N311" s="17"/>
      <c r="O311" s="111"/>
      <c r="P311" s="16" t="s">
        <v>2557</v>
      </c>
      <c r="Q311" s="152" t="s">
        <v>4110</v>
      </c>
      <c r="R311" s="17"/>
      <c r="S311" s="16" t="s">
        <v>3671</v>
      </c>
      <c r="T311" s="17"/>
      <c r="U311" s="16" t="s">
        <v>3165</v>
      </c>
      <c r="V311" s="16" t="s">
        <v>3681</v>
      </c>
      <c r="W311" s="17"/>
      <c r="X311" s="17"/>
      <c r="Y311" s="16" t="s">
        <v>3165</v>
      </c>
      <c r="Z311" s="16" t="s">
        <v>3681</v>
      </c>
      <c r="AA311" s="17"/>
      <c r="AB311" s="17"/>
    </row>
    <row r="312">
      <c r="A312" s="16">
        <f t="shared" si="2"/>
        <v>311</v>
      </c>
      <c r="B312" s="16" t="s">
        <v>889</v>
      </c>
      <c r="C312" s="16" t="s">
        <v>890</v>
      </c>
      <c r="D312" s="16" t="s">
        <v>891</v>
      </c>
      <c r="E312" s="16" t="s">
        <v>3106</v>
      </c>
      <c r="F312" s="16" t="s">
        <v>10</v>
      </c>
      <c r="G312" s="16" t="s">
        <v>775</v>
      </c>
      <c r="H312" s="16" t="s">
        <v>12</v>
      </c>
      <c r="I312" s="16" t="s">
        <v>4062</v>
      </c>
      <c r="J312" s="16" t="s">
        <v>79</v>
      </c>
      <c r="K312" s="16" t="s">
        <v>775</v>
      </c>
      <c r="L312" s="154">
        <v>44312.0</v>
      </c>
      <c r="M312" s="16">
        <f t="shared" si="1"/>
        <v>5</v>
      </c>
      <c r="N312" s="135">
        <v>5.0003988E7</v>
      </c>
      <c r="O312" s="17"/>
      <c r="P312" s="16" t="s">
        <v>2557</v>
      </c>
      <c r="Q312" s="152" t="s">
        <v>4111</v>
      </c>
      <c r="R312" s="17"/>
      <c r="S312" s="16" t="s">
        <v>3671</v>
      </c>
      <c r="T312" s="17"/>
      <c r="U312" s="16" t="s">
        <v>3165</v>
      </c>
      <c r="V312" s="16" t="s">
        <v>3681</v>
      </c>
      <c r="W312" s="17"/>
      <c r="X312" s="17"/>
      <c r="Y312" s="16" t="s">
        <v>3165</v>
      </c>
      <c r="Z312" s="16" t="s">
        <v>3681</v>
      </c>
      <c r="AA312" s="17"/>
      <c r="AB312" s="17"/>
    </row>
    <row r="313">
      <c r="A313" s="16">
        <f t="shared" si="2"/>
        <v>312</v>
      </c>
      <c r="B313" s="16" t="s">
        <v>892</v>
      </c>
      <c r="C313" s="16" t="s">
        <v>893</v>
      </c>
      <c r="D313" s="16" t="s">
        <v>894</v>
      </c>
      <c r="E313" s="16" t="s">
        <v>3106</v>
      </c>
      <c r="F313" s="16" t="s">
        <v>10</v>
      </c>
      <c r="G313" s="16" t="s">
        <v>3715</v>
      </c>
      <c r="H313" s="16" t="s">
        <v>12</v>
      </c>
      <c r="I313" s="17"/>
      <c r="J313" s="16" t="s">
        <v>13</v>
      </c>
      <c r="K313" s="16" t="s">
        <v>93</v>
      </c>
      <c r="L313" s="154">
        <v>44152.0</v>
      </c>
      <c r="M313" s="16">
        <f t="shared" si="1"/>
        <v>6</v>
      </c>
      <c r="N313" s="17"/>
      <c r="O313" s="111"/>
      <c r="P313" s="16" t="s">
        <v>3136</v>
      </c>
      <c r="Q313" s="152" t="s">
        <v>4112</v>
      </c>
      <c r="R313" s="17"/>
      <c r="S313" s="16" t="s">
        <v>3671</v>
      </c>
      <c r="T313" s="17"/>
      <c r="U313" s="16" t="s">
        <v>3165</v>
      </c>
      <c r="V313" s="16" t="s">
        <v>3681</v>
      </c>
      <c r="W313" s="17"/>
      <c r="X313" s="17"/>
      <c r="Y313" s="16" t="s">
        <v>3165</v>
      </c>
      <c r="Z313" s="16" t="s">
        <v>3681</v>
      </c>
      <c r="AA313" s="17"/>
      <c r="AB313" s="17"/>
    </row>
    <row r="314">
      <c r="A314" s="16">
        <f t="shared" si="2"/>
        <v>313</v>
      </c>
      <c r="B314" s="16" t="s">
        <v>895</v>
      </c>
      <c r="C314" s="16">
        <v>6.001974E7</v>
      </c>
      <c r="D314" s="16" t="s">
        <v>896</v>
      </c>
      <c r="E314" s="16" t="s">
        <v>3106</v>
      </c>
      <c r="F314" s="16" t="s">
        <v>10</v>
      </c>
      <c r="G314" s="16" t="s">
        <v>3787</v>
      </c>
      <c r="H314" s="16" t="s">
        <v>12</v>
      </c>
      <c r="I314" s="16" t="s">
        <v>3788</v>
      </c>
      <c r="J314" s="16" t="s">
        <v>36</v>
      </c>
      <c r="K314" s="16" t="s">
        <v>214</v>
      </c>
      <c r="L314" s="154">
        <v>44848.0</v>
      </c>
      <c r="M314" s="16">
        <f t="shared" si="1"/>
        <v>4</v>
      </c>
      <c r="N314" s="16">
        <v>4.500000469E9</v>
      </c>
      <c r="O314" s="17"/>
      <c r="P314" s="16" t="s">
        <v>2557</v>
      </c>
      <c r="Q314" s="152" t="s">
        <v>4113</v>
      </c>
      <c r="R314" s="17"/>
      <c r="S314" s="16" t="s">
        <v>3671</v>
      </c>
      <c r="T314" s="17"/>
      <c r="U314" s="16" t="s">
        <v>3165</v>
      </c>
      <c r="V314" s="16" t="s">
        <v>3681</v>
      </c>
      <c r="W314" s="17"/>
      <c r="X314" s="17"/>
      <c r="Y314" s="16" t="s">
        <v>3165</v>
      </c>
      <c r="Z314" s="16" t="s">
        <v>3681</v>
      </c>
      <c r="AA314" s="17"/>
      <c r="AB314" s="17"/>
    </row>
    <row r="315">
      <c r="A315" s="16">
        <f t="shared" si="2"/>
        <v>314</v>
      </c>
      <c r="B315" s="16" t="s">
        <v>897</v>
      </c>
      <c r="C315" s="16">
        <v>6.0019741E7</v>
      </c>
      <c r="D315" s="16" t="s">
        <v>898</v>
      </c>
      <c r="E315" s="16" t="s">
        <v>3106</v>
      </c>
      <c r="F315" s="16" t="s">
        <v>10</v>
      </c>
      <c r="G315" s="16" t="s">
        <v>3787</v>
      </c>
      <c r="H315" s="16" t="s">
        <v>12</v>
      </c>
      <c r="I315" s="17"/>
      <c r="J315" s="16" t="s">
        <v>36</v>
      </c>
      <c r="K315" s="16" t="s">
        <v>214</v>
      </c>
      <c r="L315" s="154">
        <v>44848.0</v>
      </c>
      <c r="M315" s="16">
        <f t="shared" si="1"/>
        <v>4</v>
      </c>
      <c r="N315" s="16">
        <v>4.500000469E9</v>
      </c>
      <c r="O315" s="17"/>
      <c r="P315" s="16" t="s">
        <v>2557</v>
      </c>
      <c r="Q315" s="152" t="s">
        <v>4114</v>
      </c>
      <c r="R315" s="17"/>
      <c r="S315" s="16" t="s">
        <v>3671</v>
      </c>
      <c r="T315" s="17"/>
      <c r="U315" s="16" t="s">
        <v>3165</v>
      </c>
      <c r="V315" s="16" t="s">
        <v>3681</v>
      </c>
      <c r="W315" s="17"/>
      <c r="X315" s="17"/>
      <c r="Y315" s="16" t="s">
        <v>3165</v>
      </c>
      <c r="Z315" s="16" t="s">
        <v>3681</v>
      </c>
      <c r="AA315" s="17"/>
      <c r="AB315" s="17"/>
    </row>
    <row r="316">
      <c r="A316" s="16">
        <f t="shared" si="2"/>
        <v>315</v>
      </c>
      <c r="B316" s="16" t="s">
        <v>899</v>
      </c>
      <c r="C316" s="16" t="s">
        <v>900</v>
      </c>
      <c r="D316" s="16" t="s">
        <v>901</v>
      </c>
      <c r="E316" s="16" t="s">
        <v>3106</v>
      </c>
      <c r="F316" s="16" t="s">
        <v>10</v>
      </c>
      <c r="G316" s="16" t="s">
        <v>3715</v>
      </c>
      <c r="H316" s="16" t="s">
        <v>12</v>
      </c>
      <c r="I316" s="17"/>
      <c r="J316" s="16" t="s">
        <v>13</v>
      </c>
      <c r="K316" s="16" t="s">
        <v>93</v>
      </c>
      <c r="L316" s="154">
        <v>44105.0</v>
      </c>
      <c r="M316" s="16">
        <f t="shared" si="1"/>
        <v>6</v>
      </c>
      <c r="N316" s="17"/>
      <c r="O316" s="111"/>
      <c r="P316" s="16" t="s">
        <v>3136</v>
      </c>
      <c r="Q316" s="152" t="s">
        <v>4115</v>
      </c>
      <c r="R316" s="17"/>
      <c r="S316" s="16" t="s">
        <v>3671</v>
      </c>
      <c r="T316" s="17"/>
      <c r="U316" s="16" t="s">
        <v>3165</v>
      </c>
      <c r="V316" s="16" t="s">
        <v>3681</v>
      </c>
      <c r="W316" s="17"/>
      <c r="X316" s="17"/>
      <c r="Y316" s="16" t="s">
        <v>3165</v>
      </c>
      <c r="Z316" s="16" t="s">
        <v>3681</v>
      </c>
      <c r="AA316" s="17"/>
      <c r="AB316" s="17"/>
    </row>
    <row r="317">
      <c r="A317" s="16">
        <f t="shared" si="2"/>
        <v>316</v>
      </c>
      <c r="B317" s="16" t="s">
        <v>902</v>
      </c>
      <c r="C317" s="16" t="s">
        <v>903</v>
      </c>
      <c r="D317" s="16" t="s">
        <v>904</v>
      </c>
      <c r="E317" s="16" t="s">
        <v>3106</v>
      </c>
      <c r="F317" s="16" t="s">
        <v>10</v>
      </c>
      <c r="G317" s="16" t="s">
        <v>3715</v>
      </c>
      <c r="H317" s="16" t="s">
        <v>12</v>
      </c>
      <c r="I317" s="17"/>
      <c r="J317" s="16" t="s">
        <v>13</v>
      </c>
      <c r="K317" s="16" t="s">
        <v>93</v>
      </c>
      <c r="L317" s="154">
        <v>44152.0</v>
      </c>
      <c r="M317" s="16">
        <f t="shared" si="1"/>
        <v>6</v>
      </c>
      <c r="N317" s="17"/>
      <c r="O317" s="111"/>
      <c r="P317" s="16" t="s">
        <v>3136</v>
      </c>
      <c r="Q317" s="152" t="s">
        <v>4116</v>
      </c>
      <c r="R317" s="17"/>
      <c r="S317" s="16" t="s">
        <v>3671</v>
      </c>
      <c r="T317" s="17"/>
      <c r="U317" s="16" t="s">
        <v>3165</v>
      </c>
      <c r="V317" s="16" t="s">
        <v>3681</v>
      </c>
      <c r="W317" s="17"/>
      <c r="X317" s="17"/>
      <c r="Y317" s="16" t="s">
        <v>3165</v>
      </c>
      <c r="Z317" s="16" t="s">
        <v>3681</v>
      </c>
      <c r="AA317" s="17"/>
      <c r="AB317" s="17"/>
    </row>
    <row r="318">
      <c r="A318" s="16">
        <f t="shared" si="2"/>
        <v>317</v>
      </c>
      <c r="B318" s="16" t="s">
        <v>905</v>
      </c>
      <c r="C318" s="16" t="s">
        <v>906</v>
      </c>
      <c r="D318" s="16" t="s">
        <v>907</v>
      </c>
      <c r="E318" s="16" t="s">
        <v>3106</v>
      </c>
      <c r="F318" s="16" t="s">
        <v>10</v>
      </c>
      <c r="G318" s="16" t="s">
        <v>775</v>
      </c>
      <c r="H318" s="16" t="s">
        <v>12</v>
      </c>
      <c r="I318" s="16" t="s">
        <v>4062</v>
      </c>
      <c r="J318" s="16" t="s">
        <v>79</v>
      </c>
      <c r="K318" s="16" t="s">
        <v>775</v>
      </c>
      <c r="L318" s="154">
        <v>44312.0</v>
      </c>
      <c r="M318" s="16">
        <f t="shared" si="1"/>
        <v>5</v>
      </c>
      <c r="N318" s="135">
        <v>5.0003988E7</v>
      </c>
      <c r="O318" s="17"/>
      <c r="P318" s="16" t="s">
        <v>3136</v>
      </c>
      <c r="Q318" s="152" t="s">
        <v>4117</v>
      </c>
      <c r="R318" s="17"/>
      <c r="S318" s="16" t="s">
        <v>3671</v>
      </c>
      <c r="T318" s="17"/>
      <c r="U318" s="16" t="s">
        <v>3165</v>
      </c>
      <c r="V318" s="16" t="s">
        <v>3681</v>
      </c>
      <c r="W318" s="17"/>
      <c r="X318" s="17"/>
      <c r="Y318" s="16" t="s">
        <v>3165</v>
      </c>
      <c r="Z318" s="16" t="s">
        <v>3681</v>
      </c>
      <c r="AA318" s="17"/>
      <c r="AB318" s="17"/>
    </row>
    <row r="319">
      <c r="A319" s="16">
        <f t="shared" si="2"/>
        <v>318</v>
      </c>
      <c r="B319" s="16" t="s">
        <v>908</v>
      </c>
      <c r="C319" s="16" t="s">
        <v>909</v>
      </c>
      <c r="D319" s="16" t="s">
        <v>910</v>
      </c>
      <c r="E319" s="16" t="s">
        <v>3106</v>
      </c>
      <c r="F319" s="16" t="s">
        <v>10</v>
      </c>
      <c r="G319" s="16" t="s">
        <v>3669</v>
      </c>
      <c r="H319" s="16" t="s">
        <v>12</v>
      </c>
      <c r="I319" s="16" t="s">
        <v>3396</v>
      </c>
      <c r="J319" s="16" t="s">
        <v>13</v>
      </c>
      <c r="K319" s="16" t="s">
        <v>11</v>
      </c>
      <c r="L319" s="154">
        <v>44347.0</v>
      </c>
      <c r="M319" s="16">
        <f t="shared" si="1"/>
        <v>5</v>
      </c>
      <c r="N319" s="135">
        <v>5.0004077E7</v>
      </c>
      <c r="O319" s="17"/>
      <c r="P319" s="16" t="s">
        <v>3136</v>
      </c>
      <c r="Q319" s="152" t="s">
        <v>4118</v>
      </c>
      <c r="R319" s="17"/>
      <c r="S319" s="16" t="s">
        <v>3671</v>
      </c>
      <c r="T319" s="17"/>
      <c r="U319" s="16" t="s">
        <v>3165</v>
      </c>
      <c r="V319" s="16" t="s">
        <v>3681</v>
      </c>
      <c r="W319" s="17"/>
      <c r="X319" s="17"/>
      <c r="Y319" s="16" t="s">
        <v>3165</v>
      </c>
      <c r="Z319" s="16" t="s">
        <v>3681</v>
      </c>
      <c r="AA319" s="17"/>
      <c r="AB319" s="17"/>
    </row>
    <row r="320">
      <c r="A320" s="16">
        <f t="shared" si="2"/>
        <v>319</v>
      </c>
      <c r="B320" s="16" t="s">
        <v>911</v>
      </c>
      <c r="C320" s="16" t="s">
        <v>912</v>
      </c>
      <c r="D320" s="16" t="s">
        <v>913</v>
      </c>
      <c r="E320" s="16" t="s">
        <v>3106</v>
      </c>
      <c r="F320" s="16" t="s">
        <v>10</v>
      </c>
      <c r="G320" s="16" t="s">
        <v>3715</v>
      </c>
      <c r="H320" s="16" t="s">
        <v>12</v>
      </c>
      <c r="I320" s="17"/>
      <c r="J320" s="16" t="s">
        <v>13</v>
      </c>
      <c r="K320" s="16" t="s">
        <v>93</v>
      </c>
      <c r="L320" s="154">
        <v>44152.0</v>
      </c>
      <c r="M320" s="16">
        <f t="shared" si="1"/>
        <v>6</v>
      </c>
      <c r="N320" s="17"/>
      <c r="O320" s="111"/>
      <c r="P320" s="16" t="s">
        <v>3136</v>
      </c>
      <c r="Q320" s="152" t="s">
        <v>4119</v>
      </c>
      <c r="R320" s="17"/>
      <c r="S320" s="16" t="s">
        <v>3671</v>
      </c>
      <c r="T320" s="17"/>
      <c r="U320" s="16" t="s">
        <v>3165</v>
      </c>
      <c r="V320" s="16" t="s">
        <v>3681</v>
      </c>
      <c r="W320" s="17"/>
      <c r="X320" s="17"/>
      <c r="Y320" s="16" t="s">
        <v>3165</v>
      </c>
      <c r="Z320" s="16" t="s">
        <v>3681</v>
      </c>
      <c r="AA320" s="17"/>
      <c r="AB320" s="17"/>
    </row>
    <row r="321">
      <c r="A321" s="16">
        <f t="shared" si="2"/>
        <v>320</v>
      </c>
      <c r="B321" s="16" t="s">
        <v>914</v>
      </c>
      <c r="C321" s="16" t="s">
        <v>915</v>
      </c>
      <c r="D321" s="16" t="s">
        <v>916</v>
      </c>
      <c r="E321" s="16" t="s">
        <v>3106</v>
      </c>
      <c r="F321" s="16" t="s">
        <v>10</v>
      </c>
      <c r="G321" s="16" t="s">
        <v>3715</v>
      </c>
      <c r="H321" s="16" t="s">
        <v>12</v>
      </c>
      <c r="I321" s="17"/>
      <c r="J321" s="16" t="s">
        <v>13</v>
      </c>
      <c r="K321" s="16" t="s">
        <v>93</v>
      </c>
      <c r="L321" s="154">
        <v>44152.0</v>
      </c>
      <c r="M321" s="16">
        <f t="shared" si="1"/>
        <v>6</v>
      </c>
      <c r="N321" s="17"/>
      <c r="O321" s="111"/>
      <c r="P321" s="16" t="s">
        <v>3136</v>
      </c>
      <c r="Q321" s="152" t="s">
        <v>4120</v>
      </c>
      <c r="R321" s="17"/>
      <c r="S321" s="16" t="s">
        <v>3671</v>
      </c>
      <c r="T321" s="17"/>
      <c r="U321" s="16" t="s">
        <v>3165</v>
      </c>
      <c r="V321" s="16" t="s">
        <v>3681</v>
      </c>
      <c r="W321" s="17"/>
      <c r="X321" s="17"/>
      <c r="Y321" s="16" t="s">
        <v>3165</v>
      </c>
      <c r="Z321" s="16" t="s">
        <v>3681</v>
      </c>
      <c r="AA321" s="17"/>
      <c r="AB321" s="17"/>
    </row>
    <row r="322">
      <c r="A322" s="16">
        <f t="shared" si="2"/>
        <v>321</v>
      </c>
      <c r="B322" s="16" t="s">
        <v>917</v>
      </c>
      <c r="C322" s="16">
        <v>6.0019742E7</v>
      </c>
      <c r="D322" s="16" t="s">
        <v>918</v>
      </c>
      <c r="E322" s="16" t="s">
        <v>3106</v>
      </c>
      <c r="F322" s="16" t="s">
        <v>10</v>
      </c>
      <c r="G322" s="16" t="s">
        <v>3787</v>
      </c>
      <c r="H322" s="16" t="s">
        <v>12</v>
      </c>
      <c r="I322" s="16" t="s">
        <v>3788</v>
      </c>
      <c r="J322" s="16" t="s">
        <v>36</v>
      </c>
      <c r="K322" s="16" t="s">
        <v>214</v>
      </c>
      <c r="L322" s="154">
        <v>44848.0</v>
      </c>
      <c r="M322" s="16">
        <f t="shared" si="1"/>
        <v>4</v>
      </c>
      <c r="N322" s="16">
        <v>4.500000469E9</v>
      </c>
      <c r="O322" s="17"/>
      <c r="P322" s="16" t="s">
        <v>3136</v>
      </c>
      <c r="Q322" s="152" t="s">
        <v>4121</v>
      </c>
      <c r="R322" s="17"/>
      <c r="S322" s="16" t="s">
        <v>3671</v>
      </c>
      <c r="T322" s="17"/>
      <c r="U322" s="16" t="s">
        <v>3165</v>
      </c>
      <c r="V322" s="16" t="s">
        <v>3681</v>
      </c>
      <c r="W322" s="17"/>
      <c r="X322" s="17"/>
      <c r="Y322" s="16" t="s">
        <v>3165</v>
      </c>
      <c r="Z322" s="16" t="s">
        <v>3681</v>
      </c>
      <c r="AA322" s="17"/>
      <c r="AB322" s="17"/>
    </row>
    <row r="323">
      <c r="A323" s="16">
        <f t="shared" si="2"/>
        <v>322</v>
      </c>
      <c r="B323" s="16" t="s">
        <v>919</v>
      </c>
      <c r="C323" s="16" t="s">
        <v>920</v>
      </c>
      <c r="D323" s="16" t="s">
        <v>921</v>
      </c>
      <c r="E323" s="16" t="s">
        <v>3106</v>
      </c>
      <c r="F323" s="16" t="s">
        <v>10</v>
      </c>
      <c r="G323" s="16" t="s">
        <v>775</v>
      </c>
      <c r="H323" s="16" t="s">
        <v>12</v>
      </c>
      <c r="I323" s="16" t="s">
        <v>4062</v>
      </c>
      <c r="J323" s="16" t="s">
        <v>79</v>
      </c>
      <c r="K323" s="16" t="s">
        <v>775</v>
      </c>
      <c r="L323" s="154">
        <v>44312.0</v>
      </c>
      <c r="M323" s="16">
        <f t="shared" si="1"/>
        <v>5</v>
      </c>
      <c r="N323" s="135">
        <v>5.0003988E7</v>
      </c>
      <c r="O323" s="17"/>
      <c r="P323" s="16" t="s">
        <v>3519</v>
      </c>
      <c r="Q323" s="152" t="s">
        <v>4122</v>
      </c>
      <c r="R323" s="17"/>
      <c r="S323" s="16" t="s">
        <v>3671</v>
      </c>
      <c r="T323" s="17"/>
      <c r="U323" s="16" t="s">
        <v>3165</v>
      </c>
      <c r="V323" s="16" t="s">
        <v>3681</v>
      </c>
      <c r="W323" s="17"/>
      <c r="X323" s="17"/>
      <c r="Y323" s="16" t="s">
        <v>3165</v>
      </c>
      <c r="Z323" s="16" t="s">
        <v>3681</v>
      </c>
      <c r="AA323" s="17"/>
      <c r="AB323" s="17"/>
    </row>
    <row r="324">
      <c r="A324" s="16">
        <f t="shared" si="2"/>
        <v>323</v>
      </c>
      <c r="B324" s="16" t="s">
        <v>922</v>
      </c>
      <c r="C324" s="16" t="s">
        <v>923</v>
      </c>
      <c r="D324" s="16" t="s">
        <v>924</v>
      </c>
      <c r="E324" s="16" t="s">
        <v>3106</v>
      </c>
      <c r="F324" s="16" t="s">
        <v>10</v>
      </c>
      <c r="G324" s="16" t="s">
        <v>3715</v>
      </c>
      <c r="H324" s="16" t="s">
        <v>12</v>
      </c>
      <c r="I324" s="17"/>
      <c r="J324" s="16" t="s">
        <v>13</v>
      </c>
      <c r="K324" s="16" t="s">
        <v>93</v>
      </c>
      <c r="L324" s="154">
        <v>44105.0</v>
      </c>
      <c r="M324" s="16">
        <f t="shared" si="1"/>
        <v>6</v>
      </c>
      <c r="N324" s="17"/>
      <c r="O324" s="111"/>
      <c r="P324" s="16" t="s">
        <v>3519</v>
      </c>
      <c r="Q324" s="152" t="s">
        <v>4123</v>
      </c>
      <c r="R324" s="17"/>
      <c r="S324" s="16" t="s">
        <v>3671</v>
      </c>
      <c r="T324" s="17"/>
      <c r="U324" s="16" t="s">
        <v>3165</v>
      </c>
      <c r="V324" s="16" t="s">
        <v>3681</v>
      </c>
      <c r="W324" s="17"/>
      <c r="X324" s="17"/>
      <c r="Y324" s="16" t="s">
        <v>3165</v>
      </c>
      <c r="Z324" s="16" t="s">
        <v>3681</v>
      </c>
      <c r="AA324" s="17"/>
      <c r="AB324" s="17"/>
    </row>
    <row r="325">
      <c r="A325" s="16">
        <f t="shared" si="2"/>
        <v>324</v>
      </c>
      <c r="B325" s="16" t="s">
        <v>925</v>
      </c>
      <c r="C325" s="16" t="s">
        <v>926</v>
      </c>
      <c r="D325" s="16" t="s">
        <v>927</v>
      </c>
      <c r="E325" s="16" t="s">
        <v>3106</v>
      </c>
      <c r="F325" s="16" t="s">
        <v>10</v>
      </c>
      <c r="G325" s="16" t="s">
        <v>775</v>
      </c>
      <c r="H325" s="16" t="s">
        <v>12</v>
      </c>
      <c r="I325" s="16" t="s">
        <v>4062</v>
      </c>
      <c r="J325" s="16" t="s">
        <v>79</v>
      </c>
      <c r="K325" s="16" t="s">
        <v>775</v>
      </c>
      <c r="L325" s="154">
        <v>44312.0</v>
      </c>
      <c r="M325" s="16">
        <f t="shared" si="1"/>
        <v>5</v>
      </c>
      <c r="N325" s="135">
        <v>5.0003988E7</v>
      </c>
      <c r="O325" s="17"/>
      <c r="P325" s="16" t="s">
        <v>3519</v>
      </c>
      <c r="Q325" s="152" t="s">
        <v>4124</v>
      </c>
      <c r="R325" s="17"/>
      <c r="S325" s="16" t="s">
        <v>3671</v>
      </c>
      <c r="T325" s="17"/>
      <c r="U325" s="16" t="s">
        <v>3165</v>
      </c>
      <c r="V325" s="16" t="s">
        <v>3681</v>
      </c>
      <c r="W325" s="17"/>
      <c r="X325" s="17"/>
      <c r="Y325" s="16" t="s">
        <v>3165</v>
      </c>
      <c r="Z325" s="16" t="s">
        <v>3681</v>
      </c>
      <c r="AA325" s="17"/>
      <c r="AB325" s="17"/>
    </row>
    <row r="326">
      <c r="A326" s="16">
        <f t="shared" si="2"/>
        <v>325</v>
      </c>
      <c r="B326" s="16" t="s">
        <v>928</v>
      </c>
      <c r="C326" s="16" t="s">
        <v>929</v>
      </c>
      <c r="D326" s="16" t="s">
        <v>930</v>
      </c>
      <c r="E326" s="16" t="s">
        <v>3106</v>
      </c>
      <c r="F326" s="16" t="s">
        <v>10</v>
      </c>
      <c r="G326" s="16" t="s">
        <v>3715</v>
      </c>
      <c r="H326" s="16" t="s">
        <v>12</v>
      </c>
      <c r="I326" s="17"/>
      <c r="J326" s="16" t="s">
        <v>13</v>
      </c>
      <c r="K326" s="16" t="s">
        <v>93</v>
      </c>
      <c r="L326" s="154">
        <v>44105.0</v>
      </c>
      <c r="M326" s="16">
        <f t="shared" si="1"/>
        <v>6</v>
      </c>
      <c r="N326" s="17"/>
      <c r="O326" s="111"/>
      <c r="P326" s="16" t="s">
        <v>3519</v>
      </c>
      <c r="Q326" s="152" t="s">
        <v>4125</v>
      </c>
      <c r="R326" s="17"/>
      <c r="S326" s="16" t="s">
        <v>3671</v>
      </c>
      <c r="T326" s="17"/>
      <c r="U326" s="16" t="s">
        <v>3165</v>
      </c>
      <c r="V326" s="16" t="s">
        <v>3681</v>
      </c>
      <c r="W326" s="17"/>
      <c r="X326" s="17"/>
      <c r="Y326" s="16" t="s">
        <v>3165</v>
      </c>
      <c r="Z326" s="16" t="s">
        <v>3681</v>
      </c>
      <c r="AA326" s="17"/>
      <c r="AB326" s="17"/>
    </row>
    <row r="327">
      <c r="A327" s="16">
        <f t="shared" si="2"/>
        <v>326</v>
      </c>
      <c r="B327" s="16" t="s">
        <v>931</v>
      </c>
      <c r="C327" s="16" t="s">
        <v>932</v>
      </c>
      <c r="D327" s="16" t="s">
        <v>933</v>
      </c>
      <c r="E327" s="16" t="s">
        <v>3106</v>
      </c>
      <c r="F327" s="16" t="s">
        <v>10</v>
      </c>
      <c r="G327" s="16" t="s">
        <v>3669</v>
      </c>
      <c r="H327" s="16" t="s">
        <v>12</v>
      </c>
      <c r="I327" s="16" t="s">
        <v>3396</v>
      </c>
      <c r="J327" s="16" t="s">
        <v>13</v>
      </c>
      <c r="K327" s="16" t="s">
        <v>11</v>
      </c>
      <c r="L327" s="154">
        <v>44347.0</v>
      </c>
      <c r="M327" s="16">
        <f t="shared" si="1"/>
        <v>5</v>
      </c>
      <c r="N327" s="135">
        <v>5.0004077E7</v>
      </c>
      <c r="O327" s="17"/>
      <c r="P327" s="16" t="s">
        <v>3136</v>
      </c>
      <c r="Q327" s="152" t="s">
        <v>4126</v>
      </c>
      <c r="R327" s="17"/>
      <c r="S327" s="16" t="s">
        <v>3671</v>
      </c>
      <c r="T327" s="17"/>
      <c r="U327" s="16" t="s">
        <v>3165</v>
      </c>
      <c r="V327" s="16" t="s">
        <v>3681</v>
      </c>
      <c r="W327" s="17"/>
      <c r="X327" s="17"/>
      <c r="Y327" s="16" t="s">
        <v>3165</v>
      </c>
      <c r="Z327" s="16" t="s">
        <v>3681</v>
      </c>
      <c r="AA327" s="17"/>
      <c r="AB327" s="17"/>
    </row>
    <row r="328">
      <c r="A328" s="16">
        <f t="shared" si="2"/>
        <v>327</v>
      </c>
      <c r="B328" s="16" t="s">
        <v>934</v>
      </c>
      <c r="C328" s="16" t="s">
        <v>935</v>
      </c>
      <c r="D328" s="16" t="s">
        <v>936</v>
      </c>
      <c r="E328" s="16" t="s">
        <v>3106</v>
      </c>
      <c r="F328" s="16" t="s">
        <v>10</v>
      </c>
      <c r="G328" s="16" t="s">
        <v>3715</v>
      </c>
      <c r="H328" s="16" t="s">
        <v>12</v>
      </c>
      <c r="I328" s="17"/>
      <c r="J328" s="16" t="s">
        <v>13</v>
      </c>
      <c r="K328" s="16" t="s">
        <v>93</v>
      </c>
      <c r="L328" s="154">
        <v>44152.0</v>
      </c>
      <c r="M328" s="16">
        <f t="shared" si="1"/>
        <v>6</v>
      </c>
      <c r="N328" s="17"/>
      <c r="O328" s="111"/>
      <c r="P328" s="16" t="s">
        <v>3136</v>
      </c>
      <c r="Q328" s="152" t="s">
        <v>4127</v>
      </c>
      <c r="R328" s="17"/>
      <c r="S328" s="16" t="s">
        <v>3671</v>
      </c>
      <c r="T328" s="17"/>
      <c r="U328" s="16" t="s">
        <v>3165</v>
      </c>
      <c r="V328" s="16" t="s">
        <v>3681</v>
      </c>
      <c r="W328" s="17"/>
      <c r="X328" s="17"/>
      <c r="Y328" s="16" t="s">
        <v>3165</v>
      </c>
      <c r="Z328" s="16" t="s">
        <v>3681</v>
      </c>
      <c r="AA328" s="17"/>
      <c r="AB328" s="17"/>
    </row>
    <row r="329">
      <c r="A329" s="16">
        <f t="shared" si="2"/>
        <v>328</v>
      </c>
      <c r="B329" s="16" t="s">
        <v>937</v>
      </c>
      <c r="C329" s="16" t="s">
        <v>938</v>
      </c>
      <c r="D329" s="16" t="s">
        <v>939</v>
      </c>
      <c r="E329" s="16" t="s">
        <v>3106</v>
      </c>
      <c r="F329" s="16" t="s">
        <v>10</v>
      </c>
      <c r="G329" s="16" t="s">
        <v>3715</v>
      </c>
      <c r="H329" s="16" t="s">
        <v>12</v>
      </c>
      <c r="I329" s="17"/>
      <c r="J329" s="16" t="s">
        <v>13</v>
      </c>
      <c r="K329" s="16" t="s">
        <v>93</v>
      </c>
      <c r="L329" s="154">
        <v>44152.0</v>
      </c>
      <c r="M329" s="16">
        <f t="shared" si="1"/>
        <v>6</v>
      </c>
      <c r="N329" s="17"/>
      <c r="O329" s="111"/>
      <c r="P329" s="16" t="s">
        <v>3136</v>
      </c>
      <c r="Q329" s="152" t="s">
        <v>4128</v>
      </c>
      <c r="R329" s="17"/>
      <c r="S329" s="16" t="s">
        <v>3671</v>
      </c>
      <c r="T329" s="17"/>
      <c r="U329" s="16" t="s">
        <v>3165</v>
      </c>
      <c r="V329" s="16" t="s">
        <v>3681</v>
      </c>
      <c r="W329" s="17"/>
      <c r="X329" s="17"/>
      <c r="Y329" s="16" t="s">
        <v>3165</v>
      </c>
      <c r="Z329" s="16" t="s">
        <v>3681</v>
      </c>
      <c r="AA329" s="17"/>
      <c r="AB329" s="17"/>
    </row>
    <row r="330">
      <c r="A330" s="16">
        <f t="shared" si="2"/>
        <v>329</v>
      </c>
      <c r="B330" s="16" t="s">
        <v>940</v>
      </c>
      <c r="C330" s="16" t="s">
        <v>941</v>
      </c>
      <c r="D330" s="16" t="s">
        <v>942</v>
      </c>
      <c r="E330" s="16" t="s">
        <v>3106</v>
      </c>
      <c r="F330" s="16" t="s">
        <v>10</v>
      </c>
      <c r="G330" s="16" t="s">
        <v>775</v>
      </c>
      <c r="H330" s="16" t="s">
        <v>12</v>
      </c>
      <c r="I330" s="16" t="s">
        <v>4062</v>
      </c>
      <c r="J330" s="16" t="s">
        <v>79</v>
      </c>
      <c r="K330" s="16" t="s">
        <v>775</v>
      </c>
      <c r="L330" s="154">
        <v>44312.0</v>
      </c>
      <c r="M330" s="16">
        <f t="shared" si="1"/>
        <v>5</v>
      </c>
      <c r="N330" s="135">
        <v>5.0003988E7</v>
      </c>
      <c r="O330" s="17"/>
      <c r="P330" s="11"/>
      <c r="Q330" s="152" t="s">
        <v>4129</v>
      </c>
      <c r="R330" s="17"/>
      <c r="S330" s="16" t="s">
        <v>3671</v>
      </c>
      <c r="T330" s="17"/>
      <c r="U330" s="16" t="s">
        <v>3165</v>
      </c>
      <c r="V330" s="16" t="s">
        <v>3681</v>
      </c>
      <c r="W330" s="17"/>
      <c r="X330" s="17"/>
      <c r="Y330" s="16" t="s">
        <v>3165</v>
      </c>
      <c r="Z330" s="16" t="s">
        <v>3681</v>
      </c>
      <c r="AA330" s="17"/>
      <c r="AB330" s="17"/>
    </row>
    <row r="331">
      <c r="A331" s="16">
        <f t="shared" si="2"/>
        <v>330</v>
      </c>
      <c r="B331" s="16" t="s">
        <v>943</v>
      </c>
      <c r="C331" s="16">
        <v>6.0019743E7</v>
      </c>
      <c r="D331" s="16" t="s">
        <v>944</v>
      </c>
      <c r="E331" s="16" t="s">
        <v>3106</v>
      </c>
      <c r="F331" s="16" t="s">
        <v>10</v>
      </c>
      <c r="G331" s="16" t="s">
        <v>3787</v>
      </c>
      <c r="H331" s="16" t="s">
        <v>12</v>
      </c>
      <c r="I331" s="16" t="s">
        <v>3788</v>
      </c>
      <c r="J331" s="16" t="s">
        <v>36</v>
      </c>
      <c r="K331" s="16" t="s">
        <v>214</v>
      </c>
      <c r="L331" s="154">
        <v>44848.0</v>
      </c>
      <c r="M331" s="16">
        <f t="shared" si="1"/>
        <v>4</v>
      </c>
      <c r="N331" s="16">
        <v>4.500000469E9</v>
      </c>
      <c r="O331" s="17"/>
      <c r="P331" s="11"/>
      <c r="Q331" s="152" t="s">
        <v>4130</v>
      </c>
      <c r="R331" s="17"/>
      <c r="S331" s="16" t="s">
        <v>3671</v>
      </c>
      <c r="T331" s="17"/>
      <c r="U331" s="16" t="s">
        <v>3165</v>
      </c>
      <c r="V331" s="16" t="s">
        <v>3681</v>
      </c>
      <c r="W331" s="17"/>
      <c r="X331" s="17"/>
      <c r="Y331" s="16" t="s">
        <v>3165</v>
      </c>
      <c r="Z331" s="16" t="s">
        <v>3681</v>
      </c>
      <c r="AA331" s="17"/>
      <c r="AB331" s="17"/>
    </row>
    <row r="332">
      <c r="A332" s="16">
        <f t="shared" si="2"/>
        <v>331</v>
      </c>
      <c r="B332" s="16" t="s">
        <v>945</v>
      </c>
      <c r="C332" s="16" t="s">
        <v>946</v>
      </c>
      <c r="D332" s="16" t="s">
        <v>947</v>
      </c>
      <c r="E332" s="16" t="s">
        <v>3106</v>
      </c>
      <c r="F332" s="16" t="s">
        <v>10</v>
      </c>
      <c r="G332" s="16" t="s">
        <v>775</v>
      </c>
      <c r="H332" s="16" t="s">
        <v>12</v>
      </c>
      <c r="I332" s="16" t="s">
        <v>4062</v>
      </c>
      <c r="J332" s="16" t="s">
        <v>79</v>
      </c>
      <c r="K332" s="16" t="s">
        <v>775</v>
      </c>
      <c r="L332" s="154">
        <v>44312.0</v>
      </c>
      <c r="M332" s="16">
        <f t="shared" si="1"/>
        <v>5</v>
      </c>
      <c r="N332" s="135">
        <v>5.0003988E7</v>
      </c>
      <c r="O332" s="17"/>
      <c r="P332" s="11"/>
      <c r="Q332" s="152" t="s">
        <v>4131</v>
      </c>
      <c r="R332" s="17"/>
      <c r="S332" s="16" t="s">
        <v>3671</v>
      </c>
      <c r="T332" s="17"/>
      <c r="U332" s="16" t="s">
        <v>3165</v>
      </c>
      <c r="V332" s="16" t="s">
        <v>3681</v>
      </c>
      <c r="W332" s="17"/>
      <c r="X332" s="17"/>
      <c r="Y332" s="16" t="s">
        <v>3165</v>
      </c>
      <c r="Z332" s="16" t="s">
        <v>3681</v>
      </c>
      <c r="AA332" s="17"/>
      <c r="AB332" s="17"/>
    </row>
    <row r="333">
      <c r="A333" s="16">
        <f t="shared" si="2"/>
        <v>332</v>
      </c>
      <c r="B333" s="16" t="s">
        <v>948</v>
      </c>
      <c r="C333" s="16" t="s">
        <v>949</v>
      </c>
      <c r="D333" s="16" t="s">
        <v>950</v>
      </c>
      <c r="E333" s="16" t="s">
        <v>3106</v>
      </c>
      <c r="F333" s="16" t="s">
        <v>10</v>
      </c>
      <c r="G333" s="16" t="s">
        <v>775</v>
      </c>
      <c r="H333" s="16" t="s">
        <v>12</v>
      </c>
      <c r="I333" s="16" t="s">
        <v>4062</v>
      </c>
      <c r="J333" s="16" t="s">
        <v>79</v>
      </c>
      <c r="K333" s="16" t="s">
        <v>775</v>
      </c>
      <c r="L333" s="154">
        <v>44312.0</v>
      </c>
      <c r="M333" s="16">
        <f t="shared" si="1"/>
        <v>5</v>
      </c>
      <c r="N333" s="135">
        <v>5.0003988E7</v>
      </c>
      <c r="O333" s="17"/>
      <c r="P333" s="11"/>
      <c r="Q333" s="152" t="s">
        <v>4132</v>
      </c>
      <c r="R333" s="17"/>
      <c r="S333" s="16" t="s">
        <v>3671</v>
      </c>
      <c r="T333" s="17"/>
      <c r="U333" s="16" t="s">
        <v>3165</v>
      </c>
      <c r="V333" s="16" t="s">
        <v>3681</v>
      </c>
      <c r="W333" s="17"/>
      <c r="X333" s="17"/>
      <c r="Y333" s="16" t="s">
        <v>3165</v>
      </c>
      <c r="Z333" s="16" t="s">
        <v>3681</v>
      </c>
      <c r="AA333" s="17"/>
      <c r="AB333" s="17"/>
    </row>
    <row r="334">
      <c r="A334" s="16">
        <f t="shared" si="2"/>
        <v>333</v>
      </c>
      <c r="B334" s="16" t="s">
        <v>951</v>
      </c>
      <c r="C334" s="16" t="s">
        <v>952</v>
      </c>
      <c r="D334" s="16" t="s">
        <v>953</v>
      </c>
      <c r="E334" s="16" t="s">
        <v>3106</v>
      </c>
      <c r="F334" s="16" t="s">
        <v>10</v>
      </c>
      <c r="G334" s="16" t="s">
        <v>775</v>
      </c>
      <c r="H334" s="16" t="s">
        <v>12</v>
      </c>
      <c r="I334" s="16" t="s">
        <v>4062</v>
      </c>
      <c r="J334" s="16" t="s">
        <v>79</v>
      </c>
      <c r="K334" s="16" t="s">
        <v>775</v>
      </c>
      <c r="L334" s="154">
        <v>44312.0</v>
      </c>
      <c r="M334" s="16">
        <f t="shared" si="1"/>
        <v>5</v>
      </c>
      <c r="N334" s="135">
        <v>5.0003988E7</v>
      </c>
      <c r="O334" s="17"/>
      <c r="P334" s="11"/>
      <c r="Q334" s="152" t="s">
        <v>4133</v>
      </c>
      <c r="R334" s="17"/>
      <c r="S334" s="16" t="s">
        <v>3671</v>
      </c>
      <c r="T334" s="17"/>
      <c r="U334" s="16" t="s">
        <v>3165</v>
      </c>
      <c r="V334" s="16" t="s">
        <v>3681</v>
      </c>
      <c r="W334" s="17"/>
      <c r="X334" s="17"/>
      <c r="Y334" s="16" t="s">
        <v>3165</v>
      </c>
      <c r="Z334" s="16" t="s">
        <v>3681</v>
      </c>
      <c r="AA334" s="17"/>
      <c r="AB334" s="17"/>
    </row>
    <row r="335">
      <c r="A335" s="16">
        <f t="shared" si="2"/>
        <v>334</v>
      </c>
      <c r="B335" s="16" t="s">
        <v>954</v>
      </c>
      <c r="C335" s="16" t="s">
        <v>955</v>
      </c>
      <c r="D335" s="16" t="s">
        <v>956</v>
      </c>
      <c r="E335" s="16" t="s">
        <v>3106</v>
      </c>
      <c r="F335" s="16" t="s">
        <v>10</v>
      </c>
      <c r="G335" s="16" t="s">
        <v>775</v>
      </c>
      <c r="H335" s="16" t="s">
        <v>12</v>
      </c>
      <c r="I335" s="16" t="s">
        <v>4062</v>
      </c>
      <c r="J335" s="16" t="s">
        <v>79</v>
      </c>
      <c r="K335" s="16" t="s">
        <v>775</v>
      </c>
      <c r="L335" s="154">
        <v>44312.0</v>
      </c>
      <c r="M335" s="16">
        <f t="shared" si="1"/>
        <v>5</v>
      </c>
      <c r="N335" s="135">
        <v>5.0003988E7</v>
      </c>
      <c r="O335" s="17"/>
      <c r="P335" s="11"/>
      <c r="Q335" s="152" t="s">
        <v>4134</v>
      </c>
      <c r="R335" s="17"/>
      <c r="S335" s="16" t="s">
        <v>3671</v>
      </c>
      <c r="T335" s="17"/>
      <c r="U335" s="16" t="s">
        <v>3165</v>
      </c>
      <c r="V335" s="16" t="s">
        <v>3681</v>
      </c>
      <c r="W335" s="17"/>
      <c r="X335" s="17"/>
      <c r="Y335" s="16" t="s">
        <v>3165</v>
      </c>
      <c r="Z335" s="16" t="s">
        <v>3681</v>
      </c>
      <c r="AA335" s="17"/>
      <c r="AB335" s="17"/>
    </row>
    <row r="336">
      <c r="A336" s="16">
        <f t="shared" si="2"/>
        <v>335</v>
      </c>
      <c r="B336" s="16" t="s">
        <v>957</v>
      </c>
      <c r="C336" s="16" t="s">
        <v>958</v>
      </c>
      <c r="D336" s="16" t="s">
        <v>959</v>
      </c>
      <c r="E336" s="16" t="s">
        <v>3106</v>
      </c>
      <c r="F336" s="16" t="s">
        <v>10</v>
      </c>
      <c r="G336" s="16" t="s">
        <v>3715</v>
      </c>
      <c r="H336" s="16" t="s">
        <v>12</v>
      </c>
      <c r="I336" s="17"/>
      <c r="J336" s="16" t="s">
        <v>13</v>
      </c>
      <c r="K336" s="16" t="s">
        <v>93</v>
      </c>
      <c r="L336" s="154">
        <v>44105.0</v>
      </c>
      <c r="M336" s="16">
        <f t="shared" si="1"/>
        <v>6</v>
      </c>
      <c r="N336" s="17"/>
      <c r="O336" s="111"/>
      <c r="P336" s="11"/>
      <c r="Q336" s="152" t="s">
        <v>4135</v>
      </c>
      <c r="R336" s="17"/>
      <c r="S336" s="16" t="s">
        <v>3671</v>
      </c>
      <c r="T336" s="17"/>
      <c r="U336" s="16" t="s">
        <v>3165</v>
      </c>
      <c r="V336" s="16" t="s">
        <v>3681</v>
      </c>
      <c r="W336" s="17"/>
      <c r="X336" s="17"/>
      <c r="Y336" s="16" t="s">
        <v>3165</v>
      </c>
      <c r="Z336" s="16" t="s">
        <v>3681</v>
      </c>
      <c r="AA336" s="17"/>
      <c r="AB336" s="17"/>
    </row>
    <row r="337">
      <c r="A337" s="16">
        <f t="shared" si="2"/>
        <v>336</v>
      </c>
      <c r="B337" s="16" t="s">
        <v>960</v>
      </c>
      <c r="C337" s="16" t="s">
        <v>961</v>
      </c>
      <c r="D337" s="16" t="s">
        <v>962</v>
      </c>
      <c r="E337" s="16" t="s">
        <v>3106</v>
      </c>
      <c r="F337" s="16" t="s">
        <v>10</v>
      </c>
      <c r="G337" s="16" t="s">
        <v>775</v>
      </c>
      <c r="H337" s="16" t="s">
        <v>12</v>
      </c>
      <c r="I337" s="16" t="s">
        <v>4062</v>
      </c>
      <c r="J337" s="16" t="s">
        <v>79</v>
      </c>
      <c r="K337" s="16" t="s">
        <v>775</v>
      </c>
      <c r="L337" s="154">
        <v>44312.0</v>
      </c>
      <c r="M337" s="16">
        <f t="shared" si="1"/>
        <v>5</v>
      </c>
      <c r="N337" s="135">
        <v>5.0003988E7</v>
      </c>
      <c r="O337" s="17"/>
      <c r="P337" s="11"/>
      <c r="Q337" s="152" t="s">
        <v>4136</v>
      </c>
      <c r="R337" s="17"/>
      <c r="S337" s="16" t="s">
        <v>3671</v>
      </c>
      <c r="T337" s="17"/>
      <c r="U337" s="16" t="s">
        <v>3165</v>
      </c>
      <c r="V337" s="16" t="s">
        <v>3681</v>
      </c>
      <c r="W337" s="17"/>
      <c r="X337" s="17"/>
      <c r="Y337" s="16" t="s">
        <v>3165</v>
      </c>
      <c r="Z337" s="16" t="s">
        <v>3681</v>
      </c>
      <c r="AA337" s="17"/>
      <c r="AB337" s="17"/>
    </row>
    <row r="338">
      <c r="A338" s="16">
        <f t="shared" si="2"/>
        <v>337</v>
      </c>
      <c r="B338" s="16" t="s">
        <v>963</v>
      </c>
      <c r="C338" s="16" t="s">
        <v>964</v>
      </c>
      <c r="D338" s="16" t="s">
        <v>965</v>
      </c>
      <c r="E338" s="16" t="s">
        <v>3106</v>
      </c>
      <c r="F338" s="16" t="s">
        <v>10</v>
      </c>
      <c r="G338" s="16" t="s">
        <v>775</v>
      </c>
      <c r="H338" s="16" t="s">
        <v>12</v>
      </c>
      <c r="I338" s="16" t="s">
        <v>4062</v>
      </c>
      <c r="J338" s="16" t="s">
        <v>79</v>
      </c>
      <c r="K338" s="16" t="s">
        <v>775</v>
      </c>
      <c r="L338" s="154">
        <v>44312.0</v>
      </c>
      <c r="M338" s="16">
        <f t="shared" si="1"/>
        <v>5</v>
      </c>
      <c r="N338" s="135">
        <v>5.0003988E7</v>
      </c>
      <c r="O338" s="17"/>
      <c r="P338" s="11"/>
      <c r="Q338" s="152" t="s">
        <v>4137</v>
      </c>
      <c r="R338" s="17"/>
      <c r="S338" s="16" t="s">
        <v>3671</v>
      </c>
      <c r="T338" s="17"/>
      <c r="U338" s="16" t="s">
        <v>3165</v>
      </c>
      <c r="V338" s="16" t="s">
        <v>3681</v>
      </c>
      <c r="W338" s="17"/>
      <c r="X338" s="17"/>
      <c r="Y338" s="16" t="s">
        <v>3165</v>
      </c>
      <c r="Z338" s="16" t="s">
        <v>3681</v>
      </c>
      <c r="AA338" s="17"/>
      <c r="AB338" s="17"/>
    </row>
    <row r="339">
      <c r="A339" s="16">
        <f t="shared" si="2"/>
        <v>338</v>
      </c>
      <c r="B339" s="16" t="s">
        <v>966</v>
      </c>
      <c r="C339" s="16" t="s">
        <v>967</v>
      </c>
      <c r="D339" s="16" t="s">
        <v>968</v>
      </c>
      <c r="E339" s="16" t="s">
        <v>3106</v>
      </c>
      <c r="F339" s="16" t="s">
        <v>10</v>
      </c>
      <c r="G339" s="16" t="s">
        <v>775</v>
      </c>
      <c r="H339" s="16" t="s">
        <v>12</v>
      </c>
      <c r="I339" s="16" t="s">
        <v>4062</v>
      </c>
      <c r="J339" s="16" t="s">
        <v>79</v>
      </c>
      <c r="K339" s="16" t="s">
        <v>775</v>
      </c>
      <c r="L339" s="154">
        <v>44312.0</v>
      </c>
      <c r="M339" s="16">
        <f t="shared" si="1"/>
        <v>5</v>
      </c>
      <c r="N339" s="135">
        <v>5.0003988E7</v>
      </c>
      <c r="O339" s="17"/>
      <c r="P339" s="11"/>
      <c r="Q339" s="152" t="s">
        <v>4138</v>
      </c>
      <c r="R339" s="17"/>
      <c r="S339" s="16" t="s">
        <v>3671</v>
      </c>
      <c r="T339" s="17"/>
      <c r="U339" s="16" t="s">
        <v>3165</v>
      </c>
      <c r="V339" s="16" t="s">
        <v>3681</v>
      </c>
      <c r="W339" s="17"/>
      <c r="X339" s="17"/>
      <c r="Y339" s="16" t="s">
        <v>3165</v>
      </c>
      <c r="Z339" s="16" t="s">
        <v>3681</v>
      </c>
      <c r="AA339" s="17"/>
      <c r="AB339" s="17"/>
    </row>
    <row r="340">
      <c r="A340" s="16">
        <f t="shared" si="2"/>
        <v>339</v>
      </c>
      <c r="B340" s="16" t="s">
        <v>969</v>
      </c>
      <c r="C340" s="16" t="s">
        <v>970</v>
      </c>
      <c r="D340" s="16" t="s">
        <v>971</v>
      </c>
      <c r="E340" s="16" t="s">
        <v>3106</v>
      </c>
      <c r="F340" s="16" t="s">
        <v>10</v>
      </c>
      <c r="G340" s="16" t="s">
        <v>3669</v>
      </c>
      <c r="H340" s="16" t="s">
        <v>12</v>
      </c>
      <c r="I340" s="16" t="s">
        <v>3396</v>
      </c>
      <c r="J340" s="16" t="s">
        <v>13</v>
      </c>
      <c r="K340" s="16" t="s">
        <v>11</v>
      </c>
      <c r="L340" s="154">
        <v>44347.0</v>
      </c>
      <c r="M340" s="16">
        <f t="shared" si="1"/>
        <v>5</v>
      </c>
      <c r="N340" s="135">
        <v>5.0004077E7</v>
      </c>
      <c r="O340" s="17"/>
      <c r="P340" s="11"/>
      <c r="Q340" s="152" t="s">
        <v>4139</v>
      </c>
      <c r="R340" s="17"/>
      <c r="S340" s="16" t="s">
        <v>3671</v>
      </c>
      <c r="T340" s="17"/>
      <c r="U340" s="16" t="s">
        <v>3165</v>
      </c>
      <c r="V340" s="16" t="s">
        <v>3681</v>
      </c>
      <c r="W340" s="17"/>
      <c r="X340" s="17"/>
      <c r="Y340" s="16" t="s">
        <v>3165</v>
      </c>
      <c r="Z340" s="16" t="s">
        <v>3681</v>
      </c>
      <c r="AA340" s="17"/>
      <c r="AB340" s="17"/>
    </row>
    <row r="341">
      <c r="A341" s="16">
        <f t="shared" si="2"/>
        <v>340</v>
      </c>
      <c r="B341" s="16" t="s">
        <v>972</v>
      </c>
      <c r="C341" s="16" t="s">
        <v>973</v>
      </c>
      <c r="D341" s="16" t="s">
        <v>974</v>
      </c>
      <c r="E341" s="16" t="s">
        <v>3106</v>
      </c>
      <c r="F341" s="16" t="s">
        <v>10</v>
      </c>
      <c r="G341" s="16" t="s">
        <v>3715</v>
      </c>
      <c r="H341" s="16" t="s">
        <v>12</v>
      </c>
      <c r="I341" s="17"/>
      <c r="J341" s="16" t="s">
        <v>13</v>
      </c>
      <c r="K341" s="16" t="s">
        <v>93</v>
      </c>
      <c r="L341" s="154">
        <v>44105.0</v>
      </c>
      <c r="M341" s="16">
        <f t="shared" si="1"/>
        <v>6</v>
      </c>
      <c r="N341" s="17"/>
      <c r="O341" s="111"/>
      <c r="P341" s="11"/>
      <c r="Q341" s="152" t="s">
        <v>4140</v>
      </c>
      <c r="R341" s="17"/>
      <c r="S341" s="16" t="s">
        <v>3671</v>
      </c>
      <c r="T341" s="17"/>
      <c r="U341" s="16" t="s">
        <v>3165</v>
      </c>
      <c r="V341" s="16" t="s">
        <v>3681</v>
      </c>
      <c r="W341" s="17"/>
      <c r="X341" s="17"/>
      <c r="Y341" s="16" t="s">
        <v>3165</v>
      </c>
      <c r="Z341" s="16" t="s">
        <v>3681</v>
      </c>
      <c r="AA341" s="17"/>
      <c r="AB341" s="17"/>
    </row>
    <row r="342">
      <c r="A342" s="16">
        <f t="shared" si="2"/>
        <v>341</v>
      </c>
      <c r="B342" s="16" t="s">
        <v>975</v>
      </c>
      <c r="C342" s="16" t="s">
        <v>976</v>
      </c>
      <c r="D342" s="16" t="s">
        <v>977</v>
      </c>
      <c r="E342" s="16" t="s">
        <v>3106</v>
      </c>
      <c r="F342" s="16" t="s">
        <v>10</v>
      </c>
      <c r="G342" s="16" t="s">
        <v>3669</v>
      </c>
      <c r="H342" s="16" t="s">
        <v>12</v>
      </c>
      <c r="I342" s="16" t="s">
        <v>3396</v>
      </c>
      <c r="J342" s="16" t="s">
        <v>13</v>
      </c>
      <c r="K342" s="16" t="s">
        <v>11</v>
      </c>
      <c r="L342" s="154">
        <v>44347.0</v>
      </c>
      <c r="M342" s="16">
        <f t="shared" si="1"/>
        <v>5</v>
      </c>
      <c r="N342" s="135">
        <v>5.0004077E7</v>
      </c>
      <c r="O342" s="17"/>
      <c r="P342" s="11"/>
      <c r="Q342" s="152" t="s">
        <v>4141</v>
      </c>
      <c r="R342" s="17"/>
      <c r="S342" s="16" t="s">
        <v>3671</v>
      </c>
      <c r="T342" s="17"/>
      <c r="U342" s="16" t="s">
        <v>3165</v>
      </c>
      <c r="V342" s="16" t="s">
        <v>3681</v>
      </c>
      <c r="W342" s="17"/>
      <c r="X342" s="17"/>
      <c r="Y342" s="16" t="s">
        <v>3165</v>
      </c>
      <c r="Z342" s="16" t="s">
        <v>3681</v>
      </c>
      <c r="AA342" s="17"/>
      <c r="AB342" s="17"/>
    </row>
    <row r="343">
      <c r="A343" s="16">
        <f t="shared" si="2"/>
        <v>342</v>
      </c>
      <c r="B343" s="16" t="s">
        <v>978</v>
      </c>
      <c r="C343" s="16" t="s">
        <v>979</v>
      </c>
      <c r="D343" s="16" t="s">
        <v>980</v>
      </c>
      <c r="E343" s="16" t="s">
        <v>3106</v>
      </c>
      <c r="F343" s="16" t="s">
        <v>10</v>
      </c>
      <c r="G343" s="16" t="s">
        <v>4049</v>
      </c>
      <c r="H343" s="16" t="s">
        <v>12</v>
      </c>
      <c r="I343" s="17"/>
      <c r="J343" s="16" t="s">
        <v>36</v>
      </c>
      <c r="K343" s="16" t="s">
        <v>756</v>
      </c>
      <c r="L343" s="154">
        <v>43942.0</v>
      </c>
      <c r="M343" s="16">
        <f t="shared" si="1"/>
        <v>6</v>
      </c>
      <c r="N343" s="17"/>
      <c r="O343" s="111"/>
      <c r="P343" s="11"/>
      <c r="Q343" s="152" t="s">
        <v>4029</v>
      </c>
      <c r="R343" s="17"/>
      <c r="S343" s="16" t="s">
        <v>3671</v>
      </c>
      <c r="T343" s="17"/>
      <c r="U343" s="16" t="s">
        <v>3165</v>
      </c>
      <c r="V343" s="16" t="s">
        <v>3681</v>
      </c>
      <c r="W343" s="17"/>
      <c r="X343" s="17"/>
      <c r="Y343" s="16" t="s">
        <v>3165</v>
      </c>
      <c r="Z343" s="16" t="s">
        <v>3681</v>
      </c>
      <c r="AA343" s="17"/>
      <c r="AB343" s="17"/>
    </row>
    <row r="344">
      <c r="A344" s="16">
        <f t="shared" si="2"/>
        <v>343</v>
      </c>
      <c r="B344" s="16" t="s">
        <v>981</v>
      </c>
      <c r="C344" s="16" t="s">
        <v>982</v>
      </c>
      <c r="D344" s="16" t="s">
        <v>983</v>
      </c>
      <c r="E344" s="16" t="s">
        <v>3106</v>
      </c>
      <c r="F344" s="16" t="s">
        <v>10</v>
      </c>
      <c r="G344" s="16" t="s">
        <v>3715</v>
      </c>
      <c r="H344" s="16" t="s">
        <v>12</v>
      </c>
      <c r="I344" s="17"/>
      <c r="J344" s="16" t="s">
        <v>13</v>
      </c>
      <c r="K344" s="16" t="s">
        <v>93</v>
      </c>
      <c r="L344" s="154">
        <v>44152.0</v>
      </c>
      <c r="M344" s="16">
        <f t="shared" si="1"/>
        <v>6</v>
      </c>
      <c r="N344" s="17"/>
      <c r="O344" s="111"/>
      <c r="P344" s="11"/>
      <c r="Q344" s="152" t="s">
        <v>4032</v>
      </c>
      <c r="R344" s="17"/>
      <c r="S344" s="16" t="s">
        <v>3671</v>
      </c>
      <c r="T344" s="17"/>
      <c r="U344" s="16" t="s">
        <v>3165</v>
      </c>
      <c r="V344" s="16" t="s">
        <v>3681</v>
      </c>
      <c r="W344" s="17"/>
      <c r="X344" s="17"/>
      <c r="Y344" s="16" t="s">
        <v>3165</v>
      </c>
      <c r="Z344" s="16" t="s">
        <v>3681</v>
      </c>
      <c r="AA344" s="17"/>
      <c r="AB344" s="17"/>
    </row>
    <row r="345">
      <c r="A345" s="16">
        <f t="shared" si="2"/>
        <v>344</v>
      </c>
      <c r="B345" s="16" t="s">
        <v>984</v>
      </c>
      <c r="C345" s="16" t="s">
        <v>985</v>
      </c>
      <c r="D345" s="16" t="s">
        <v>986</v>
      </c>
      <c r="E345" s="16" t="s">
        <v>3106</v>
      </c>
      <c r="F345" s="16" t="s">
        <v>10</v>
      </c>
      <c r="G345" s="16" t="s">
        <v>3715</v>
      </c>
      <c r="H345" s="16" t="s">
        <v>12</v>
      </c>
      <c r="I345" s="17"/>
      <c r="J345" s="16" t="s">
        <v>13</v>
      </c>
      <c r="K345" s="16" t="s">
        <v>93</v>
      </c>
      <c r="L345" s="154">
        <v>44152.0</v>
      </c>
      <c r="M345" s="16">
        <f t="shared" si="1"/>
        <v>6</v>
      </c>
      <c r="N345" s="17"/>
      <c r="O345" s="111"/>
      <c r="P345" s="11"/>
      <c r="Q345" s="152" t="s">
        <v>4142</v>
      </c>
      <c r="R345" s="17"/>
      <c r="S345" s="16" t="s">
        <v>3671</v>
      </c>
      <c r="T345" s="17"/>
      <c r="U345" s="16" t="s">
        <v>3165</v>
      </c>
      <c r="V345" s="16" t="s">
        <v>3681</v>
      </c>
      <c r="W345" s="17"/>
      <c r="X345" s="17"/>
      <c r="Y345" s="16" t="s">
        <v>3165</v>
      </c>
      <c r="Z345" s="16" t="s">
        <v>3681</v>
      </c>
      <c r="AA345" s="17"/>
      <c r="AB345" s="17"/>
    </row>
    <row r="346">
      <c r="A346" s="16">
        <f t="shared" si="2"/>
        <v>345</v>
      </c>
      <c r="B346" s="16" t="s">
        <v>987</v>
      </c>
      <c r="C346" s="16">
        <v>6.0019744E7</v>
      </c>
      <c r="D346" s="16" t="s">
        <v>988</v>
      </c>
      <c r="E346" s="16" t="s">
        <v>3106</v>
      </c>
      <c r="F346" s="16" t="s">
        <v>10</v>
      </c>
      <c r="G346" s="16" t="s">
        <v>3787</v>
      </c>
      <c r="H346" s="16" t="s">
        <v>12</v>
      </c>
      <c r="I346" s="16" t="s">
        <v>3788</v>
      </c>
      <c r="J346" s="16" t="s">
        <v>36</v>
      </c>
      <c r="K346" s="16" t="s">
        <v>214</v>
      </c>
      <c r="L346" s="154">
        <v>44848.0</v>
      </c>
      <c r="M346" s="16">
        <f t="shared" si="1"/>
        <v>4</v>
      </c>
      <c r="N346" s="16">
        <v>4.500000469E9</v>
      </c>
      <c r="O346" s="17"/>
      <c r="P346" s="11"/>
      <c r="Q346" s="152" t="s">
        <v>4143</v>
      </c>
      <c r="R346" s="17"/>
      <c r="S346" s="16" t="s">
        <v>3671</v>
      </c>
      <c r="T346" s="17"/>
      <c r="U346" s="16" t="s">
        <v>3141</v>
      </c>
      <c r="V346" s="16" t="s">
        <v>3681</v>
      </c>
      <c r="W346" s="17"/>
      <c r="X346" s="17"/>
      <c r="Y346" s="16" t="s">
        <v>3141</v>
      </c>
      <c r="Z346" s="16" t="s">
        <v>3681</v>
      </c>
      <c r="AA346" s="17"/>
      <c r="AB346" s="17"/>
    </row>
    <row r="347">
      <c r="A347" s="16">
        <f t="shared" si="2"/>
        <v>346</v>
      </c>
      <c r="B347" s="16" t="s">
        <v>989</v>
      </c>
      <c r="C347" s="16">
        <v>6.0019745E7</v>
      </c>
      <c r="D347" s="16" t="s">
        <v>990</v>
      </c>
      <c r="E347" s="16" t="s">
        <v>3106</v>
      </c>
      <c r="F347" s="16" t="s">
        <v>10</v>
      </c>
      <c r="G347" s="16" t="s">
        <v>3787</v>
      </c>
      <c r="H347" s="16" t="s">
        <v>991</v>
      </c>
      <c r="I347" s="16" t="s">
        <v>3788</v>
      </c>
      <c r="J347" s="16" t="s">
        <v>36</v>
      </c>
      <c r="K347" s="16" t="s">
        <v>214</v>
      </c>
      <c r="L347" s="154">
        <v>44848.0</v>
      </c>
      <c r="M347" s="16">
        <f t="shared" si="1"/>
        <v>4</v>
      </c>
      <c r="N347" s="16">
        <v>4.500000469E9</v>
      </c>
      <c r="O347" s="16" t="s">
        <v>3670</v>
      </c>
      <c r="P347" s="11"/>
      <c r="Q347" s="152" t="s">
        <v>4144</v>
      </c>
      <c r="R347" s="118">
        <v>45681.0</v>
      </c>
      <c r="S347" s="16" t="s">
        <v>3671</v>
      </c>
      <c r="T347" s="16" t="s">
        <v>4145</v>
      </c>
      <c r="U347" s="16" t="s">
        <v>3165</v>
      </c>
      <c r="V347" s="16" t="s">
        <v>3681</v>
      </c>
      <c r="W347" s="17"/>
      <c r="X347" s="17"/>
      <c r="Y347" s="16" t="s">
        <v>3165</v>
      </c>
      <c r="Z347" s="16" t="s">
        <v>3681</v>
      </c>
      <c r="AA347" s="17"/>
      <c r="AB347" s="17"/>
    </row>
    <row r="348">
      <c r="A348" s="16">
        <f t="shared" si="2"/>
        <v>347</v>
      </c>
      <c r="B348" s="16" t="s">
        <v>992</v>
      </c>
      <c r="C348" s="16">
        <v>6.0019746E7</v>
      </c>
      <c r="D348" s="16" t="s">
        <v>993</v>
      </c>
      <c r="E348" s="16" t="s">
        <v>3106</v>
      </c>
      <c r="F348" s="16" t="s">
        <v>10</v>
      </c>
      <c r="G348" s="16" t="s">
        <v>3787</v>
      </c>
      <c r="H348" s="16" t="s">
        <v>12</v>
      </c>
      <c r="I348" s="16" t="s">
        <v>3788</v>
      </c>
      <c r="J348" s="16" t="s">
        <v>36</v>
      </c>
      <c r="K348" s="16" t="s">
        <v>214</v>
      </c>
      <c r="L348" s="154">
        <v>44848.0</v>
      </c>
      <c r="M348" s="16">
        <f t="shared" si="1"/>
        <v>4</v>
      </c>
      <c r="N348" s="16">
        <v>4.500000469E9</v>
      </c>
      <c r="O348" s="17"/>
      <c r="P348" s="11"/>
      <c r="Q348" s="152" t="s">
        <v>4146</v>
      </c>
      <c r="R348" s="17"/>
      <c r="S348" s="16" t="s">
        <v>3671</v>
      </c>
      <c r="T348" s="17"/>
      <c r="U348" s="16" t="s">
        <v>3165</v>
      </c>
      <c r="V348" s="16" t="s">
        <v>3681</v>
      </c>
      <c r="W348" s="17"/>
      <c r="X348" s="17"/>
      <c r="Y348" s="16" t="s">
        <v>3165</v>
      </c>
      <c r="Z348" s="16" t="s">
        <v>3681</v>
      </c>
      <c r="AA348" s="17"/>
      <c r="AB348" s="17"/>
    </row>
    <row r="349">
      <c r="A349" s="16">
        <f t="shared" si="2"/>
        <v>348</v>
      </c>
      <c r="B349" s="16" t="s">
        <v>994</v>
      </c>
      <c r="C349" s="16" t="s">
        <v>995</v>
      </c>
      <c r="D349" s="16" t="s">
        <v>996</v>
      </c>
      <c r="E349" s="16" t="s">
        <v>3106</v>
      </c>
      <c r="F349" s="16" t="s">
        <v>10</v>
      </c>
      <c r="G349" s="16" t="s">
        <v>4049</v>
      </c>
      <c r="H349" s="16" t="s">
        <v>12</v>
      </c>
      <c r="I349" s="17"/>
      <c r="J349" s="16" t="s">
        <v>36</v>
      </c>
      <c r="K349" s="16" t="s">
        <v>756</v>
      </c>
      <c r="L349" s="154">
        <v>43942.0</v>
      </c>
      <c r="M349" s="16">
        <f t="shared" si="1"/>
        <v>6</v>
      </c>
      <c r="N349" s="17"/>
      <c r="O349" s="111"/>
      <c r="P349" s="11"/>
      <c r="Q349" s="152" t="s">
        <v>4035</v>
      </c>
      <c r="R349" s="17"/>
      <c r="S349" s="16" t="s">
        <v>3671</v>
      </c>
      <c r="T349" s="17"/>
      <c r="U349" s="16" t="s">
        <v>3165</v>
      </c>
      <c r="V349" s="16" t="s">
        <v>3681</v>
      </c>
      <c r="W349" s="17"/>
      <c r="X349" s="17"/>
      <c r="Y349" s="16" t="s">
        <v>3165</v>
      </c>
      <c r="Z349" s="16" t="s">
        <v>3681</v>
      </c>
      <c r="AA349" s="17"/>
      <c r="AB349" s="17"/>
    </row>
    <row r="350">
      <c r="A350" s="16">
        <f t="shared" si="2"/>
        <v>349</v>
      </c>
      <c r="B350" s="16" t="s">
        <v>997</v>
      </c>
      <c r="C350" s="16" t="s">
        <v>998</v>
      </c>
      <c r="D350" s="16" t="s">
        <v>999</v>
      </c>
      <c r="E350" s="16" t="s">
        <v>3106</v>
      </c>
      <c r="F350" s="16" t="s">
        <v>10</v>
      </c>
      <c r="G350" s="16" t="s">
        <v>4049</v>
      </c>
      <c r="H350" s="16" t="s">
        <v>12</v>
      </c>
      <c r="I350" s="17"/>
      <c r="J350" s="16" t="s">
        <v>36</v>
      </c>
      <c r="K350" s="16" t="s">
        <v>756</v>
      </c>
      <c r="L350" s="154">
        <v>43942.0</v>
      </c>
      <c r="M350" s="16">
        <f t="shared" si="1"/>
        <v>6</v>
      </c>
      <c r="N350" s="17"/>
      <c r="O350" s="111"/>
      <c r="P350" s="17"/>
      <c r="Q350" s="152" t="s">
        <v>4147</v>
      </c>
      <c r="R350" s="17"/>
      <c r="S350" s="16" t="s">
        <v>3671</v>
      </c>
      <c r="T350" s="17"/>
      <c r="U350" s="16" t="s">
        <v>3165</v>
      </c>
      <c r="V350" s="16" t="s">
        <v>3681</v>
      </c>
      <c r="W350" s="17"/>
      <c r="X350" s="17"/>
      <c r="Y350" s="16" t="s">
        <v>3165</v>
      </c>
      <c r="Z350" s="16" t="s">
        <v>3681</v>
      </c>
      <c r="AA350" s="17"/>
      <c r="AB350" s="17"/>
    </row>
    <row r="351">
      <c r="A351" s="16">
        <f t="shared" si="2"/>
        <v>350</v>
      </c>
      <c r="B351" s="16" t="s">
        <v>1000</v>
      </c>
      <c r="C351" s="16" t="s">
        <v>1001</v>
      </c>
      <c r="D351" s="16" t="s">
        <v>1002</v>
      </c>
      <c r="E351" s="16" t="s">
        <v>3106</v>
      </c>
      <c r="F351" s="16" t="s">
        <v>10</v>
      </c>
      <c r="G351" s="16" t="s">
        <v>3669</v>
      </c>
      <c r="H351" s="16" t="s">
        <v>12</v>
      </c>
      <c r="I351" s="16" t="s">
        <v>3396</v>
      </c>
      <c r="J351" s="16" t="s">
        <v>13</v>
      </c>
      <c r="K351" s="16" t="s">
        <v>11</v>
      </c>
      <c r="L351" s="154">
        <v>44347.0</v>
      </c>
      <c r="M351" s="16">
        <f t="shared" si="1"/>
        <v>5</v>
      </c>
      <c r="N351" s="135">
        <v>5.0004077E7</v>
      </c>
      <c r="O351" s="17"/>
      <c r="P351" s="17"/>
      <c r="Q351" s="152" t="s">
        <v>4148</v>
      </c>
      <c r="R351" s="17"/>
      <c r="S351" s="16" t="s">
        <v>3671</v>
      </c>
      <c r="T351" s="17"/>
      <c r="U351" s="16" t="s">
        <v>3165</v>
      </c>
      <c r="V351" s="16" t="s">
        <v>3681</v>
      </c>
      <c r="W351" s="17"/>
      <c r="X351" s="17"/>
      <c r="Y351" s="16" t="s">
        <v>3165</v>
      </c>
      <c r="Z351" s="16" t="s">
        <v>3681</v>
      </c>
      <c r="AA351" s="17"/>
      <c r="AB351" s="17"/>
    </row>
    <row r="352">
      <c r="A352" s="16">
        <f t="shared" si="2"/>
        <v>351</v>
      </c>
      <c r="B352" s="16" t="s">
        <v>1003</v>
      </c>
      <c r="C352" s="16" t="s">
        <v>1004</v>
      </c>
      <c r="D352" s="16" t="s">
        <v>1005</v>
      </c>
      <c r="E352" s="16" t="s">
        <v>3106</v>
      </c>
      <c r="F352" s="16" t="s">
        <v>10</v>
      </c>
      <c r="G352" s="16" t="s">
        <v>3715</v>
      </c>
      <c r="H352" s="16" t="s">
        <v>12</v>
      </c>
      <c r="I352" s="17"/>
      <c r="J352" s="16" t="s">
        <v>13</v>
      </c>
      <c r="K352" s="16" t="s">
        <v>93</v>
      </c>
      <c r="L352" s="154">
        <v>44152.0</v>
      </c>
      <c r="M352" s="16">
        <f t="shared" si="1"/>
        <v>6</v>
      </c>
      <c r="N352" s="17"/>
      <c r="O352" s="111"/>
      <c r="P352" s="17"/>
      <c r="Q352" s="152" t="s">
        <v>4026</v>
      </c>
      <c r="R352" s="17"/>
      <c r="S352" s="16" t="s">
        <v>3671</v>
      </c>
      <c r="T352" s="17"/>
      <c r="U352" s="16" t="s">
        <v>3165</v>
      </c>
      <c r="V352" s="16" t="s">
        <v>3681</v>
      </c>
      <c r="W352" s="17"/>
      <c r="X352" s="17"/>
      <c r="Y352" s="16" t="s">
        <v>3165</v>
      </c>
      <c r="Z352" s="16" t="s">
        <v>3681</v>
      </c>
      <c r="AA352" s="17"/>
      <c r="AB352" s="17"/>
    </row>
    <row r="353">
      <c r="A353" s="16">
        <f t="shared" si="2"/>
        <v>352</v>
      </c>
      <c r="B353" s="16" t="s">
        <v>1006</v>
      </c>
      <c r="C353" s="16" t="s">
        <v>1007</v>
      </c>
      <c r="D353" s="16" t="s">
        <v>1008</v>
      </c>
      <c r="E353" s="16" t="s">
        <v>3106</v>
      </c>
      <c r="F353" s="16" t="s">
        <v>10</v>
      </c>
      <c r="G353" s="16" t="s">
        <v>775</v>
      </c>
      <c r="H353" s="16" t="s">
        <v>12</v>
      </c>
      <c r="I353" s="16" t="s">
        <v>4062</v>
      </c>
      <c r="J353" s="16" t="s">
        <v>79</v>
      </c>
      <c r="K353" s="16" t="s">
        <v>775</v>
      </c>
      <c r="L353" s="154">
        <v>44312.0</v>
      </c>
      <c r="M353" s="16">
        <f t="shared" si="1"/>
        <v>5</v>
      </c>
      <c r="N353" s="135">
        <v>5.0003988E7</v>
      </c>
      <c r="O353" s="17"/>
      <c r="P353" s="17"/>
      <c r="Q353" s="152" t="s">
        <v>4001</v>
      </c>
      <c r="R353" s="17"/>
      <c r="S353" s="16" t="s">
        <v>3671</v>
      </c>
      <c r="T353" s="17"/>
      <c r="U353" s="16" t="s">
        <v>3165</v>
      </c>
      <c r="V353" s="16" t="s">
        <v>3681</v>
      </c>
      <c r="W353" s="17"/>
      <c r="X353" s="17"/>
      <c r="Y353" s="16" t="s">
        <v>3165</v>
      </c>
      <c r="Z353" s="16" t="s">
        <v>3681</v>
      </c>
      <c r="AA353" s="17"/>
      <c r="AB353" s="17"/>
    </row>
    <row r="354">
      <c r="A354" s="16">
        <f t="shared" si="2"/>
        <v>353</v>
      </c>
      <c r="B354" s="16" t="s">
        <v>1009</v>
      </c>
      <c r="C354" s="16" t="s">
        <v>1010</v>
      </c>
      <c r="D354" s="16" t="s">
        <v>1011</v>
      </c>
      <c r="E354" s="16" t="s">
        <v>3106</v>
      </c>
      <c r="F354" s="16" t="s">
        <v>10</v>
      </c>
      <c r="G354" s="16" t="s">
        <v>4049</v>
      </c>
      <c r="H354" s="16" t="s">
        <v>12</v>
      </c>
      <c r="I354" s="17"/>
      <c r="J354" s="16" t="s">
        <v>36</v>
      </c>
      <c r="K354" s="16" t="s">
        <v>756</v>
      </c>
      <c r="L354" s="154">
        <v>43942.0</v>
      </c>
      <c r="M354" s="16">
        <f t="shared" si="1"/>
        <v>6</v>
      </c>
      <c r="N354" s="17"/>
      <c r="O354" s="111"/>
      <c r="P354" s="11"/>
      <c r="Q354" s="152" t="s">
        <v>4149</v>
      </c>
      <c r="R354" s="17"/>
      <c r="S354" s="16" t="s">
        <v>3671</v>
      </c>
      <c r="T354" s="17"/>
      <c r="U354" s="16" t="s">
        <v>3165</v>
      </c>
      <c r="V354" s="16" t="s">
        <v>3681</v>
      </c>
      <c r="W354" s="17"/>
      <c r="X354" s="17"/>
      <c r="Y354" s="16" t="s">
        <v>3165</v>
      </c>
      <c r="Z354" s="16" t="s">
        <v>3681</v>
      </c>
      <c r="AA354" s="17"/>
      <c r="AB354" s="17"/>
    </row>
    <row r="355">
      <c r="A355" s="16">
        <f t="shared" si="2"/>
        <v>354</v>
      </c>
      <c r="B355" s="16" t="s">
        <v>1012</v>
      </c>
      <c r="C355" s="16" t="s">
        <v>1013</v>
      </c>
      <c r="D355" s="16" t="s">
        <v>1014</v>
      </c>
      <c r="E355" s="16" t="s">
        <v>3106</v>
      </c>
      <c r="F355" s="16" t="s">
        <v>10</v>
      </c>
      <c r="G355" s="16" t="s">
        <v>3715</v>
      </c>
      <c r="H355" s="16" t="s">
        <v>12</v>
      </c>
      <c r="I355" s="17"/>
      <c r="J355" s="16" t="s">
        <v>13</v>
      </c>
      <c r="K355" s="16" t="s">
        <v>93</v>
      </c>
      <c r="L355" s="154">
        <v>44152.0</v>
      </c>
      <c r="M355" s="16">
        <f t="shared" si="1"/>
        <v>6</v>
      </c>
      <c r="N355" s="17"/>
      <c r="O355" s="111"/>
      <c r="P355" s="11"/>
      <c r="Q355" s="152" t="s">
        <v>4150</v>
      </c>
      <c r="R355" s="17"/>
      <c r="S355" s="16" t="s">
        <v>3671</v>
      </c>
      <c r="T355" s="17"/>
      <c r="U355" s="16" t="s">
        <v>3165</v>
      </c>
      <c r="V355" s="16" t="s">
        <v>3681</v>
      </c>
      <c r="W355" s="17"/>
      <c r="X355" s="17"/>
      <c r="Y355" s="16" t="s">
        <v>3165</v>
      </c>
      <c r="Z355" s="16" t="s">
        <v>3681</v>
      </c>
      <c r="AA355" s="17"/>
      <c r="AB355" s="17"/>
    </row>
    <row r="356">
      <c r="A356" s="16">
        <f t="shared" si="2"/>
        <v>355</v>
      </c>
      <c r="B356" s="16" t="s">
        <v>1015</v>
      </c>
      <c r="C356" s="16" t="s">
        <v>1016</v>
      </c>
      <c r="D356" s="16" t="s">
        <v>1017</v>
      </c>
      <c r="E356" s="16" t="s">
        <v>3106</v>
      </c>
      <c r="F356" s="16" t="s">
        <v>10</v>
      </c>
      <c r="G356" s="16" t="s">
        <v>3669</v>
      </c>
      <c r="H356" s="16" t="s">
        <v>12</v>
      </c>
      <c r="I356" s="16" t="s">
        <v>3396</v>
      </c>
      <c r="J356" s="16" t="s">
        <v>13</v>
      </c>
      <c r="K356" s="16" t="s">
        <v>11</v>
      </c>
      <c r="L356" s="154">
        <v>44347.0</v>
      </c>
      <c r="M356" s="16">
        <f t="shared" si="1"/>
        <v>5</v>
      </c>
      <c r="N356" s="135">
        <v>5.0004077E7</v>
      </c>
      <c r="O356" s="17"/>
      <c r="Q356" s="152" t="s">
        <v>4151</v>
      </c>
      <c r="R356" s="17"/>
      <c r="S356" s="16" t="s">
        <v>3671</v>
      </c>
      <c r="T356" s="17"/>
      <c r="U356" s="16" t="s">
        <v>3165</v>
      </c>
      <c r="V356" s="16" t="s">
        <v>3681</v>
      </c>
      <c r="W356" s="17"/>
      <c r="X356" s="17"/>
      <c r="Y356" s="16" t="s">
        <v>3165</v>
      </c>
      <c r="Z356" s="16" t="s">
        <v>3681</v>
      </c>
      <c r="AA356" s="17"/>
      <c r="AB356" s="17"/>
    </row>
    <row r="357">
      <c r="A357" s="16">
        <f t="shared" si="2"/>
        <v>356</v>
      </c>
      <c r="B357" s="16" t="s">
        <v>1018</v>
      </c>
      <c r="C357" s="16" t="s">
        <v>1019</v>
      </c>
      <c r="D357" s="16" t="s">
        <v>1020</v>
      </c>
      <c r="E357" s="16" t="s">
        <v>3106</v>
      </c>
      <c r="F357" s="16" t="s">
        <v>10</v>
      </c>
      <c r="G357" s="16" t="s">
        <v>3669</v>
      </c>
      <c r="H357" s="16" t="s">
        <v>12</v>
      </c>
      <c r="I357" s="16" t="s">
        <v>3396</v>
      </c>
      <c r="J357" s="16" t="s">
        <v>13</v>
      </c>
      <c r="K357" s="16" t="s">
        <v>11</v>
      </c>
      <c r="L357" s="154">
        <v>44347.0</v>
      </c>
      <c r="M357" s="16">
        <f t="shared" si="1"/>
        <v>5</v>
      </c>
      <c r="N357" s="135">
        <v>5.0004077E7</v>
      </c>
      <c r="O357" s="17"/>
      <c r="Q357" s="152" t="s">
        <v>4152</v>
      </c>
      <c r="R357" s="17"/>
      <c r="S357" s="16" t="s">
        <v>3671</v>
      </c>
      <c r="T357" s="17"/>
      <c r="U357" s="16" t="s">
        <v>3165</v>
      </c>
      <c r="V357" s="16" t="s">
        <v>3681</v>
      </c>
      <c r="W357" s="17"/>
      <c r="X357" s="17"/>
      <c r="Y357" s="16" t="s">
        <v>3165</v>
      </c>
      <c r="Z357" s="16" t="s">
        <v>3681</v>
      </c>
      <c r="AA357" s="17"/>
      <c r="AB357" s="17"/>
    </row>
    <row r="358">
      <c r="A358" s="16">
        <f t="shared" si="2"/>
        <v>357</v>
      </c>
      <c r="B358" s="16" t="s">
        <v>1021</v>
      </c>
      <c r="C358" s="16">
        <v>6.0019747E7</v>
      </c>
      <c r="D358" s="16" t="s">
        <v>1022</v>
      </c>
      <c r="E358" s="16" t="s">
        <v>3106</v>
      </c>
      <c r="F358" s="16" t="s">
        <v>10</v>
      </c>
      <c r="G358" s="16" t="s">
        <v>3787</v>
      </c>
      <c r="H358" s="16" t="s">
        <v>12</v>
      </c>
      <c r="I358" s="16" t="s">
        <v>3788</v>
      </c>
      <c r="J358" s="16" t="s">
        <v>36</v>
      </c>
      <c r="K358" s="16" t="s">
        <v>214</v>
      </c>
      <c r="L358" s="154">
        <v>44848.0</v>
      </c>
      <c r="M358" s="16">
        <f t="shared" si="1"/>
        <v>4</v>
      </c>
      <c r="N358" s="16">
        <v>4.500000469E9</v>
      </c>
      <c r="O358" s="17"/>
      <c r="Q358" s="152" t="s">
        <v>4153</v>
      </c>
      <c r="R358" s="17"/>
      <c r="S358" s="16" t="s">
        <v>3671</v>
      </c>
      <c r="T358" s="17"/>
      <c r="U358" s="16" t="s">
        <v>3165</v>
      </c>
      <c r="V358" s="16" t="s">
        <v>3681</v>
      </c>
      <c r="W358" s="17"/>
      <c r="X358" s="17"/>
      <c r="Y358" s="16" t="s">
        <v>3165</v>
      </c>
      <c r="Z358" s="16" t="s">
        <v>3681</v>
      </c>
      <c r="AA358" s="17"/>
      <c r="AB358" s="17"/>
    </row>
    <row r="359">
      <c r="A359" s="16">
        <f t="shared" si="2"/>
        <v>358</v>
      </c>
      <c r="B359" s="16" t="s">
        <v>1023</v>
      </c>
      <c r="C359" s="16" t="s">
        <v>1024</v>
      </c>
      <c r="D359" s="16" t="s">
        <v>1025</v>
      </c>
      <c r="E359" s="16" t="s">
        <v>3106</v>
      </c>
      <c r="F359" s="16" t="s">
        <v>10</v>
      </c>
      <c r="G359" s="16" t="s">
        <v>775</v>
      </c>
      <c r="H359" s="16" t="s">
        <v>12</v>
      </c>
      <c r="I359" s="16" t="s">
        <v>4062</v>
      </c>
      <c r="J359" s="16" t="s">
        <v>79</v>
      </c>
      <c r="K359" s="16" t="s">
        <v>775</v>
      </c>
      <c r="L359" s="154">
        <v>44312.0</v>
      </c>
      <c r="M359" s="16">
        <f t="shared" si="1"/>
        <v>5</v>
      </c>
      <c r="N359" s="135">
        <v>5.0003988E7</v>
      </c>
      <c r="O359" s="17"/>
      <c r="Q359" s="152" t="s">
        <v>4154</v>
      </c>
      <c r="R359" s="17"/>
      <c r="S359" s="16" t="s">
        <v>3671</v>
      </c>
      <c r="T359" s="17"/>
      <c r="U359" s="16" t="s">
        <v>3165</v>
      </c>
      <c r="V359" s="16" t="s">
        <v>3681</v>
      </c>
      <c r="W359" s="17"/>
      <c r="X359" s="17"/>
      <c r="Y359" s="16" t="s">
        <v>3165</v>
      </c>
      <c r="Z359" s="16" t="s">
        <v>3681</v>
      </c>
      <c r="AA359" s="17"/>
      <c r="AB359" s="17"/>
    </row>
    <row r="360">
      <c r="A360" s="16">
        <f t="shared" si="2"/>
        <v>359</v>
      </c>
      <c r="B360" s="16" t="s">
        <v>1026</v>
      </c>
      <c r="C360" s="16">
        <v>6.0019748E7</v>
      </c>
      <c r="D360" s="16" t="s">
        <v>1027</v>
      </c>
      <c r="E360" s="16" t="s">
        <v>3106</v>
      </c>
      <c r="F360" s="16" t="s">
        <v>10</v>
      </c>
      <c r="G360" s="16" t="s">
        <v>3787</v>
      </c>
      <c r="H360" s="16" t="s">
        <v>12</v>
      </c>
      <c r="I360" s="16" t="s">
        <v>3788</v>
      </c>
      <c r="J360" s="16" t="s">
        <v>36</v>
      </c>
      <c r="K360" s="16" t="s">
        <v>214</v>
      </c>
      <c r="L360" s="154">
        <v>44848.0</v>
      </c>
      <c r="M360" s="16">
        <f t="shared" si="1"/>
        <v>4</v>
      </c>
      <c r="N360" s="16">
        <v>4.500000469E9</v>
      </c>
      <c r="O360" s="16" t="s">
        <v>3831</v>
      </c>
      <c r="Q360" s="152" t="s">
        <v>4155</v>
      </c>
      <c r="R360" s="115">
        <v>45098.0</v>
      </c>
      <c r="S360" s="16" t="s">
        <v>3671</v>
      </c>
      <c r="T360" s="17"/>
      <c r="U360" s="16" t="s">
        <v>3165</v>
      </c>
      <c r="V360" s="16" t="s">
        <v>3681</v>
      </c>
      <c r="W360" s="17"/>
      <c r="X360" s="17"/>
      <c r="Y360" s="16" t="s">
        <v>3165</v>
      </c>
      <c r="Z360" s="16" t="s">
        <v>3681</v>
      </c>
      <c r="AA360" s="17"/>
      <c r="AB360" s="17"/>
    </row>
    <row r="361">
      <c r="A361" s="16">
        <f t="shared" si="2"/>
        <v>360</v>
      </c>
      <c r="B361" s="16" t="s">
        <v>1028</v>
      </c>
      <c r="C361" s="16" t="s">
        <v>1029</v>
      </c>
      <c r="D361" s="16" t="s">
        <v>1030</v>
      </c>
      <c r="E361" s="16" t="s">
        <v>3106</v>
      </c>
      <c r="F361" s="16" t="s">
        <v>10</v>
      </c>
      <c r="G361" s="16" t="s">
        <v>775</v>
      </c>
      <c r="H361" s="16" t="s">
        <v>12</v>
      </c>
      <c r="I361" s="16" t="s">
        <v>4062</v>
      </c>
      <c r="J361" s="16" t="s">
        <v>79</v>
      </c>
      <c r="K361" s="16" t="s">
        <v>775</v>
      </c>
      <c r="L361" s="154">
        <v>44312.0</v>
      </c>
      <c r="M361" s="16">
        <f t="shared" si="1"/>
        <v>5</v>
      </c>
      <c r="N361" s="135">
        <v>5.0003988E7</v>
      </c>
      <c r="O361" s="16" t="s">
        <v>3832</v>
      </c>
      <c r="Q361" s="152" t="s">
        <v>4047</v>
      </c>
      <c r="R361" s="115">
        <v>45511.0</v>
      </c>
      <c r="S361" s="16" t="s">
        <v>3671</v>
      </c>
      <c r="T361" s="16" t="s">
        <v>4156</v>
      </c>
      <c r="U361" s="16" t="s">
        <v>3165</v>
      </c>
      <c r="V361" s="16" t="s">
        <v>3681</v>
      </c>
      <c r="W361" s="17"/>
      <c r="X361" s="16" t="s">
        <v>4156</v>
      </c>
      <c r="Y361" s="16" t="s">
        <v>3165</v>
      </c>
      <c r="Z361" s="16" t="s">
        <v>3681</v>
      </c>
      <c r="AA361" s="17"/>
      <c r="AB361" s="17"/>
    </row>
    <row r="362">
      <c r="A362" s="16">
        <f t="shared" si="2"/>
        <v>361</v>
      </c>
      <c r="B362" s="16" t="s">
        <v>1031</v>
      </c>
      <c r="C362" s="16" t="s">
        <v>1032</v>
      </c>
      <c r="D362" s="16" t="s">
        <v>1033</v>
      </c>
      <c r="E362" s="16" t="s">
        <v>3106</v>
      </c>
      <c r="F362" s="16" t="s">
        <v>10</v>
      </c>
      <c r="G362" s="16" t="s">
        <v>775</v>
      </c>
      <c r="H362" s="16" t="s">
        <v>12</v>
      </c>
      <c r="I362" s="16" t="s">
        <v>4062</v>
      </c>
      <c r="J362" s="16" t="s">
        <v>79</v>
      </c>
      <c r="K362" s="16" t="s">
        <v>775</v>
      </c>
      <c r="L362" s="154">
        <v>44312.0</v>
      </c>
      <c r="M362" s="16">
        <f t="shared" si="1"/>
        <v>5</v>
      </c>
      <c r="N362" s="135">
        <v>5.0003988E7</v>
      </c>
      <c r="O362" s="17"/>
      <c r="Q362" s="152" t="s">
        <v>4157</v>
      </c>
      <c r="R362" s="17"/>
      <c r="S362" s="16" t="s">
        <v>3671</v>
      </c>
      <c r="T362" s="17"/>
      <c r="U362" s="16" t="s">
        <v>3165</v>
      </c>
      <c r="V362" s="16" t="s">
        <v>3681</v>
      </c>
      <c r="W362" s="17"/>
      <c r="X362" s="17"/>
      <c r="Y362" s="16" t="s">
        <v>3165</v>
      </c>
      <c r="Z362" s="16" t="s">
        <v>3681</v>
      </c>
      <c r="AA362" s="17"/>
      <c r="AB362" s="17"/>
    </row>
    <row r="363">
      <c r="A363" s="16">
        <f t="shared" si="2"/>
        <v>362</v>
      </c>
      <c r="B363" s="16" t="s">
        <v>1034</v>
      </c>
      <c r="C363" s="16" t="s">
        <v>1035</v>
      </c>
      <c r="D363" s="16" t="s">
        <v>1036</v>
      </c>
      <c r="E363" s="16" t="s">
        <v>3106</v>
      </c>
      <c r="F363" s="16" t="s">
        <v>10</v>
      </c>
      <c r="G363" s="16" t="s">
        <v>3715</v>
      </c>
      <c r="H363" s="16" t="s">
        <v>12</v>
      </c>
      <c r="I363" s="17"/>
      <c r="J363" s="16" t="s">
        <v>13</v>
      </c>
      <c r="K363" s="16" t="s">
        <v>93</v>
      </c>
      <c r="L363" s="154">
        <v>44152.0</v>
      </c>
      <c r="M363" s="16">
        <f t="shared" si="1"/>
        <v>6</v>
      </c>
      <c r="N363" s="17"/>
      <c r="O363" s="111"/>
      <c r="Q363" s="152" t="s">
        <v>4158</v>
      </c>
      <c r="R363" s="17"/>
      <c r="S363" s="16" t="s">
        <v>3671</v>
      </c>
      <c r="T363" s="17"/>
      <c r="U363" s="16" t="s">
        <v>3165</v>
      </c>
      <c r="V363" s="16" t="s">
        <v>3681</v>
      </c>
      <c r="W363" s="17"/>
      <c r="X363" s="17"/>
      <c r="Y363" s="16" t="s">
        <v>3165</v>
      </c>
      <c r="Z363" s="16" t="s">
        <v>3681</v>
      </c>
      <c r="AA363" s="17"/>
      <c r="AB363" s="17"/>
    </row>
    <row r="364">
      <c r="A364" s="16">
        <f t="shared" si="2"/>
        <v>363</v>
      </c>
      <c r="B364" s="16" t="s">
        <v>1037</v>
      </c>
      <c r="C364" s="16" t="s">
        <v>1038</v>
      </c>
      <c r="D364" s="16" t="s">
        <v>1039</v>
      </c>
      <c r="E364" s="16" t="s">
        <v>3106</v>
      </c>
      <c r="F364" s="16" t="s">
        <v>10</v>
      </c>
      <c r="G364" s="16" t="s">
        <v>775</v>
      </c>
      <c r="H364" s="16" t="s">
        <v>12</v>
      </c>
      <c r="I364" s="16" t="s">
        <v>4062</v>
      </c>
      <c r="J364" s="16" t="s">
        <v>79</v>
      </c>
      <c r="K364" s="16" t="s">
        <v>775</v>
      </c>
      <c r="L364" s="154">
        <v>44312.0</v>
      </c>
      <c r="M364" s="16">
        <f t="shared" si="1"/>
        <v>5</v>
      </c>
      <c r="N364" s="135">
        <v>5.0003988E7</v>
      </c>
      <c r="O364" s="17"/>
      <c r="Q364" s="152" t="s">
        <v>4159</v>
      </c>
      <c r="R364" s="17"/>
      <c r="S364" s="16" t="s">
        <v>3671</v>
      </c>
      <c r="T364" s="17"/>
      <c r="U364" s="16" t="s">
        <v>3165</v>
      </c>
      <c r="V364" s="16" t="s">
        <v>3681</v>
      </c>
      <c r="W364" s="17"/>
      <c r="X364" s="17"/>
      <c r="Y364" s="16" t="s">
        <v>3165</v>
      </c>
      <c r="Z364" s="16" t="s">
        <v>3681</v>
      </c>
      <c r="AA364" s="17"/>
      <c r="AB364" s="17"/>
    </row>
    <row r="365">
      <c r="A365" s="16">
        <f t="shared" si="2"/>
        <v>364</v>
      </c>
      <c r="B365" s="16" t="s">
        <v>1040</v>
      </c>
      <c r="C365" s="16" t="s">
        <v>1041</v>
      </c>
      <c r="D365" s="16" t="s">
        <v>1042</v>
      </c>
      <c r="E365" s="16" t="s">
        <v>3106</v>
      </c>
      <c r="F365" s="16" t="s">
        <v>10</v>
      </c>
      <c r="G365" s="16" t="s">
        <v>3715</v>
      </c>
      <c r="H365" s="16" t="s">
        <v>12</v>
      </c>
      <c r="I365" s="17"/>
      <c r="J365" s="16" t="s">
        <v>13</v>
      </c>
      <c r="K365" s="16" t="s">
        <v>93</v>
      </c>
      <c r="L365" s="154">
        <v>44152.0</v>
      </c>
      <c r="M365" s="16">
        <f t="shared" si="1"/>
        <v>6</v>
      </c>
      <c r="N365" s="17"/>
      <c r="O365" s="111"/>
      <c r="Q365" s="152" t="s">
        <v>4053</v>
      </c>
      <c r="R365" s="17"/>
      <c r="S365" s="16" t="s">
        <v>3671</v>
      </c>
      <c r="T365" s="17"/>
      <c r="U365" s="16" t="s">
        <v>3165</v>
      </c>
      <c r="V365" s="16" t="s">
        <v>3681</v>
      </c>
      <c r="W365" s="17"/>
      <c r="X365" s="17"/>
      <c r="Y365" s="16" t="s">
        <v>3165</v>
      </c>
      <c r="Z365" s="16" t="s">
        <v>3681</v>
      </c>
      <c r="AA365" s="17"/>
      <c r="AB365" s="17"/>
    </row>
    <row r="366">
      <c r="A366" s="16">
        <f t="shared" si="2"/>
        <v>365</v>
      </c>
      <c r="B366" s="16" t="s">
        <v>1043</v>
      </c>
      <c r="C366" s="16" t="s">
        <v>1044</v>
      </c>
      <c r="D366" s="16" t="s">
        <v>1045</v>
      </c>
      <c r="E366" s="16" t="s">
        <v>3106</v>
      </c>
      <c r="F366" s="16" t="s">
        <v>10</v>
      </c>
      <c r="G366" s="16" t="s">
        <v>3669</v>
      </c>
      <c r="H366" s="16" t="s">
        <v>12</v>
      </c>
      <c r="I366" s="16" t="s">
        <v>3396</v>
      </c>
      <c r="J366" s="16" t="s">
        <v>13</v>
      </c>
      <c r="K366" s="16" t="s">
        <v>11</v>
      </c>
      <c r="L366" s="154">
        <v>44347.0</v>
      </c>
      <c r="M366" s="16">
        <f t="shared" si="1"/>
        <v>5</v>
      </c>
      <c r="N366" s="135">
        <v>5.0004077E7</v>
      </c>
      <c r="O366" s="17"/>
      <c r="Q366" s="152" t="s">
        <v>4160</v>
      </c>
      <c r="R366" s="17"/>
      <c r="S366" s="16" t="s">
        <v>3671</v>
      </c>
      <c r="T366" s="17"/>
      <c r="U366" s="16" t="s">
        <v>3165</v>
      </c>
      <c r="V366" s="16" t="s">
        <v>3681</v>
      </c>
      <c r="W366" s="17"/>
      <c r="X366" s="17"/>
      <c r="Y366" s="16" t="s">
        <v>3165</v>
      </c>
      <c r="Z366" s="16" t="s">
        <v>3681</v>
      </c>
      <c r="AA366" s="17"/>
      <c r="AB366" s="17"/>
    </row>
    <row r="367">
      <c r="A367" s="16">
        <f t="shared" si="2"/>
        <v>366</v>
      </c>
      <c r="B367" s="16" t="s">
        <v>1046</v>
      </c>
      <c r="C367" s="16" t="s">
        <v>1047</v>
      </c>
      <c r="D367" s="16" t="s">
        <v>1048</v>
      </c>
      <c r="E367" s="16" t="s">
        <v>3106</v>
      </c>
      <c r="F367" s="16" t="s">
        <v>10</v>
      </c>
      <c r="G367" s="16" t="s">
        <v>3715</v>
      </c>
      <c r="H367" s="16" t="s">
        <v>12</v>
      </c>
      <c r="I367" s="17"/>
      <c r="J367" s="16" t="s">
        <v>13</v>
      </c>
      <c r="K367" s="16" t="s">
        <v>93</v>
      </c>
      <c r="L367" s="154">
        <v>44152.0</v>
      </c>
      <c r="M367" s="16">
        <f t="shared" si="1"/>
        <v>6</v>
      </c>
      <c r="N367" s="17"/>
      <c r="O367" s="111"/>
      <c r="Q367" s="152" t="s">
        <v>4161</v>
      </c>
      <c r="R367" s="17"/>
      <c r="S367" s="16" t="s">
        <v>3671</v>
      </c>
      <c r="T367" s="17"/>
      <c r="U367" s="16" t="s">
        <v>3165</v>
      </c>
      <c r="V367" s="16" t="s">
        <v>3681</v>
      </c>
      <c r="W367" s="17"/>
      <c r="X367" s="17"/>
      <c r="Y367" s="16" t="s">
        <v>3165</v>
      </c>
      <c r="Z367" s="16" t="s">
        <v>3681</v>
      </c>
      <c r="AA367" s="17"/>
      <c r="AB367" s="17"/>
    </row>
    <row r="368">
      <c r="A368" s="16">
        <f t="shared" si="2"/>
        <v>367</v>
      </c>
      <c r="B368" s="16" t="s">
        <v>1049</v>
      </c>
      <c r="C368" s="16" t="s">
        <v>1050</v>
      </c>
      <c r="D368" s="16" t="s">
        <v>1051</v>
      </c>
      <c r="E368" s="16" t="s">
        <v>3106</v>
      </c>
      <c r="F368" s="16" t="s">
        <v>10</v>
      </c>
      <c r="G368" s="16" t="s">
        <v>4049</v>
      </c>
      <c r="H368" s="16" t="s">
        <v>12</v>
      </c>
      <c r="I368" s="17"/>
      <c r="J368" s="16" t="s">
        <v>36</v>
      </c>
      <c r="K368" s="16" t="s">
        <v>756</v>
      </c>
      <c r="L368" s="154">
        <v>43942.0</v>
      </c>
      <c r="M368" s="16">
        <f t="shared" si="1"/>
        <v>6</v>
      </c>
      <c r="N368" s="17"/>
      <c r="O368" s="111"/>
      <c r="Q368" s="152" t="s">
        <v>4060</v>
      </c>
      <c r="R368" s="17"/>
      <c r="S368" s="16" t="s">
        <v>3671</v>
      </c>
      <c r="T368" s="17"/>
      <c r="U368" s="16" t="s">
        <v>3165</v>
      </c>
      <c r="V368" s="16" t="s">
        <v>3681</v>
      </c>
      <c r="W368" s="17"/>
      <c r="X368" s="17"/>
      <c r="Y368" s="16" t="s">
        <v>3165</v>
      </c>
      <c r="Z368" s="16" t="s">
        <v>3681</v>
      </c>
      <c r="AA368" s="17"/>
      <c r="AB368" s="17"/>
    </row>
    <row r="369">
      <c r="A369" s="16">
        <f t="shared" si="2"/>
        <v>368</v>
      </c>
      <c r="B369" s="16" t="s">
        <v>1052</v>
      </c>
      <c r="C369" s="16" t="s">
        <v>1053</v>
      </c>
      <c r="D369" s="16" t="s">
        <v>1054</v>
      </c>
      <c r="E369" s="16" t="s">
        <v>3106</v>
      </c>
      <c r="F369" s="16" t="s">
        <v>10</v>
      </c>
      <c r="G369" s="16" t="s">
        <v>3715</v>
      </c>
      <c r="H369" s="16" t="s">
        <v>12</v>
      </c>
      <c r="I369" s="17"/>
      <c r="J369" s="16" t="s">
        <v>13</v>
      </c>
      <c r="K369" s="16" t="s">
        <v>93</v>
      </c>
      <c r="L369" s="154">
        <v>44152.0</v>
      </c>
      <c r="M369" s="16">
        <f t="shared" si="1"/>
        <v>6</v>
      </c>
      <c r="N369" s="17"/>
      <c r="O369" s="111"/>
      <c r="Q369" s="152" t="s">
        <v>4162</v>
      </c>
      <c r="R369" s="17"/>
      <c r="S369" s="16" t="s">
        <v>3671</v>
      </c>
      <c r="T369" s="17"/>
      <c r="U369" s="16" t="s">
        <v>3165</v>
      </c>
      <c r="V369" s="16" t="s">
        <v>3681</v>
      </c>
      <c r="W369" s="17"/>
      <c r="X369" s="17"/>
      <c r="Y369" s="16" t="s">
        <v>3165</v>
      </c>
      <c r="Z369" s="16" t="s">
        <v>3681</v>
      </c>
      <c r="AA369" s="17"/>
      <c r="AB369" s="17"/>
    </row>
    <row r="370">
      <c r="A370" s="16">
        <f t="shared" si="2"/>
        <v>369</v>
      </c>
      <c r="B370" s="16" t="s">
        <v>1055</v>
      </c>
      <c r="C370" s="16" t="s">
        <v>1056</v>
      </c>
      <c r="D370" s="16" t="s">
        <v>1057</v>
      </c>
      <c r="E370" s="16" t="s">
        <v>3106</v>
      </c>
      <c r="F370" s="16" t="s">
        <v>10</v>
      </c>
      <c r="G370" s="16" t="s">
        <v>3669</v>
      </c>
      <c r="H370" s="16" t="s">
        <v>12</v>
      </c>
      <c r="I370" s="16" t="s">
        <v>3396</v>
      </c>
      <c r="J370" s="16" t="s">
        <v>13</v>
      </c>
      <c r="K370" s="16" t="s">
        <v>11</v>
      </c>
      <c r="L370" s="154">
        <v>44347.0</v>
      </c>
      <c r="M370" s="16">
        <f t="shared" si="1"/>
        <v>5</v>
      </c>
      <c r="N370" s="135">
        <v>5.0004077E7</v>
      </c>
      <c r="O370" s="17"/>
      <c r="Q370" s="152" t="s">
        <v>4163</v>
      </c>
      <c r="R370" s="17"/>
      <c r="S370" s="16" t="s">
        <v>3671</v>
      </c>
      <c r="T370" s="17"/>
      <c r="U370" s="16" t="s">
        <v>3165</v>
      </c>
      <c r="V370" s="16" t="s">
        <v>3681</v>
      </c>
      <c r="W370" s="17"/>
      <c r="X370" s="17"/>
      <c r="Y370" s="16" t="s">
        <v>3165</v>
      </c>
      <c r="Z370" s="16" t="s">
        <v>3681</v>
      </c>
      <c r="AA370" s="17"/>
      <c r="AB370" s="17"/>
    </row>
    <row r="371">
      <c r="A371" s="16">
        <f t="shared" si="2"/>
        <v>370</v>
      </c>
      <c r="B371" s="16" t="s">
        <v>1058</v>
      </c>
      <c r="C371" s="16" t="s">
        <v>1059</v>
      </c>
      <c r="D371" s="16" t="s">
        <v>1060</v>
      </c>
      <c r="E371" s="16" t="s">
        <v>3106</v>
      </c>
      <c r="F371" s="16" t="s">
        <v>10</v>
      </c>
      <c r="G371" s="16" t="s">
        <v>3669</v>
      </c>
      <c r="H371" s="16" t="s">
        <v>12</v>
      </c>
      <c r="I371" s="16" t="s">
        <v>3396</v>
      </c>
      <c r="J371" s="16" t="s">
        <v>13</v>
      </c>
      <c r="K371" s="16" t="s">
        <v>11</v>
      </c>
      <c r="L371" s="154">
        <v>44347.0</v>
      </c>
      <c r="M371" s="16">
        <f t="shared" si="1"/>
        <v>5</v>
      </c>
      <c r="N371" s="135">
        <v>5.0004077E7</v>
      </c>
      <c r="O371" s="17"/>
      <c r="Q371" s="152" t="s">
        <v>4164</v>
      </c>
      <c r="R371" s="17"/>
      <c r="S371" s="16" t="s">
        <v>3671</v>
      </c>
      <c r="T371" s="17"/>
      <c r="U371" s="16" t="s">
        <v>3165</v>
      </c>
      <c r="V371" s="16" t="s">
        <v>3681</v>
      </c>
      <c r="W371" s="17"/>
      <c r="X371" s="17"/>
      <c r="Y371" s="16" t="s">
        <v>3165</v>
      </c>
      <c r="Z371" s="16" t="s">
        <v>3681</v>
      </c>
      <c r="AA371" s="17"/>
      <c r="AB371" s="17"/>
    </row>
    <row r="372">
      <c r="A372" s="16">
        <f t="shared" si="2"/>
        <v>371</v>
      </c>
      <c r="B372" s="16" t="s">
        <v>1061</v>
      </c>
      <c r="C372" s="16" t="s">
        <v>1062</v>
      </c>
      <c r="D372" s="16" t="s">
        <v>1063</v>
      </c>
      <c r="E372" s="16" t="s">
        <v>3106</v>
      </c>
      <c r="F372" s="16" t="s">
        <v>10</v>
      </c>
      <c r="G372" s="16" t="s">
        <v>3715</v>
      </c>
      <c r="H372" s="16" t="s">
        <v>12</v>
      </c>
      <c r="I372" s="17"/>
      <c r="J372" s="16" t="s">
        <v>13</v>
      </c>
      <c r="K372" s="16" t="s">
        <v>93</v>
      </c>
      <c r="L372" s="154">
        <v>44105.0</v>
      </c>
      <c r="M372" s="16">
        <f t="shared" si="1"/>
        <v>6</v>
      </c>
      <c r="N372" s="17"/>
      <c r="O372" s="111"/>
      <c r="Q372" s="152" t="s">
        <v>4165</v>
      </c>
      <c r="R372" s="17"/>
      <c r="S372" s="16" t="s">
        <v>3671</v>
      </c>
      <c r="T372" s="17"/>
      <c r="U372" s="16" t="s">
        <v>3165</v>
      </c>
      <c r="V372" s="16" t="s">
        <v>3681</v>
      </c>
      <c r="W372" s="17"/>
      <c r="X372" s="17"/>
      <c r="Y372" s="16" t="s">
        <v>3165</v>
      </c>
      <c r="Z372" s="16" t="s">
        <v>3681</v>
      </c>
      <c r="AA372" s="17"/>
      <c r="AB372" s="17"/>
    </row>
    <row r="373">
      <c r="A373" s="16">
        <f t="shared" si="2"/>
        <v>372</v>
      </c>
      <c r="B373" s="16" t="s">
        <v>1064</v>
      </c>
      <c r="C373" s="16" t="s">
        <v>1065</v>
      </c>
      <c r="D373" s="16" t="s">
        <v>1066</v>
      </c>
      <c r="E373" s="16" t="s">
        <v>3106</v>
      </c>
      <c r="F373" s="16" t="s">
        <v>10</v>
      </c>
      <c r="G373" s="16" t="s">
        <v>3715</v>
      </c>
      <c r="H373" s="16" t="s">
        <v>12</v>
      </c>
      <c r="I373" s="17"/>
      <c r="J373" s="16" t="s">
        <v>13</v>
      </c>
      <c r="K373" s="16" t="s">
        <v>93</v>
      </c>
      <c r="L373" s="154">
        <v>44152.0</v>
      </c>
      <c r="M373" s="16">
        <f t="shared" si="1"/>
        <v>6</v>
      </c>
      <c r="N373" s="17"/>
      <c r="O373" s="111"/>
      <c r="Q373" s="152" t="s">
        <v>4166</v>
      </c>
      <c r="R373" s="17"/>
      <c r="S373" s="16" t="s">
        <v>3671</v>
      </c>
      <c r="T373" s="17"/>
      <c r="U373" s="16" t="s">
        <v>3165</v>
      </c>
      <c r="V373" s="16" t="s">
        <v>3681</v>
      </c>
      <c r="W373" s="17"/>
      <c r="X373" s="17"/>
      <c r="Y373" s="16" t="s">
        <v>3165</v>
      </c>
      <c r="Z373" s="16" t="s">
        <v>3681</v>
      </c>
      <c r="AA373" s="17"/>
      <c r="AB373" s="17"/>
    </row>
    <row r="374">
      <c r="A374" s="16">
        <f t="shared" si="2"/>
        <v>373</v>
      </c>
      <c r="B374" s="16" t="s">
        <v>1067</v>
      </c>
      <c r="C374" s="16" t="s">
        <v>1068</v>
      </c>
      <c r="D374" s="16" t="s">
        <v>1069</v>
      </c>
      <c r="E374" s="16" t="s">
        <v>3106</v>
      </c>
      <c r="F374" s="16" t="s">
        <v>10</v>
      </c>
      <c r="G374" s="16" t="s">
        <v>775</v>
      </c>
      <c r="H374" s="16" t="s">
        <v>12</v>
      </c>
      <c r="I374" s="16" t="s">
        <v>4062</v>
      </c>
      <c r="J374" s="16" t="s">
        <v>79</v>
      </c>
      <c r="K374" s="16" t="s">
        <v>775</v>
      </c>
      <c r="L374" s="154">
        <v>44312.0</v>
      </c>
      <c r="M374" s="16">
        <f t="shared" si="1"/>
        <v>5</v>
      </c>
      <c r="N374" s="135">
        <v>5.0003988E7</v>
      </c>
      <c r="O374" s="16" t="s">
        <v>3851</v>
      </c>
      <c r="Q374" s="152" t="s">
        <v>4167</v>
      </c>
      <c r="R374" s="115">
        <v>45098.0</v>
      </c>
      <c r="S374" s="16" t="s">
        <v>3671</v>
      </c>
      <c r="T374" s="17"/>
      <c r="U374" s="16" t="s">
        <v>3165</v>
      </c>
      <c r="V374" s="16" t="s">
        <v>3681</v>
      </c>
      <c r="W374" s="17"/>
      <c r="X374" s="17"/>
      <c r="Y374" s="16" t="s">
        <v>3165</v>
      </c>
      <c r="Z374" s="16" t="s">
        <v>3681</v>
      </c>
      <c r="AA374" s="17"/>
      <c r="AB374" s="17"/>
    </row>
    <row r="375">
      <c r="A375" s="16">
        <f t="shared" si="2"/>
        <v>374</v>
      </c>
      <c r="B375" s="16" t="s">
        <v>1070</v>
      </c>
      <c r="C375" s="16" t="s">
        <v>1071</v>
      </c>
      <c r="D375" s="16" t="s">
        <v>1072</v>
      </c>
      <c r="E375" s="16" t="s">
        <v>3106</v>
      </c>
      <c r="F375" s="16" t="s">
        <v>10</v>
      </c>
      <c r="G375" s="16" t="s">
        <v>4049</v>
      </c>
      <c r="H375" s="16" t="s">
        <v>12</v>
      </c>
      <c r="I375" s="17"/>
      <c r="J375" s="16" t="s">
        <v>36</v>
      </c>
      <c r="K375" s="16" t="s">
        <v>756</v>
      </c>
      <c r="L375" s="154">
        <v>43942.0</v>
      </c>
      <c r="M375" s="16">
        <f t="shared" si="1"/>
        <v>6</v>
      </c>
      <c r="N375" s="17"/>
      <c r="O375" s="111"/>
      <c r="Q375" s="152" t="s">
        <v>4168</v>
      </c>
      <c r="R375" s="17"/>
      <c r="S375" s="16" t="s">
        <v>3671</v>
      </c>
      <c r="T375" s="17"/>
      <c r="U375" s="16" t="s">
        <v>3165</v>
      </c>
      <c r="V375" s="16" t="s">
        <v>3681</v>
      </c>
      <c r="W375" s="17"/>
      <c r="X375" s="17"/>
      <c r="Y375" s="16" t="s">
        <v>3165</v>
      </c>
      <c r="Z375" s="16" t="s">
        <v>3681</v>
      </c>
      <c r="AA375" s="17"/>
      <c r="AB375" s="17"/>
    </row>
    <row r="376">
      <c r="A376" s="16">
        <f t="shared" si="2"/>
        <v>375</v>
      </c>
      <c r="B376" s="16" t="s">
        <v>1073</v>
      </c>
      <c r="C376" s="16" t="s">
        <v>1074</v>
      </c>
      <c r="D376" s="16" t="s">
        <v>1075</v>
      </c>
      <c r="E376" s="16" t="s">
        <v>3106</v>
      </c>
      <c r="F376" s="16" t="s">
        <v>10</v>
      </c>
      <c r="G376" s="16" t="s">
        <v>3715</v>
      </c>
      <c r="H376" s="16" t="s">
        <v>12</v>
      </c>
      <c r="I376" s="17"/>
      <c r="J376" s="16" t="s">
        <v>13</v>
      </c>
      <c r="K376" s="16" t="s">
        <v>93</v>
      </c>
      <c r="L376" s="154">
        <v>44152.0</v>
      </c>
      <c r="M376" s="16">
        <f t="shared" si="1"/>
        <v>6</v>
      </c>
      <c r="N376" s="17"/>
      <c r="O376" s="111"/>
      <c r="Q376" s="152" t="s">
        <v>4169</v>
      </c>
      <c r="R376" s="17"/>
      <c r="S376" s="16" t="s">
        <v>3671</v>
      </c>
      <c r="T376" s="17"/>
      <c r="U376" s="16" t="s">
        <v>3165</v>
      </c>
      <c r="V376" s="16" t="s">
        <v>3681</v>
      </c>
      <c r="W376" s="17"/>
      <c r="X376" s="17"/>
      <c r="Y376" s="16" t="s">
        <v>3165</v>
      </c>
      <c r="Z376" s="16" t="s">
        <v>3681</v>
      </c>
      <c r="AA376" s="17"/>
      <c r="AB376" s="17"/>
    </row>
    <row r="377">
      <c r="A377" s="16">
        <f t="shared" si="2"/>
        <v>376</v>
      </c>
      <c r="B377" s="16" t="s">
        <v>1076</v>
      </c>
      <c r="C377" s="16" t="s">
        <v>1077</v>
      </c>
      <c r="D377" s="16" t="s">
        <v>1078</v>
      </c>
      <c r="E377" s="16" t="s">
        <v>3106</v>
      </c>
      <c r="F377" s="16" t="s">
        <v>10</v>
      </c>
      <c r="G377" s="16" t="s">
        <v>3715</v>
      </c>
      <c r="H377" s="16" t="s">
        <v>12</v>
      </c>
      <c r="I377" s="17"/>
      <c r="J377" s="16" t="s">
        <v>13</v>
      </c>
      <c r="K377" s="16" t="s">
        <v>93</v>
      </c>
      <c r="L377" s="154">
        <v>44152.0</v>
      </c>
      <c r="M377" s="16">
        <f t="shared" si="1"/>
        <v>6</v>
      </c>
      <c r="N377" s="17"/>
      <c r="O377" s="111"/>
      <c r="Q377" s="152" t="s">
        <v>4170</v>
      </c>
      <c r="R377" s="17"/>
      <c r="S377" s="16" t="s">
        <v>3671</v>
      </c>
      <c r="T377" s="17"/>
      <c r="U377" s="16" t="s">
        <v>3165</v>
      </c>
      <c r="V377" s="16" t="s">
        <v>3681</v>
      </c>
      <c r="W377" s="17"/>
      <c r="X377" s="17"/>
      <c r="Y377" s="16" t="s">
        <v>3165</v>
      </c>
      <c r="Z377" s="16" t="s">
        <v>3681</v>
      </c>
      <c r="AA377" s="17"/>
      <c r="AB377" s="17"/>
    </row>
    <row r="378">
      <c r="A378" s="16">
        <f t="shared" si="2"/>
        <v>377</v>
      </c>
      <c r="B378" s="16" t="s">
        <v>1079</v>
      </c>
      <c r="C378" s="16" t="s">
        <v>1080</v>
      </c>
      <c r="D378" s="16" t="s">
        <v>1081</v>
      </c>
      <c r="E378" s="16" t="s">
        <v>3106</v>
      </c>
      <c r="F378" s="16" t="s">
        <v>10</v>
      </c>
      <c r="G378" s="16" t="s">
        <v>775</v>
      </c>
      <c r="H378" s="16" t="s">
        <v>12</v>
      </c>
      <c r="I378" s="16" t="s">
        <v>4062</v>
      </c>
      <c r="J378" s="16" t="s">
        <v>79</v>
      </c>
      <c r="K378" s="16" t="s">
        <v>775</v>
      </c>
      <c r="L378" s="154">
        <v>44312.0</v>
      </c>
      <c r="M378" s="16">
        <f t="shared" si="1"/>
        <v>5</v>
      </c>
      <c r="N378" s="135">
        <v>5.0003988E7</v>
      </c>
      <c r="O378" s="17"/>
      <c r="Q378" s="152" t="s">
        <v>4171</v>
      </c>
      <c r="R378" s="17"/>
      <c r="S378" s="16" t="s">
        <v>3671</v>
      </c>
      <c r="T378" s="17"/>
      <c r="U378" s="16" t="s">
        <v>3165</v>
      </c>
      <c r="V378" s="16" t="s">
        <v>3681</v>
      </c>
      <c r="W378" s="17"/>
      <c r="X378" s="17"/>
      <c r="Y378" s="16" t="s">
        <v>3165</v>
      </c>
      <c r="Z378" s="16" t="s">
        <v>3681</v>
      </c>
      <c r="AA378" s="17"/>
      <c r="AB378" s="17"/>
    </row>
    <row r="379">
      <c r="A379" s="16">
        <f t="shared" si="2"/>
        <v>378</v>
      </c>
      <c r="B379" s="16" t="s">
        <v>1082</v>
      </c>
      <c r="C379" s="16" t="s">
        <v>1083</v>
      </c>
      <c r="D379" s="16" t="s">
        <v>1084</v>
      </c>
      <c r="E379" s="16" t="s">
        <v>3106</v>
      </c>
      <c r="F379" s="16" t="s">
        <v>10</v>
      </c>
      <c r="G379" s="16" t="s">
        <v>4049</v>
      </c>
      <c r="H379" s="16" t="s">
        <v>12</v>
      </c>
      <c r="I379" s="17"/>
      <c r="J379" s="16" t="s">
        <v>36</v>
      </c>
      <c r="K379" s="16" t="s">
        <v>756</v>
      </c>
      <c r="L379" s="154">
        <v>43942.0</v>
      </c>
      <c r="M379" s="16">
        <f t="shared" si="1"/>
        <v>6</v>
      </c>
      <c r="N379" s="17"/>
      <c r="O379" s="111"/>
      <c r="Q379" s="152" t="s">
        <v>4172</v>
      </c>
      <c r="R379" s="17"/>
      <c r="S379" s="16" t="s">
        <v>3671</v>
      </c>
      <c r="T379" s="17"/>
      <c r="U379" s="16" t="s">
        <v>3165</v>
      </c>
      <c r="V379" s="16" t="s">
        <v>3681</v>
      </c>
      <c r="W379" s="17"/>
      <c r="X379" s="17"/>
      <c r="Y379" s="16" t="s">
        <v>3165</v>
      </c>
      <c r="Z379" s="16" t="s">
        <v>3681</v>
      </c>
      <c r="AA379" s="17"/>
      <c r="AB379" s="17"/>
    </row>
    <row r="380">
      <c r="A380" s="16">
        <f t="shared" si="2"/>
        <v>379</v>
      </c>
      <c r="B380" s="16" t="s">
        <v>1085</v>
      </c>
      <c r="C380" s="16" t="s">
        <v>1086</v>
      </c>
      <c r="D380" s="16" t="s">
        <v>1087</v>
      </c>
      <c r="E380" s="16" t="s">
        <v>3106</v>
      </c>
      <c r="F380" s="16" t="s">
        <v>10</v>
      </c>
      <c r="G380" s="16" t="s">
        <v>3715</v>
      </c>
      <c r="H380" s="16" t="s">
        <v>12</v>
      </c>
      <c r="I380" s="17"/>
      <c r="J380" s="16" t="s">
        <v>13</v>
      </c>
      <c r="K380" s="16" t="s">
        <v>93</v>
      </c>
      <c r="L380" s="154">
        <v>44105.0</v>
      </c>
      <c r="M380" s="16">
        <f t="shared" si="1"/>
        <v>6</v>
      </c>
      <c r="N380" s="17"/>
      <c r="O380" s="111"/>
      <c r="Q380" s="152" t="s">
        <v>4173</v>
      </c>
      <c r="R380" s="17"/>
      <c r="S380" s="16" t="s">
        <v>3671</v>
      </c>
      <c r="T380" s="17"/>
      <c r="U380" s="16" t="s">
        <v>3165</v>
      </c>
      <c r="V380" s="16" t="s">
        <v>3681</v>
      </c>
      <c r="W380" s="17"/>
      <c r="X380" s="17"/>
      <c r="Y380" s="16" t="s">
        <v>3165</v>
      </c>
      <c r="Z380" s="16" t="s">
        <v>3681</v>
      </c>
      <c r="AA380" s="17"/>
      <c r="AB380" s="17"/>
    </row>
    <row r="381">
      <c r="A381" s="16">
        <f t="shared" si="2"/>
        <v>380</v>
      </c>
      <c r="B381" s="16" t="s">
        <v>1088</v>
      </c>
      <c r="C381" s="16" t="s">
        <v>1089</v>
      </c>
      <c r="D381" s="16" t="s">
        <v>1090</v>
      </c>
      <c r="E381" s="16" t="s">
        <v>3106</v>
      </c>
      <c r="F381" s="16" t="s">
        <v>10</v>
      </c>
      <c r="G381" s="16" t="s">
        <v>775</v>
      </c>
      <c r="H381" s="16" t="s">
        <v>12</v>
      </c>
      <c r="I381" s="16" t="s">
        <v>4062</v>
      </c>
      <c r="J381" s="16" t="s">
        <v>79</v>
      </c>
      <c r="K381" s="16" t="s">
        <v>775</v>
      </c>
      <c r="L381" s="154">
        <v>44312.0</v>
      </c>
      <c r="M381" s="16">
        <f t="shared" si="1"/>
        <v>5</v>
      </c>
      <c r="N381" s="135">
        <v>5.0003988E7</v>
      </c>
      <c r="O381" s="17"/>
      <c r="Q381" s="152" t="s">
        <v>4174</v>
      </c>
      <c r="R381" s="17"/>
      <c r="S381" s="16" t="s">
        <v>3671</v>
      </c>
      <c r="T381" s="17"/>
      <c r="U381" s="16" t="s">
        <v>3165</v>
      </c>
      <c r="V381" s="16" t="s">
        <v>3681</v>
      </c>
      <c r="W381" s="17"/>
      <c r="X381" s="17"/>
      <c r="Y381" s="16" t="s">
        <v>3165</v>
      </c>
      <c r="Z381" s="16" t="s">
        <v>3681</v>
      </c>
      <c r="AA381" s="17"/>
      <c r="AB381" s="17"/>
    </row>
    <row r="382">
      <c r="A382" s="16">
        <f t="shared" si="2"/>
        <v>381</v>
      </c>
      <c r="B382" s="16" t="s">
        <v>1091</v>
      </c>
      <c r="C382" s="16" t="s">
        <v>1092</v>
      </c>
      <c r="D382" s="16" t="s">
        <v>1093</v>
      </c>
      <c r="E382" s="16" t="s">
        <v>3106</v>
      </c>
      <c r="F382" s="16" t="s">
        <v>10</v>
      </c>
      <c r="G382" s="16" t="s">
        <v>4049</v>
      </c>
      <c r="H382" s="16" t="s">
        <v>12</v>
      </c>
      <c r="I382" s="17"/>
      <c r="J382" s="16" t="s">
        <v>36</v>
      </c>
      <c r="K382" s="16" t="s">
        <v>756</v>
      </c>
      <c r="L382" s="154">
        <v>43942.0</v>
      </c>
      <c r="M382" s="16">
        <f t="shared" si="1"/>
        <v>6</v>
      </c>
      <c r="N382" s="17"/>
      <c r="O382" s="111"/>
      <c r="Q382" s="152" t="s">
        <v>4175</v>
      </c>
      <c r="R382" s="17"/>
      <c r="S382" s="16" t="s">
        <v>3671</v>
      </c>
      <c r="T382" s="17"/>
      <c r="U382" s="16" t="s">
        <v>3165</v>
      </c>
      <c r="V382" s="16" t="s">
        <v>3681</v>
      </c>
      <c r="W382" s="17"/>
      <c r="X382" s="17"/>
      <c r="Y382" s="16" t="s">
        <v>3165</v>
      </c>
      <c r="Z382" s="16" t="s">
        <v>3681</v>
      </c>
      <c r="AA382" s="17"/>
      <c r="AB382" s="17"/>
    </row>
    <row r="383">
      <c r="A383" s="16">
        <f t="shared" si="2"/>
        <v>382</v>
      </c>
      <c r="B383" s="16" t="s">
        <v>1094</v>
      </c>
      <c r="C383" s="16" t="s">
        <v>1095</v>
      </c>
      <c r="D383" s="16" t="s">
        <v>1096</v>
      </c>
      <c r="E383" s="16" t="s">
        <v>3106</v>
      </c>
      <c r="F383" s="16" t="s">
        <v>10</v>
      </c>
      <c r="G383" s="16" t="s">
        <v>4049</v>
      </c>
      <c r="H383" s="16" t="s">
        <v>12</v>
      </c>
      <c r="I383" s="17"/>
      <c r="J383" s="16" t="s">
        <v>36</v>
      </c>
      <c r="K383" s="16" t="s">
        <v>756</v>
      </c>
      <c r="L383" s="154">
        <v>43942.0</v>
      </c>
      <c r="M383" s="16">
        <f t="shared" si="1"/>
        <v>6</v>
      </c>
      <c r="N383" s="17"/>
      <c r="O383" s="111"/>
      <c r="Q383" s="152" t="s">
        <v>4176</v>
      </c>
      <c r="R383" s="17"/>
      <c r="S383" s="16" t="s">
        <v>3671</v>
      </c>
      <c r="T383" s="17"/>
      <c r="U383" s="16" t="s">
        <v>3165</v>
      </c>
      <c r="V383" s="16" t="s">
        <v>3681</v>
      </c>
      <c r="W383" s="17"/>
      <c r="X383" s="17"/>
      <c r="Y383" s="16" t="s">
        <v>3165</v>
      </c>
      <c r="Z383" s="16" t="s">
        <v>3681</v>
      </c>
      <c r="AA383" s="17"/>
      <c r="AB383" s="17"/>
    </row>
    <row r="384">
      <c r="A384" s="16">
        <f t="shared" si="2"/>
        <v>383</v>
      </c>
      <c r="B384" s="16" t="s">
        <v>1097</v>
      </c>
      <c r="C384" s="16" t="s">
        <v>1098</v>
      </c>
      <c r="D384" s="16" t="s">
        <v>1099</v>
      </c>
      <c r="E384" s="16" t="s">
        <v>3106</v>
      </c>
      <c r="F384" s="16" t="s">
        <v>10</v>
      </c>
      <c r="G384" s="16" t="s">
        <v>3715</v>
      </c>
      <c r="H384" s="16" t="s">
        <v>12</v>
      </c>
      <c r="I384" s="17"/>
      <c r="J384" s="16" t="s">
        <v>13</v>
      </c>
      <c r="K384" s="16" t="s">
        <v>93</v>
      </c>
      <c r="L384" s="154">
        <v>44152.0</v>
      </c>
      <c r="M384" s="16">
        <f t="shared" si="1"/>
        <v>6</v>
      </c>
      <c r="N384" s="17"/>
      <c r="O384" s="111"/>
      <c r="Q384" s="152" t="s">
        <v>4177</v>
      </c>
      <c r="R384" s="17"/>
      <c r="S384" s="16" t="s">
        <v>3671</v>
      </c>
      <c r="T384" s="17"/>
      <c r="U384" s="16" t="s">
        <v>3165</v>
      </c>
      <c r="V384" s="16" t="s">
        <v>3681</v>
      </c>
      <c r="W384" s="17"/>
      <c r="X384" s="17"/>
      <c r="Y384" s="16" t="s">
        <v>3165</v>
      </c>
      <c r="Z384" s="16" t="s">
        <v>3681</v>
      </c>
      <c r="AA384" s="17"/>
      <c r="AB384" s="17"/>
    </row>
    <row r="385">
      <c r="A385" s="16">
        <f t="shared" si="2"/>
        <v>384</v>
      </c>
      <c r="B385" s="16" t="s">
        <v>1100</v>
      </c>
      <c r="C385" s="16" t="s">
        <v>1101</v>
      </c>
      <c r="D385" s="16" t="s">
        <v>1102</v>
      </c>
      <c r="E385" s="16" t="s">
        <v>3106</v>
      </c>
      <c r="F385" s="16" t="s">
        <v>10</v>
      </c>
      <c r="G385" s="16" t="s">
        <v>3715</v>
      </c>
      <c r="H385" s="16" t="s">
        <v>12</v>
      </c>
      <c r="I385" s="17"/>
      <c r="J385" s="16" t="s">
        <v>13</v>
      </c>
      <c r="K385" s="16" t="s">
        <v>93</v>
      </c>
      <c r="L385" s="154">
        <v>44152.0</v>
      </c>
      <c r="M385" s="16">
        <f t="shared" si="1"/>
        <v>6</v>
      </c>
      <c r="N385" s="17"/>
      <c r="O385" s="111"/>
      <c r="Q385" s="152" t="s">
        <v>4178</v>
      </c>
      <c r="R385" s="17"/>
      <c r="S385" s="16" t="s">
        <v>3671</v>
      </c>
      <c r="T385" s="17"/>
      <c r="U385" s="16" t="s">
        <v>3165</v>
      </c>
      <c r="V385" s="16" t="s">
        <v>3681</v>
      </c>
      <c r="W385" s="17"/>
      <c r="X385" s="17"/>
      <c r="Y385" s="16" t="s">
        <v>3165</v>
      </c>
      <c r="Z385" s="16" t="s">
        <v>3681</v>
      </c>
      <c r="AA385" s="17"/>
      <c r="AB385" s="17"/>
    </row>
    <row r="386">
      <c r="A386" s="16">
        <f t="shared" si="2"/>
        <v>385</v>
      </c>
      <c r="B386" s="16" t="s">
        <v>1103</v>
      </c>
      <c r="C386" s="16" t="s">
        <v>1104</v>
      </c>
      <c r="D386" s="16" t="s">
        <v>1105</v>
      </c>
      <c r="E386" s="16" t="s">
        <v>3106</v>
      </c>
      <c r="F386" s="16" t="s">
        <v>10</v>
      </c>
      <c r="G386" s="16" t="s">
        <v>3669</v>
      </c>
      <c r="H386" s="16" t="s">
        <v>12</v>
      </c>
      <c r="I386" s="16" t="s">
        <v>3396</v>
      </c>
      <c r="J386" s="16" t="s">
        <v>13</v>
      </c>
      <c r="K386" s="16" t="s">
        <v>11</v>
      </c>
      <c r="L386" s="154">
        <v>44347.0</v>
      </c>
      <c r="M386" s="16">
        <f t="shared" si="1"/>
        <v>5</v>
      </c>
      <c r="N386" s="135">
        <v>5.0004077E7</v>
      </c>
      <c r="O386" s="17"/>
      <c r="Q386" s="152" t="s">
        <v>4179</v>
      </c>
      <c r="R386" s="17"/>
      <c r="S386" s="16" t="s">
        <v>3671</v>
      </c>
      <c r="T386" s="17"/>
      <c r="U386" s="16" t="s">
        <v>3165</v>
      </c>
      <c r="V386" s="16" t="s">
        <v>3681</v>
      </c>
      <c r="W386" s="17"/>
      <c r="X386" s="17"/>
      <c r="Y386" s="16" t="s">
        <v>3165</v>
      </c>
      <c r="Z386" s="16" t="s">
        <v>3681</v>
      </c>
      <c r="AA386" s="17"/>
      <c r="AB386" s="17"/>
    </row>
    <row r="387">
      <c r="A387" s="16">
        <f t="shared" si="2"/>
        <v>386</v>
      </c>
      <c r="B387" s="16" t="s">
        <v>1106</v>
      </c>
      <c r="C387" s="16" t="s">
        <v>1107</v>
      </c>
      <c r="D387" s="16" t="s">
        <v>1108</v>
      </c>
      <c r="E387" s="16" t="s">
        <v>3106</v>
      </c>
      <c r="F387" s="16" t="s">
        <v>10</v>
      </c>
      <c r="G387" s="16" t="s">
        <v>3669</v>
      </c>
      <c r="H387" s="16" t="s">
        <v>12</v>
      </c>
      <c r="I387" s="16" t="s">
        <v>3396</v>
      </c>
      <c r="J387" s="16" t="s">
        <v>13</v>
      </c>
      <c r="K387" s="16" t="s">
        <v>11</v>
      </c>
      <c r="L387" s="154">
        <v>44347.0</v>
      </c>
      <c r="M387" s="16">
        <f t="shared" si="1"/>
        <v>5</v>
      </c>
      <c r="N387" s="135">
        <v>5.0004077E7</v>
      </c>
      <c r="O387" s="17"/>
      <c r="Q387" s="152" t="s">
        <v>4180</v>
      </c>
      <c r="R387" s="17"/>
      <c r="S387" s="16" t="s">
        <v>3671</v>
      </c>
      <c r="T387" s="17"/>
      <c r="U387" s="16" t="s">
        <v>3165</v>
      </c>
      <c r="V387" s="16" t="s">
        <v>3681</v>
      </c>
      <c r="W387" s="17"/>
      <c r="X387" s="17"/>
      <c r="Y387" s="16" t="s">
        <v>3165</v>
      </c>
      <c r="Z387" s="16" t="s">
        <v>3681</v>
      </c>
      <c r="AA387" s="17"/>
      <c r="AB387" s="17"/>
    </row>
    <row r="388">
      <c r="A388" s="16">
        <f t="shared" si="2"/>
        <v>387</v>
      </c>
      <c r="B388" s="16" t="s">
        <v>1109</v>
      </c>
      <c r="C388" s="16" t="s">
        <v>1110</v>
      </c>
      <c r="D388" s="16" t="s">
        <v>1111</v>
      </c>
      <c r="E388" s="16" t="s">
        <v>3106</v>
      </c>
      <c r="F388" s="16" t="s">
        <v>10</v>
      </c>
      <c r="G388" s="16" t="s">
        <v>775</v>
      </c>
      <c r="H388" s="16" t="s">
        <v>12</v>
      </c>
      <c r="I388" s="16" t="s">
        <v>4062</v>
      </c>
      <c r="J388" s="16" t="s">
        <v>79</v>
      </c>
      <c r="K388" s="16" t="s">
        <v>775</v>
      </c>
      <c r="L388" s="154">
        <v>44312.0</v>
      </c>
      <c r="M388" s="16">
        <f t="shared" si="1"/>
        <v>5</v>
      </c>
      <c r="N388" s="135">
        <v>5.0003988E7</v>
      </c>
      <c r="O388" s="17"/>
      <c r="Q388" s="152" t="s">
        <v>4181</v>
      </c>
      <c r="R388" s="17"/>
      <c r="S388" s="16" t="s">
        <v>3671</v>
      </c>
      <c r="T388" s="17"/>
      <c r="U388" s="16" t="s">
        <v>3165</v>
      </c>
      <c r="V388" s="16" t="s">
        <v>3681</v>
      </c>
      <c r="W388" s="17"/>
      <c r="X388" s="17"/>
      <c r="Y388" s="16" t="s">
        <v>3165</v>
      </c>
      <c r="Z388" s="16" t="s">
        <v>3681</v>
      </c>
      <c r="AA388" s="17"/>
      <c r="AB388" s="17"/>
    </row>
    <row r="389">
      <c r="A389" s="16">
        <f t="shared" si="2"/>
        <v>388</v>
      </c>
      <c r="B389" s="16" t="s">
        <v>1112</v>
      </c>
      <c r="C389" s="16" t="s">
        <v>1113</v>
      </c>
      <c r="D389" s="16" t="s">
        <v>1114</v>
      </c>
      <c r="E389" s="16" t="s">
        <v>3106</v>
      </c>
      <c r="F389" s="16" t="s">
        <v>10</v>
      </c>
      <c r="G389" s="16" t="s">
        <v>775</v>
      </c>
      <c r="H389" s="16" t="s">
        <v>12</v>
      </c>
      <c r="I389" s="16" t="s">
        <v>4062</v>
      </c>
      <c r="J389" s="16" t="s">
        <v>79</v>
      </c>
      <c r="K389" s="16" t="s">
        <v>775</v>
      </c>
      <c r="L389" s="154">
        <v>44312.0</v>
      </c>
      <c r="M389" s="16">
        <f t="shared" si="1"/>
        <v>5</v>
      </c>
      <c r="N389" s="135">
        <v>5.0003988E7</v>
      </c>
      <c r="O389" s="17"/>
      <c r="Q389" s="152" t="s">
        <v>4182</v>
      </c>
      <c r="R389" s="17"/>
      <c r="S389" s="16" t="s">
        <v>3671</v>
      </c>
      <c r="T389" s="17"/>
      <c r="U389" s="16" t="s">
        <v>3165</v>
      </c>
      <c r="V389" s="16" t="s">
        <v>3681</v>
      </c>
      <c r="W389" s="17"/>
      <c r="X389" s="17"/>
      <c r="Y389" s="16" t="s">
        <v>3165</v>
      </c>
      <c r="Z389" s="16" t="s">
        <v>3681</v>
      </c>
      <c r="AA389" s="17"/>
      <c r="AB389" s="17"/>
    </row>
    <row r="390">
      <c r="A390" s="16">
        <f t="shared" si="2"/>
        <v>389</v>
      </c>
      <c r="B390" s="16" t="s">
        <v>1115</v>
      </c>
      <c r="C390" s="16" t="s">
        <v>1116</v>
      </c>
      <c r="D390" s="16" t="s">
        <v>1117</v>
      </c>
      <c r="E390" s="16" t="s">
        <v>3106</v>
      </c>
      <c r="F390" s="16" t="s">
        <v>10</v>
      </c>
      <c r="G390" s="16" t="s">
        <v>775</v>
      </c>
      <c r="H390" s="16" t="s">
        <v>12</v>
      </c>
      <c r="I390" s="16" t="s">
        <v>4062</v>
      </c>
      <c r="J390" s="16" t="s">
        <v>79</v>
      </c>
      <c r="K390" s="16" t="s">
        <v>775</v>
      </c>
      <c r="L390" s="154">
        <v>44312.0</v>
      </c>
      <c r="M390" s="16">
        <f t="shared" si="1"/>
        <v>5</v>
      </c>
      <c r="N390" s="135">
        <v>5.0003988E7</v>
      </c>
      <c r="O390" s="17"/>
      <c r="Q390" s="152" t="s">
        <v>4183</v>
      </c>
      <c r="R390" s="17"/>
      <c r="S390" s="16" t="s">
        <v>3671</v>
      </c>
      <c r="T390" s="17"/>
      <c r="U390" s="16" t="s">
        <v>3165</v>
      </c>
      <c r="V390" s="16" t="s">
        <v>3681</v>
      </c>
      <c r="W390" s="17"/>
      <c r="X390" s="17"/>
      <c r="Y390" s="16" t="s">
        <v>3165</v>
      </c>
      <c r="Z390" s="16" t="s">
        <v>3681</v>
      </c>
      <c r="AA390" s="17"/>
      <c r="AB390" s="17"/>
    </row>
    <row r="391">
      <c r="A391" s="16">
        <f t="shared" si="2"/>
        <v>390</v>
      </c>
      <c r="B391" s="16" t="s">
        <v>1118</v>
      </c>
      <c r="C391" s="16" t="s">
        <v>1119</v>
      </c>
      <c r="D391" s="16" t="s">
        <v>1120</v>
      </c>
      <c r="E391" s="16" t="s">
        <v>3106</v>
      </c>
      <c r="F391" s="16" t="s">
        <v>10</v>
      </c>
      <c r="G391" s="16" t="s">
        <v>4049</v>
      </c>
      <c r="H391" s="16" t="s">
        <v>12</v>
      </c>
      <c r="I391" s="17"/>
      <c r="J391" s="16" t="s">
        <v>36</v>
      </c>
      <c r="K391" s="16" t="s">
        <v>756</v>
      </c>
      <c r="L391" s="154">
        <v>43942.0</v>
      </c>
      <c r="M391" s="16">
        <f t="shared" si="1"/>
        <v>6</v>
      </c>
      <c r="N391" s="17"/>
      <c r="O391" s="111"/>
      <c r="Q391" s="152" t="s">
        <v>4184</v>
      </c>
      <c r="R391" s="17"/>
      <c r="S391" s="16" t="s">
        <v>3671</v>
      </c>
      <c r="T391" s="17"/>
      <c r="U391" s="16" t="s">
        <v>3165</v>
      </c>
      <c r="V391" s="16" t="s">
        <v>3681</v>
      </c>
      <c r="W391" s="17"/>
      <c r="X391" s="17"/>
      <c r="Y391" s="16" t="s">
        <v>3165</v>
      </c>
      <c r="Z391" s="16" t="s">
        <v>3681</v>
      </c>
      <c r="AA391" s="17"/>
      <c r="AB391" s="17"/>
    </row>
    <row r="392">
      <c r="A392" s="16">
        <f t="shared" si="2"/>
        <v>391</v>
      </c>
      <c r="B392" s="16" t="s">
        <v>1121</v>
      </c>
      <c r="C392" s="16" t="s">
        <v>1122</v>
      </c>
      <c r="D392" s="16" t="s">
        <v>1123</v>
      </c>
      <c r="E392" s="16" t="s">
        <v>3106</v>
      </c>
      <c r="F392" s="16" t="s">
        <v>10</v>
      </c>
      <c r="G392" s="16" t="s">
        <v>3669</v>
      </c>
      <c r="H392" s="16" t="s">
        <v>12</v>
      </c>
      <c r="I392" s="16" t="s">
        <v>3396</v>
      </c>
      <c r="J392" s="16" t="s">
        <v>13</v>
      </c>
      <c r="K392" s="16" t="s">
        <v>11</v>
      </c>
      <c r="L392" s="154">
        <v>44347.0</v>
      </c>
      <c r="M392" s="16">
        <f t="shared" si="1"/>
        <v>5</v>
      </c>
      <c r="N392" s="135">
        <v>5.0004077E7</v>
      </c>
      <c r="O392" s="17"/>
      <c r="Q392" s="152" t="s">
        <v>4185</v>
      </c>
      <c r="R392" s="17"/>
      <c r="S392" s="16" t="s">
        <v>3671</v>
      </c>
      <c r="T392" s="17"/>
      <c r="U392" s="16" t="s">
        <v>3165</v>
      </c>
      <c r="V392" s="16" t="s">
        <v>3681</v>
      </c>
      <c r="W392" s="17"/>
      <c r="X392" s="17"/>
      <c r="Y392" s="16" t="s">
        <v>3165</v>
      </c>
      <c r="Z392" s="16" t="s">
        <v>3681</v>
      </c>
      <c r="AA392" s="17"/>
      <c r="AB392" s="17"/>
    </row>
    <row r="393">
      <c r="A393" s="16">
        <f t="shared" si="2"/>
        <v>392</v>
      </c>
      <c r="B393" s="16" t="s">
        <v>1124</v>
      </c>
      <c r="C393" s="16" t="s">
        <v>1125</v>
      </c>
      <c r="D393" s="16" t="s">
        <v>1126</v>
      </c>
      <c r="E393" s="16" t="s">
        <v>3106</v>
      </c>
      <c r="F393" s="16" t="s">
        <v>10</v>
      </c>
      <c r="G393" s="16" t="s">
        <v>3715</v>
      </c>
      <c r="H393" s="16" t="s">
        <v>12</v>
      </c>
      <c r="I393" s="17"/>
      <c r="J393" s="16" t="s">
        <v>13</v>
      </c>
      <c r="K393" s="16" t="s">
        <v>93</v>
      </c>
      <c r="L393" s="154">
        <v>44152.0</v>
      </c>
      <c r="M393" s="16">
        <f t="shared" si="1"/>
        <v>6</v>
      </c>
      <c r="N393" s="17"/>
      <c r="O393" s="111"/>
      <c r="Q393" s="152" t="s">
        <v>4186</v>
      </c>
      <c r="R393" s="17"/>
      <c r="S393" s="16" t="s">
        <v>3671</v>
      </c>
      <c r="T393" s="17"/>
      <c r="U393" s="16" t="s">
        <v>3165</v>
      </c>
      <c r="V393" s="16" t="s">
        <v>3681</v>
      </c>
      <c r="W393" s="17"/>
      <c r="X393" s="17"/>
      <c r="Y393" s="16" t="s">
        <v>3165</v>
      </c>
      <c r="Z393" s="16" t="s">
        <v>3681</v>
      </c>
      <c r="AA393" s="17"/>
      <c r="AB393" s="17"/>
    </row>
    <row r="394">
      <c r="A394" s="16">
        <f t="shared" si="2"/>
        <v>393</v>
      </c>
      <c r="B394" s="16" t="s">
        <v>1127</v>
      </c>
      <c r="C394" s="16" t="s">
        <v>1128</v>
      </c>
      <c r="D394" s="16" t="s">
        <v>1129</v>
      </c>
      <c r="E394" s="16" t="s">
        <v>3106</v>
      </c>
      <c r="F394" s="16" t="s">
        <v>10</v>
      </c>
      <c r="G394" s="16" t="s">
        <v>4049</v>
      </c>
      <c r="H394" s="16" t="s">
        <v>12</v>
      </c>
      <c r="I394" s="17"/>
      <c r="J394" s="16" t="s">
        <v>36</v>
      </c>
      <c r="K394" s="16" t="s">
        <v>756</v>
      </c>
      <c r="L394" s="154">
        <v>43942.0</v>
      </c>
      <c r="M394" s="16">
        <f t="shared" si="1"/>
        <v>6</v>
      </c>
      <c r="N394" s="17"/>
      <c r="O394" s="111"/>
      <c r="Q394" s="152" t="s">
        <v>3604</v>
      </c>
      <c r="R394" s="17"/>
      <c r="S394" s="16" t="s">
        <v>3671</v>
      </c>
      <c r="T394" s="17"/>
      <c r="U394" s="16" t="s">
        <v>3165</v>
      </c>
      <c r="V394" s="16" t="s">
        <v>3681</v>
      </c>
      <c r="W394" s="17"/>
      <c r="X394" s="17"/>
      <c r="Y394" s="16" t="s">
        <v>3165</v>
      </c>
      <c r="Z394" s="16" t="s">
        <v>3681</v>
      </c>
      <c r="AA394" s="17"/>
      <c r="AB394" s="17"/>
    </row>
    <row r="395">
      <c r="A395" s="16">
        <f t="shared" si="2"/>
        <v>394</v>
      </c>
      <c r="B395" s="16" t="s">
        <v>1130</v>
      </c>
      <c r="C395" s="16" t="s">
        <v>1131</v>
      </c>
      <c r="D395" s="16" t="s">
        <v>1132</v>
      </c>
      <c r="E395" s="16" t="s">
        <v>3106</v>
      </c>
      <c r="F395" s="16" t="s">
        <v>10</v>
      </c>
      <c r="G395" s="16" t="s">
        <v>4049</v>
      </c>
      <c r="H395" s="16" t="s">
        <v>12</v>
      </c>
      <c r="I395" s="17"/>
      <c r="J395" s="16" t="s">
        <v>36</v>
      </c>
      <c r="K395" s="16" t="s">
        <v>756</v>
      </c>
      <c r="L395" s="154">
        <v>43942.0</v>
      </c>
      <c r="M395" s="16">
        <f t="shared" si="1"/>
        <v>6</v>
      </c>
      <c r="N395" s="17"/>
      <c r="O395" s="111"/>
      <c r="Q395" s="152" t="s">
        <v>4187</v>
      </c>
      <c r="R395" s="17"/>
      <c r="S395" s="16" t="s">
        <v>3671</v>
      </c>
      <c r="T395" s="17"/>
      <c r="U395" s="16" t="s">
        <v>3165</v>
      </c>
      <c r="V395" s="16" t="s">
        <v>3681</v>
      </c>
      <c r="W395" s="17"/>
      <c r="X395" s="17"/>
      <c r="Y395" s="16" t="s">
        <v>3165</v>
      </c>
      <c r="Z395" s="16" t="s">
        <v>3681</v>
      </c>
      <c r="AA395" s="17"/>
      <c r="AB395" s="17"/>
    </row>
    <row r="396">
      <c r="A396" s="16">
        <f t="shared" si="2"/>
        <v>395</v>
      </c>
      <c r="B396" s="16" t="s">
        <v>1133</v>
      </c>
      <c r="C396" s="16" t="s">
        <v>1134</v>
      </c>
      <c r="D396" s="16" t="s">
        <v>1135</v>
      </c>
      <c r="E396" s="16" t="s">
        <v>3106</v>
      </c>
      <c r="F396" s="16" t="s">
        <v>10</v>
      </c>
      <c r="G396" s="16" t="s">
        <v>775</v>
      </c>
      <c r="H396" s="16" t="s">
        <v>12</v>
      </c>
      <c r="I396" s="16" t="s">
        <v>4062</v>
      </c>
      <c r="J396" s="16" t="s">
        <v>79</v>
      </c>
      <c r="K396" s="16" t="s">
        <v>775</v>
      </c>
      <c r="L396" s="154">
        <v>44312.0</v>
      </c>
      <c r="M396" s="16">
        <f t="shared" si="1"/>
        <v>5</v>
      </c>
      <c r="N396" s="135">
        <v>5.0003988E7</v>
      </c>
      <c r="O396" s="17"/>
      <c r="Q396" s="152" t="s">
        <v>4188</v>
      </c>
      <c r="R396" s="17"/>
      <c r="S396" s="16" t="s">
        <v>3671</v>
      </c>
      <c r="T396" s="17"/>
      <c r="U396" s="16" t="s">
        <v>3165</v>
      </c>
      <c r="V396" s="16" t="s">
        <v>3681</v>
      </c>
      <c r="W396" s="17"/>
      <c r="X396" s="17"/>
      <c r="Y396" s="16" t="s">
        <v>3165</v>
      </c>
      <c r="Z396" s="16" t="s">
        <v>3681</v>
      </c>
      <c r="AA396" s="17"/>
      <c r="AB396" s="17"/>
    </row>
    <row r="397">
      <c r="A397" s="16">
        <f t="shared" si="2"/>
        <v>396</v>
      </c>
      <c r="B397" s="16" t="s">
        <v>1136</v>
      </c>
      <c r="C397" s="16" t="s">
        <v>1137</v>
      </c>
      <c r="D397" s="16" t="s">
        <v>1138</v>
      </c>
      <c r="E397" s="16" t="s">
        <v>3106</v>
      </c>
      <c r="F397" s="16" t="s">
        <v>10</v>
      </c>
      <c r="G397" s="16" t="s">
        <v>775</v>
      </c>
      <c r="H397" s="16" t="s">
        <v>12</v>
      </c>
      <c r="I397" s="16" t="s">
        <v>4062</v>
      </c>
      <c r="J397" s="16" t="s">
        <v>79</v>
      </c>
      <c r="K397" s="16" t="s">
        <v>775</v>
      </c>
      <c r="L397" s="154">
        <v>44312.0</v>
      </c>
      <c r="M397" s="16">
        <f t="shared" si="1"/>
        <v>5</v>
      </c>
      <c r="N397" s="135">
        <v>5.0003988E7</v>
      </c>
      <c r="O397" s="17"/>
      <c r="Q397" s="152" t="s">
        <v>4189</v>
      </c>
      <c r="R397" s="17"/>
      <c r="S397" s="16" t="s">
        <v>3671</v>
      </c>
      <c r="T397" s="17"/>
      <c r="U397" s="16" t="s">
        <v>3165</v>
      </c>
      <c r="V397" s="16" t="s">
        <v>3681</v>
      </c>
      <c r="W397" s="17"/>
      <c r="X397" s="17"/>
      <c r="Y397" s="16" t="s">
        <v>3165</v>
      </c>
      <c r="Z397" s="16" t="s">
        <v>3681</v>
      </c>
      <c r="AA397" s="17"/>
      <c r="AB397" s="17"/>
    </row>
    <row r="398">
      <c r="A398" s="16">
        <f t="shared" si="2"/>
        <v>397</v>
      </c>
      <c r="B398" s="16" t="s">
        <v>1139</v>
      </c>
      <c r="C398" s="16" t="s">
        <v>1140</v>
      </c>
      <c r="D398" s="16" t="s">
        <v>1141</v>
      </c>
      <c r="E398" s="16" t="s">
        <v>3106</v>
      </c>
      <c r="F398" s="16" t="s">
        <v>10</v>
      </c>
      <c r="G398" s="16" t="s">
        <v>775</v>
      </c>
      <c r="H398" s="16" t="s">
        <v>12</v>
      </c>
      <c r="I398" s="16" t="s">
        <v>4062</v>
      </c>
      <c r="J398" s="16" t="s">
        <v>79</v>
      </c>
      <c r="K398" s="16" t="s">
        <v>775</v>
      </c>
      <c r="L398" s="154">
        <v>44312.0</v>
      </c>
      <c r="M398" s="16">
        <f t="shared" si="1"/>
        <v>5</v>
      </c>
      <c r="N398" s="135">
        <v>5.0003988E7</v>
      </c>
      <c r="O398" s="17"/>
      <c r="Q398" s="152" t="s">
        <v>4190</v>
      </c>
      <c r="R398" s="17"/>
      <c r="S398" s="16" t="s">
        <v>3671</v>
      </c>
      <c r="T398" s="17"/>
      <c r="U398" s="16" t="s">
        <v>3165</v>
      </c>
      <c r="V398" s="16" t="s">
        <v>3681</v>
      </c>
      <c r="W398" s="17"/>
      <c r="X398" s="17"/>
      <c r="Y398" s="16" t="s">
        <v>3165</v>
      </c>
      <c r="Z398" s="16" t="s">
        <v>3681</v>
      </c>
      <c r="AA398" s="17"/>
      <c r="AB398" s="17"/>
    </row>
    <row r="399">
      <c r="A399" s="16">
        <f t="shared" si="2"/>
        <v>398</v>
      </c>
      <c r="B399" s="16" t="s">
        <v>1142</v>
      </c>
      <c r="C399" s="16" t="s">
        <v>1143</v>
      </c>
      <c r="D399" s="16" t="s">
        <v>1144</v>
      </c>
      <c r="E399" s="16" t="s">
        <v>3106</v>
      </c>
      <c r="F399" s="16" t="s">
        <v>10</v>
      </c>
      <c r="G399" s="16" t="s">
        <v>3669</v>
      </c>
      <c r="H399" s="16" t="s">
        <v>12</v>
      </c>
      <c r="I399" s="16" t="s">
        <v>3396</v>
      </c>
      <c r="J399" s="16" t="s">
        <v>13</v>
      </c>
      <c r="K399" s="16" t="s">
        <v>11</v>
      </c>
      <c r="L399" s="154">
        <v>44347.0</v>
      </c>
      <c r="M399" s="16">
        <f t="shared" si="1"/>
        <v>5</v>
      </c>
      <c r="N399" s="135">
        <v>5.0004077E7</v>
      </c>
      <c r="O399" s="17"/>
      <c r="Q399" s="152" t="s">
        <v>4191</v>
      </c>
      <c r="R399" s="17"/>
      <c r="S399" s="16" t="s">
        <v>3671</v>
      </c>
      <c r="T399" s="17"/>
      <c r="U399" s="16" t="s">
        <v>3165</v>
      </c>
      <c r="V399" s="16" t="s">
        <v>3681</v>
      </c>
      <c r="W399" s="17"/>
      <c r="X399" s="17"/>
      <c r="Y399" s="16" t="s">
        <v>3165</v>
      </c>
      <c r="Z399" s="16" t="s">
        <v>3681</v>
      </c>
      <c r="AA399" s="17"/>
      <c r="AB399" s="17"/>
    </row>
    <row r="400">
      <c r="A400" s="16">
        <f t="shared" si="2"/>
        <v>399</v>
      </c>
      <c r="B400" s="16" t="s">
        <v>1145</v>
      </c>
      <c r="C400" s="16" t="s">
        <v>1146</v>
      </c>
      <c r="D400" s="16" t="s">
        <v>1147</v>
      </c>
      <c r="E400" s="16" t="s">
        <v>3106</v>
      </c>
      <c r="F400" s="16" t="s">
        <v>10</v>
      </c>
      <c r="G400" s="16" t="s">
        <v>4049</v>
      </c>
      <c r="H400" s="16" t="s">
        <v>12</v>
      </c>
      <c r="I400" s="17"/>
      <c r="J400" s="16" t="s">
        <v>36</v>
      </c>
      <c r="K400" s="16" t="s">
        <v>756</v>
      </c>
      <c r="L400" s="154">
        <v>43942.0</v>
      </c>
      <c r="M400" s="16">
        <f t="shared" si="1"/>
        <v>6</v>
      </c>
      <c r="N400" s="17"/>
      <c r="O400" s="111"/>
      <c r="Q400" s="152" t="s">
        <v>4192</v>
      </c>
      <c r="R400" s="17"/>
      <c r="S400" s="16" t="s">
        <v>3671</v>
      </c>
      <c r="T400" s="17"/>
      <c r="U400" s="16" t="s">
        <v>3165</v>
      </c>
      <c r="V400" s="16" t="s">
        <v>3681</v>
      </c>
      <c r="W400" s="17"/>
      <c r="X400" s="17"/>
      <c r="Y400" s="16" t="s">
        <v>3165</v>
      </c>
      <c r="Z400" s="16" t="s">
        <v>3681</v>
      </c>
      <c r="AA400" s="17"/>
      <c r="AB400" s="17"/>
    </row>
    <row r="401">
      <c r="A401" s="16">
        <f t="shared" si="2"/>
        <v>400</v>
      </c>
      <c r="B401" s="16" t="s">
        <v>1148</v>
      </c>
      <c r="C401" s="16" t="s">
        <v>1149</v>
      </c>
      <c r="D401" s="16" t="s">
        <v>1150</v>
      </c>
      <c r="E401" s="16" t="s">
        <v>3106</v>
      </c>
      <c r="F401" s="16" t="s">
        <v>10</v>
      </c>
      <c r="G401" s="16" t="s">
        <v>775</v>
      </c>
      <c r="H401" s="16" t="s">
        <v>12</v>
      </c>
      <c r="I401" s="16" t="s">
        <v>4062</v>
      </c>
      <c r="J401" s="16" t="s">
        <v>79</v>
      </c>
      <c r="K401" s="16" t="s">
        <v>775</v>
      </c>
      <c r="L401" s="154">
        <v>44312.0</v>
      </c>
      <c r="M401" s="16">
        <f t="shared" si="1"/>
        <v>5</v>
      </c>
      <c r="N401" s="135">
        <v>5.0003988E7</v>
      </c>
      <c r="O401" s="17"/>
      <c r="Q401" s="152" t="s">
        <v>4193</v>
      </c>
      <c r="R401" s="17"/>
      <c r="S401" s="16" t="s">
        <v>3671</v>
      </c>
      <c r="T401" s="17"/>
      <c r="U401" s="16" t="s">
        <v>3165</v>
      </c>
      <c r="V401" s="16" t="s">
        <v>3681</v>
      </c>
      <c r="W401" s="17"/>
      <c r="X401" s="17"/>
      <c r="Y401" s="16" t="s">
        <v>3165</v>
      </c>
      <c r="Z401" s="16" t="s">
        <v>3681</v>
      </c>
      <c r="AA401" s="17"/>
      <c r="AB401" s="17"/>
    </row>
    <row r="402">
      <c r="A402" s="16">
        <f t="shared" si="2"/>
        <v>401</v>
      </c>
      <c r="B402" s="16" t="s">
        <v>1151</v>
      </c>
      <c r="C402" s="16" t="s">
        <v>1152</v>
      </c>
      <c r="D402" s="16" t="s">
        <v>1153</v>
      </c>
      <c r="E402" s="16" t="s">
        <v>3106</v>
      </c>
      <c r="F402" s="16" t="s">
        <v>10</v>
      </c>
      <c r="G402" s="16" t="s">
        <v>3715</v>
      </c>
      <c r="H402" s="16" t="s">
        <v>12</v>
      </c>
      <c r="I402" s="17"/>
      <c r="J402" s="16" t="s">
        <v>13</v>
      </c>
      <c r="K402" s="16" t="s">
        <v>93</v>
      </c>
      <c r="L402" s="154">
        <v>44152.0</v>
      </c>
      <c r="M402" s="16">
        <f t="shared" si="1"/>
        <v>6</v>
      </c>
      <c r="N402" s="17"/>
      <c r="O402" s="111"/>
      <c r="Q402" s="152" t="s">
        <v>4194</v>
      </c>
      <c r="R402" s="17"/>
      <c r="S402" s="16" t="s">
        <v>3671</v>
      </c>
      <c r="T402" s="17"/>
      <c r="U402" s="16" t="s">
        <v>3165</v>
      </c>
      <c r="V402" s="16" t="s">
        <v>3681</v>
      </c>
      <c r="W402" s="17"/>
      <c r="X402" s="17"/>
      <c r="Y402" s="16" t="s">
        <v>3165</v>
      </c>
      <c r="Z402" s="16" t="s">
        <v>3681</v>
      </c>
      <c r="AA402" s="17"/>
      <c r="AB402" s="17"/>
    </row>
    <row r="403">
      <c r="A403" s="16">
        <f t="shared" si="2"/>
        <v>402</v>
      </c>
      <c r="B403" s="16" t="s">
        <v>1154</v>
      </c>
      <c r="C403" s="16" t="s">
        <v>1155</v>
      </c>
      <c r="D403" s="16" t="s">
        <v>1156</v>
      </c>
      <c r="E403" s="16" t="s">
        <v>3106</v>
      </c>
      <c r="F403" s="16" t="s">
        <v>10</v>
      </c>
      <c r="G403" s="16" t="s">
        <v>3669</v>
      </c>
      <c r="H403" s="16" t="s">
        <v>12</v>
      </c>
      <c r="I403" s="16" t="s">
        <v>3396</v>
      </c>
      <c r="J403" s="16" t="s">
        <v>13</v>
      </c>
      <c r="K403" s="16" t="s">
        <v>11</v>
      </c>
      <c r="L403" s="154">
        <v>44347.0</v>
      </c>
      <c r="M403" s="16">
        <f t="shared" si="1"/>
        <v>5</v>
      </c>
      <c r="N403" s="135">
        <v>5.0004077E7</v>
      </c>
      <c r="O403" s="17"/>
      <c r="Q403" s="152" t="s">
        <v>4195</v>
      </c>
      <c r="R403" s="17"/>
      <c r="S403" s="16" t="s">
        <v>3671</v>
      </c>
      <c r="T403" s="17"/>
      <c r="U403" s="16" t="s">
        <v>3165</v>
      </c>
      <c r="V403" s="16" t="s">
        <v>3681</v>
      </c>
      <c r="W403" s="17"/>
      <c r="X403" s="17"/>
      <c r="Y403" s="16" t="s">
        <v>3165</v>
      </c>
      <c r="Z403" s="16" t="s">
        <v>3681</v>
      </c>
      <c r="AA403" s="17"/>
      <c r="AB403" s="17"/>
    </row>
    <row r="404">
      <c r="A404" s="16">
        <f t="shared" si="2"/>
        <v>403</v>
      </c>
      <c r="B404" s="16" t="s">
        <v>1157</v>
      </c>
      <c r="C404" s="16" t="s">
        <v>1158</v>
      </c>
      <c r="D404" s="16" t="s">
        <v>1159</v>
      </c>
      <c r="E404" s="16" t="s">
        <v>3106</v>
      </c>
      <c r="F404" s="16" t="s">
        <v>10</v>
      </c>
      <c r="G404" s="16" t="s">
        <v>3715</v>
      </c>
      <c r="H404" s="16" t="s">
        <v>12</v>
      </c>
      <c r="I404" s="17"/>
      <c r="J404" s="16" t="s">
        <v>13</v>
      </c>
      <c r="K404" s="16" t="s">
        <v>93</v>
      </c>
      <c r="L404" s="154">
        <v>44152.0</v>
      </c>
      <c r="M404" s="16">
        <f t="shared" si="1"/>
        <v>6</v>
      </c>
      <c r="N404" s="17"/>
      <c r="O404" s="111"/>
      <c r="Q404" s="152" t="s">
        <v>4196</v>
      </c>
      <c r="R404" s="17"/>
      <c r="S404" s="16" t="s">
        <v>3671</v>
      </c>
      <c r="T404" s="17"/>
      <c r="U404" s="16" t="s">
        <v>3165</v>
      </c>
      <c r="V404" s="16" t="s">
        <v>3681</v>
      </c>
      <c r="W404" s="17"/>
      <c r="X404" s="17"/>
      <c r="Y404" s="16" t="s">
        <v>3165</v>
      </c>
      <c r="Z404" s="16" t="s">
        <v>3681</v>
      </c>
      <c r="AA404" s="17"/>
      <c r="AB404" s="17"/>
    </row>
    <row r="405">
      <c r="A405" s="16">
        <f t="shared" si="2"/>
        <v>404</v>
      </c>
      <c r="B405" s="16" t="s">
        <v>1160</v>
      </c>
      <c r="C405" s="16" t="s">
        <v>1161</v>
      </c>
      <c r="D405" s="16" t="s">
        <v>1162</v>
      </c>
      <c r="E405" s="16" t="s">
        <v>3106</v>
      </c>
      <c r="F405" s="16" t="s">
        <v>10</v>
      </c>
      <c r="G405" s="16" t="s">
        <v>3715</v>
      </c>
      <c r="H405" s="16" t="s">
        <v>12</v>
      </c>
      <c r="I405" s="17"/>
      <c r="J405" s="16" t="s">
        <v>13</v>
      </c>
      <c r="K405" s="16" t="s">
        <v>93</v>
      </c>
      <c r="L405" s="154">
        <v>44152.0</v>
      </c>
      <c r="M405" s="16">
        <f t="shared" si="1"/>
        <v>6</v>
      </c>
      <c r="N405" s="17"/>
      <c r="O405" s="111"/>
      <c r="Q405" s="152" t="s">
        <v>4197</v>
      </c>
      <c r="R405" s="17"/>
      <c r="S405" s="16" t="s">
        <v>3671</v>
      </c>
      <c r="T405" s="17"/>
      <c r="U405" s="16" t="s">
        <v>3165</v>
      </c>
      <c r="V405" s="16" t="s">
        <v>3681</v>
      </c>
      <c r="W405" s="17"/>
      <c r="X405" s="17"/>
      <c r="Y405" s="16" t="s">
        <v>3165</v>
      </c>
      <c r="Z405" s="16" t="s">
        <v>3681</v>
      </c>
      <c r="AA405" s="17"/>
      <c r="AB405" s="17"/>
    </row>
    <row r="406">
      <c r="A406" s="16">
        <f t="shared" si="2"/>
        <v>405</v>
      </c>
      <c r="B406" s="16" t="s">
        <v>1163</v>
      </c>
      <c r="C406" s="16" t="s">
        <v>1164</v>
      </c>
      <c r="D406" s="16" t="s">
        <v>1165</v>
      </c>
      <c r="E406" s="16" t="s">
        <v>3106</v>
      </c>
      <c r="F406" s="16" t="s">
        <v>10</v>
      </c>
      <c r="G406" s="16" t="s">
        <v>3715</v>
      </c>
      <c r="H406" s="16" t="s">
        <v>12</v>
      </c>
      <c r="I406" s="17"/>
      <c r="J406" s="16" t="s">
        <v>13</v>
      </c>
      <c r="K406" s="16" t="s">
        <v>93</v>
      </c>
      <c r="L406" s="154">
        <v>44152.0</v>
      </c>
      <c r="M406" s="16">
        <f t="shared" si="1"/>
        <v>6</v>
      </c>
      <c r="N406" s="17"/>
      <c r="O406" s="111"/>
      <c r="Q406" s="152" t="s">
        <v>4198</v>
      </c>
      <c r="R406" s="17"/>
      <c r="S406" s="16" t="s">
        <v>3671</v>
      </c>
      <c r="T406" s="17"/>
      <c r="U406" s="16" t="s">
        <v>3165</v>
      </c>
      <c r="V406" s="16" t="s">
        <v>3681</v>
      </c>
      <c r="W406" s="17"/>
      <c r="X406" s="17"/>
      <c r="Y406" s="16" t="s">
        <v>3165</v>
      </c>
      <c r="Z406" s="16" t="s">
        <v>3681</v>
      </c>
      <c r="AA406" s="17"/>
      <c r="AB406" s="17"/>
    </row>
    <row r="407">
      <c r="A407" s="16">
        <f t="shared" si="2"/>
        <v>406</v>
      </c>
      <c r="B407" s="16" t="s">
        <v>1166</v>
      </c>
      <c r="C407" s="16" t="s">
        <v>1167</v>
      </c>
      <c r="D407" s="16" t="s">
        <v>1168</v>
      </c>
      <c r="E407" s="16" t="s">
        <v>3106</v>
      </c>
      <c r="F407" s="16" t="s">
        <v>10</v>
      </c>
      <c r="G407" s="16" t="s">
        <v>3715</v>
      </c>
      <c r="H407" s="16" t="s">
        <v>12</v>
      </c>
      <c r="I407" s="17"/>
      <c r="J407" s="16" t="s">
        <v>13</v>
      </c>
      <c r="K407" s="16" t="s">
        <v>93</v>
      </c>
      <c r="L407" s="154">
        <v>44152.0</v>
      </c>
      <c r="M407" s="16">
        <f t="shared" si="1"/>
        <v>6</v>
      </c>
      <c r="N407" s="17"/>
      <c r="O407" s="111"/>
      <c r="Q407" s="152" t="s">
        <v>4199</v>
      </c>
      <c r="R407" s="17"/>
      <c r="S407" s="16" t="s">
        <v>3671</v>
      </c>
      <c r="T407" s="17"/>
      <c r="U407" s="16" t="s">
        <v>3165</v>
      </c>
      <c r="V407" s="16" t="s">
        <v>3681</v>
      </c>
      <c r="W407" s="17"/>
      <c r="X407" s="17"/>
      <c r="Y407" s="16" t="s">
        <v>3165</v>
      </c>
      <c r="Z407" s="16" t="s">
        <v>3681</v>
      </c>
      <c r="AA407" s="17"/>
      <c r="AB407" s="17"/>
    </row>
    <row r="408">
      <c r="A408" s="16">
        <f t="shared" si="2"/>
        <v>407</v>
      </c>
      <c r="B408" s="16" t="s">
        <v>1169</v>
      </c>
      <c r="C408" s="16" t="s">
        <v>1170</v>
      </c>
      <c r="D408" s="16" t="s">
        <v>1171</v>
      </c>
      <c r="E408" s="16" t="s">
        <v>3106</v>
      </c>
      <c r="F408" s="16" t="s">
        <v>10</v>
      </c>
      <c r="G408" s="16" t="s">
        <v>3669</v>
      </c>
      <c r="H408" s="16" t="s">
        <v>12</v>
      </c>
      <c r="I408" s="16" t="s">
        <v>3396</v>
      </c>
      <c r="J408" s="16" t="s">
        <v>13</v>
      </c>
      <c r="K408" s="16" t="s">
        <v>11</v>
      </c>
      <c r="L408" s="154">
        <v>44347.0</v>
      </c>
      <c r="M408" s="16">
        <f t="shared" si="1"/>
        <v>5</v>
      </c>
      <c r="N408" s="135">
        <v>5.0004077E7</v>
      </c>
      <c r="O408" s="17"/>
      <c r="Q408" s="152" t="s">
        <v>4200</v>
      </c>
      <c r="R408" s="17"/>
      <c r="S408" s="16" t="s">
        <v>3671</v>
      </c>
      <c r="T408" s="17"/>
      <c r="U408" s="16" t="s">
        <v>3165</v>
      </c>
      <c r="V408" s="16" t="s">
        <v>3681</v>
      </c>
      <c r="W408" s="17"/>
      <c r="X408" s="17"/>
      <c r="Y408" s="16" t="s">
        <v>3165</v>
      </c>
      <c r="Z408" s="16" t="s">
        <v>3681</v>
      </c>
      <c r="AA408" s="17"/>
      <c r="AB408" s="17"/>
    </row>
    <row r="409">
      <c r="A409" s="16">
        <f t="shared" si="2"/>
        <v>408</v>
      </c>
      <c r="B409" s="16" t="s">
        <v>1172</v>
      </c>
      <c r="C409" s="16" t="s">
        <v>1173</v>
      </c>
      <c r="D409" s="16" t="s">
        <v>1174</v>
      </c>
      <c r="E409" s="16" t="s">
        <v>3106</v>
      </c>
      <c r="F409" s="16" t="s">
        <v>10</v>
      </c>
      <c r="G409" s="16" t="s">
        <v>3669</v>
      </c>
      <c r="H409" s="16" t="s">
        <v>12</v>
      </c>
      <c r="I409" s="16" t="s">
        <v>3396</v>
      </c>
      <c r="J409" s="16" t="s">
        <v>13</v>
      </c>
      <c r="K409" s="16" t="s">
        <v>11</v>
      </c>
      <c r="L409" s="154">
        <v>44347.0</v>
      </c>
      <c r="M409" s="16">
        <f t="shared" si="1"/>
        <v>5</v>
      </c>
      <c r="N409" s="135">
        <v>5.0004077E7</v>
      </c>
      <c r="O409" s="17"/>
      <c r="Q409" s="152" t="s">
        <v>4201</v>
      </c>
      <c r="R409" s="17"/>
      <c r="S409" s="16" t="s">
        <v>3671</v>
      </c>
      <c r="T409" s="17"/>
      <c r="U409" s="16" t="s">
        <v>3165</v>
      </c>
      <c r="V409" s="16" t="s">
        <v>3681</v>
      </c>
      <c r="W409" s="17"/>
      <c r="X409" s="17"/>
      <c r="Y409" s="16" t="s">
        <v>3165</v>
      </c>
      <c r="Z409" s="16" t="s">
        <v>3681</v>
      </c>
      <c r="AA409" s="17"/>
      <c r="AB409" s="17"/>
    </row>
    <row r="410">
      <c r="A410" s="16">
        <f t="shared" si="2"/>
        <v>409</v>
      </c>
      <c r="B410" s="16" t="s">
        <v>1175</v>
      </c>
      <c r="C410" s="16" t="s">
        <v>1176</v>
      </c>
      <c r="D410" s="16" t="s">
        <v>1177</v>
      </c>
      <c r="E410" s="16" t="s">
        <v>3106</v>
      </c>
      <c r="F410" s="16" t="s">
        <v>10</v>
      </c>
      <c r="G410" s="16" t="s">
        <v>3669</v>
      </c>
      <c r="H410" s="16" t="s">
        <v>12</v>
      </c>
      <c r="I410" s="16" t="s">
        <v>3396</v>
      </c>
      <c r="J410" s="16" t="s">
        <v>13</v>
      </c>
      <c r="K410" s="16" t="s">
        <v>11</v>
      </c>
      <c r="L410" s="154">
        <v>44347.0</v>
      </c>
      <c r="M410" s="16">
        <f t="shared" si="1"/>
        <v>5</v>
      </c>
      <c r="N410" s="135">
        <v>5.0004077E7</v>
      </c>
      <c r="O410" s="17"/>
      <c r="Q410" s="152" t="s">
        <v>4202</v>
      </c>
      <c r="R410" s="17"/>
      <c r="S410" s="16" t="s">
        <v>3671</v>
      </c>
      <c r="T410" s="17"/>
      <c r="U410" s="16" t="s">
        <v>3165</v>
      </c>
      <c r="V410" s="16" t="s">
        <v>3681</v>
      </c>
      <c r="W410" s="17"/>
      <c r="X410" s="17"/>
      <c r="Y410" s="16" t="s">
        <v>3165</v>
      </c>
      <c r="Z410" s="16" t="s">
        <v>3681</v>
      </c>
      <c r="AA410" s="17"/>
      <c r="AB410" s="17"/>
    </row>
    <row r="411">
      <c r="A411" s="16">
        <f t="shared" si="2"/>
        <v>410</v>
      </c>
      <c r="B411" s="16" t="s">
        <v>1178</v>
      </c>
      <c r="C411" s="16" t="s">
        <v>1179</v>
      </c>
      <c r="D411" s="16" t="s">
        <v>1180</v>
      </c>
      <c r="E411" s="16" t="s">
        <v>3106</v>
      </c>
      <c r="F411" s="16" t="s">
        <v>10</v>
      </c>
      <c r="G411" s="16" t="s">
        <v>775</v>
      </c>
      <c r="H411" s="16" t="s">
        <v>12</v>
      </c>
      <c r="I411" s="16" t="s">
        <v>4062</v>
      </c>
      <c r="J411" s="16" t="s">
        <v>79</v>
      </c>
      <c r="K411" s="16" t="s">
        <v>775</v>
      </c>
      <c r="L411" s="154">
        <v>44312.0</v>
      </c>
      <c r="M411" s="16">
        <f t="shared" si="1"/>
        <v>5</v>
      </c>
      <c r="N411" s="135">
        <v>5.0003988E7</v>
      </c>
      <c r="O411" s="17"/>
      <c r="Q411" s="152" t="s">
        <v>4203</v>
      </c>
      <c r="R411" s="17"/>
      <c r="S411" s="16" t="s">
        <v>3671</v>
      </c>
      <c r="T411" s="17"/>
      <c r="U411" s="16" t="s">
        <v>3165</v>
      </c>
      <c r="V411" s="16" t="s">
        <v>3681</v>
      </c>
      <c r="W411" s="17"/>
      <c r="X411" s="17"/>
      <c r="Y411" s="16" t="s">
        <v>3165</v>
      </c>
      <c r="Z411" s="16" t="s">
        <v>3681</v>
      </c>
      <c r="AA411" s="17"/>
      <c r="AB411" s="17"/>
    </row>
    <row r="412">
      <c r="A412" s="16">
        <f t="shared" si="2"/>
        <v>411</v>
      </c>
      <c r="B412" s="16" t="s">
        <v>1181</v>
      </c>
      <c r="C412" s="16" t="s">
        <v>1182</v>
      </c>
      <c r="D412" s="16" t="s">
        <v>1183</v>
      </c>
      <c r="E412" s="16" t="s">
        <v>3106</v>
      </c>
      <c r="F412" s="16" t="s">
        <v>10</v>
      </c>
      <c r="G412" s="16" t="s">
        <v>3669</v>
      </c>
      <c r="H412" s="16" t="s">
        <v>12</v>
      </c>
      <c r="I412" s="16" t="s">
        <v>3396</v>
      </c>
      <c r="J412" s="16" t="s">
        <v>13</v>
      </c>
      <c r="K412" s="16" t="s">
        <v>11</v>
      </c>
      <c r="L412" s="154">
        <v>44347.0</v>
      </c>
      <c r="M412" s="16">
        <f t="shared" si="1"/>
        <v>5</v>
      </c>
      <c r="N412" s="135">
        <v>5.0004077E7</v>
      </c>
      <c r="O412" s="17"/>
      <c r="Q412" s="152" t="s">
        <v>4204</v>
      </c>
      <c r="R412" s="17"/>
      <c r="S412" s="16" t="s">
        <v>3671</v>
      </c>
      <c r="T412" s="17"/>
      <c r="U412" s="16" t="s">
        <v>3165</v>
      </c>
      <c r="V412" s="16" t="s">
        <v>3681</v>
      </c>
      <c r="W412" s="17"/>
      <c r="X412" s="17"/>
      <c r="Y412" s="16" t="s">
        <v>3165</v>
      </c>
      <c r="Z412" s="16" t="s">
        <v>3681</v>
      </c>
      <c r="AA412" s="17"/>
      <c r="AB412" s="17"/>
    </row>
    <row r="413">
      <c r="A413" s="16">
        <f t="shared" si="2"/>
        <v>412</v>
      </c>
      <c r="B413" s="16" t="s">
        <v>1184</v>
      </c>
      <c r="C413" s="16" t="s">
        <v>1185</v>
      </c>
      <c r="D413" s="16" t="s">
        <v>1186</v>
      </c>
      <c r="E413" s="16" t="s">
        <v>3106</v>
      </c>
      <c r="F413" s="16" t="s">
        <v>10</v>
      </c>
      <c r="G413" s="16" t="s">
        <v>3669</v>
      </c>
      <c r="H413" s="16" t="s">
        <v>12</v>
      </c>
      <c r="I413" s="16" t="s">
        <v>3396</v>
      </c>
      <c r="J413" s="16" t="s">
        <v>13</v>
      </c>
      <c r="K413" s="16" t="s">
        <v>11</v>
      </c>
      <c r="L413" s="154">
        <v>44347.0</v>
      </c>
      <c r="M413" s="16">
        <f t="shared" si="1"/>
        <v>5</v>
      </c>
      <c r="N413" s="135">
        <v>5.0004077E7</v>
      </c>
      <c r="O413" s="17"/>
      <c r="Q413" s="152" t="s">
        <v>4205</v>
      </c>
      <c r="R413" s="17"/>
      <c r="S413" s="16" t="s">
        <v>3671</v>
      </c>
      <c r="T413" s="17"/>
      <c r="U413" s="16" t="s">
        <v>3165</v>
      </c>
      <c r="V413" s="16" t="s">
        <v>3681</v>
      </c>
      <c r="W413" s="17"/>
      <c r="X413" s="17"/>
      <c r="Y413" s="16" t="s">
        <v>3165</v>
      </c>
      <c r="Z413" s="16" t="s">
        <v>3681</v>
      </c>
      <c r="AA413" s="17"/>
      <c r="AB413" s="17"/>
    </row>
    <row r="414">
      <c r="A414" s="16">
        <f t="shared" si="2"/>
        <v>413</v>
      </c>
      <c r="B414" s="16" t="s">
        <v>1187</v>
      </c>
      <c r="C414" s="16" t="s">
        <v>1188</v>
      </c>
      <c r="D414" s="16" t="s">
        <v>1189</v>
      </c>
      <c r="E414" s="16" t="s">
        <v>3106</v>
      </c>
      <c r="F414" s="16" t="s">
        <v>10</v>
      </c>
      <c r="G414" s="16" t="s">
        <v>775</v>
      </c>
      <c r="H414" s="16" t="s">
        <v>12</v>
      </c>
      <c r="I414" s="16" t="s">
        <v>4062</v>
      </c>
      <c r="J414" s="16" t="s">
        <v>79</v>
      </c>
      <c r="K414" s="16" t="s">
        <v>775</v>
      </c>
      <c r="L414" s="154">
        <v>44312.0</v>
      </c>
      <c r="M414" s="16">
        <f t="shared" si="1"/>
        <v>5</v>
      </c>
      <c r="N414" s="135">
        <v>5.0003988E7</v>
      </c>
      <c r="O414" s="17"/>
      <c r="Q414" s="152" t="s">
        <v>4206</v>
      </c>
      <c r="R414" s="17"/>
      <c r="S414" s="16" t="s">
        <v>3671</v>
      </c>
      <c r="T414" s="17"/>
      <c r="U414" s="16" t="s">
        <v>3165</v>
      </c>
      <c r="V414" s="16" t="s">
        <v>3681</v>
      </c>
      <c r="W414" s="17"/>
      <c r="X414" s="17"/>
      <c r="Y414" s="16" t="s">
        <v>3165</v>
      </c>
      <c r="Z414" s="16" t="s">
        <v>3681</v>
      </c>
      <c r="AA414" s="17"/>
      <c r="AB414" s="17"/>
    </row>
    <row r="415">
      <c r="A415" s="16">
        <f t="shared" si="2"/>
        <v>414</v>
      </c>
      <c r="B415" s="16" t="s">
        <v>1190</v>
      </c>
      <c r="C415" s="16" t="s">
        <v>1191</v>
      </c>
      <c r="D415" s="16" t="s">
        <v>1192</v>
      </c>
      <c r="E415" s="16" t="s">
        <v>3106</v>
      </c>
      <c r="F415" s="16" t="s">
        <v>10</v>
      </c>
      <c r="G415" s="16" t="s">
        <v>775</v>
      </c>
      <c r="H415" s="16" t="s">
        <v>12</v>
      </c>
      <c r="I415" s="16" t="s">
        <v>4062</v>
      </c>
      <c r="J415" s="16" t="s">
        <v>79</v>
      </c>
      <c r="K415" s="16" t="s">
        <v>775</v>
      </c>
      <c r="L415" s="154">
        <v>44312.0</v>
      </c>
      <c r="M415" s="16">
        <f t="shared" si="1"/>
        <v>5</v>
      </c>
      <c r="N415" s="135">
        <v>5.0003988E7</v>
      </c>
      <c r="O415" s="17"/>
      <c r="Q415" s="152" t="s">
        <v>4207</v>
      </c>
      <c r="R415" s="17"/>
      <c r="S415" s="16" t="s">
        <v>3671</v>
      </c>
      <c r="T415" s="17"/>
      <c r="U415" s="16" t="s">
        <v>3165</v>
      </c>
      <c r="V415" s="16" t="s">
        <v>3681</v>
      </c>
      <c r="W415" s="17"/>
      <c r="X415" s="17"/>
      <c r="Y415" s="16" t="s">
        <v>3165</v>
      </c>
      <c r="Z415" s="16" t="s">
        <v>3681</v>
      </c>
      <c r="AA415" s="17"/>
      <c r="AB415" s="17"/>
    </row>
    <row r="416">
      <c r="A416" s="16">
        <f t="shared" si="2"/>
        <v>415</v>
      </c>
      <c r="B416" s="16" t="s">
        <v>1193</v>
      </c>
      <c r="C416" s="16" t="s">
        <v>1194</v>
      </c>
      <c r="D416" s="16" t="s">
        <v>1195</v>
      </c>
      <c r="E416" s="16" t="s">
        <v>3106</v>
      </c>
      <c r="F416" s="16" t="s">
        <v>10</v>
      </c>
      <c r="G416" s="16" t="s">
        <v>775</v>
      </c>
      <c r="H416" s="16" t="s">
        <v>12</v>
      </c>
      <c r="I416" s="16" t="s">
        <v>4062</v>
      </c>
      <c r="J416" s="16" t="s">
        <v>79</v>
      </c>
      <c r="K416" s="16" t="s">
        <v>775</v>
      </c>
      <c r="L416" s="154">
        <v>44312.0</v>
      </c>
      <c r="M416" s="16">
        <f t="shared" si="1"/>
        <v>5</v>
      </c>
      <c r="N416" s="135">
        <v>5.0003988E7</v>
      </c>
      <c r="O416" s="17"/>
      <c r="Q416" s="152" t="s">
        <v>4208</v>
      </c>
      <c r="R416" s="17"/>
      <c r="S416" s="16" t="s">
        <v>3671</v>
      </c>
      <c r="T416" s="17"/>
      <c r="U416" s="16" t="s">
        <v>3165</v>
      </c>
      <c r="V416" s="16" t="s">
        <v>3681</v>
      </c>
      <c r="W416" s="17"/>
      <c r="X416" s="17"/>
      <c r="Y416" s="16" t="s">
        <v>3165</v>
      </c>
      <c r="Z416" s="16" t="s">
        <v>3681</v>
      </c>
      <c r="AA416" s="17"/>
      <c r="AB416" s="17"/>
    </row>
    <row r="417">
      <c r="A417" s="16">
        <f t="shared" si="2"/>
        <v>416</v>
      </c>
      <c r="B417" s="16" t="s">
        <v>1196</v>
      </c>
      <c r="C417" s="16" t="s">
        <v>1197</v>
      </c>
      <c r="D417" s="16" t="s">
        <v>1198</v>
      </c>
      <c r="E417" s="16" t="s">
        <v>3106</v>
      </c>
      <c r="F417" s="16" t="s">
        <v>10</v>
      </c>
      <c r="G417" s="16" t="s">
        <v>4049</v>
      </c>
      <c r="H417" s="16" t="s">
        <v>12</v>
      </c>
      <c r="I417" s="17"/>
      <c r="J417" s="16" t="s">
        <v>36</v>
      </c>
      <c r="K417" s="16" t="s">
        <v>756</v>
      </c>
      <c r="L417" s="154">
        <v>43942.0</v>
      </c>
      <c r="M417" s="16">
        <f t="shared" si="1"/>
        <v>6</v>
      </c>
      <c r="N417" s="17"/>
      <c r="O417" s="111"/>
      <c r="Q417" s="152" t="s">
        <v>4209</v>
      </c>
      <c r="R417" s="17"/>
      <c r="S417" s="16" t="s">
        <v>3671</v>
      </c>
      <c r="T417" s="17"/>
      <c r="U417" s="16" t="s">
        <v>3165</v>
      </c>
      <c r="V417" s="16" t="s">
        <v>3681</v>
      </c>
      <c r="W417" s="17"/>
      <c r="X417" s="17"/>
      <c r="Y417" s="16" t="s">
        <v>3165</v>
      </c>
      <c r="Z417" s="16" t="s">
        <v>3681</v>
      </c>
      <c r="AA417" s="17"/>
      <c r="AB417" s="17"/>
    </row>
    <row r="418">
      <c r="A418" s="16">
        <f t="shared" si="2"/>
        <v>417</v>
      </c>
      <c r="B418" s="16" t="s">
        <v>1199</v>
      </c>
      <c r="C418" s="16" t="s">
        <v>1200</v>
      </c>
      <c r="D418" s="16" t="s">
        <v>1201</v>
      </c>
      <c r="E418" s="16" t="s">
        <v>3106</v>
      </c>
      <c r="F418" s="16" t="s">
        <v>10</v>
      </c>
      <c r="G418" s="16" t="s">
        <v>775</v>
      </c>
      <c r="H418" s="16" t="s">
        <v>12</v>
      </c>
      <c r="I418" s="16" t="s">
        <v>4062</v>
      </c>
      <c r="J418" s="16" t="s">
        <v>79</v>
      </c>
      <c r="K418" s="16" t="s">
        <v>775</v>
      </c>
      <c r="L418" s="154">
        <v>44312.0</v>
      </c>
      <c r="M418" s="16">
        <f t="shared" si="1"/>
        <v>5</v>
      </c>
      <c r="N418" s="135">
        <v>5.0003988E7</v>
      </c>
      <c r="O418" s="16" t="s">
        <v>4210</v>
      </c>
      <c r="Q418" s="152" t="s">
        <v>4211</v>
      </c>
      <c r="R418" s="118">
        <v>45673.0</v>
      </c>
      <c r="S418" s="16" t="s">
        <v>3671</v>
      </c>
      <c r="T418" s="17"/>
      <c r="U418" s="16" t="s">
        <v>3165</v>
      </c>
      <c r="V418" s="16" t="s">
        <v>3681</v>
      </c>
      <c r="W418" s="17"/>
      <c r="X418" s="17"/>
      <c r="Y418" s="16" t="s">
        <v>3165</v>
      </c>
      <c r="Z418" s="16" t="s">
        <v>3681</v>
      </c>
      <c r="AA418" s="17"/>
      <c r="AB418" s="17"/>
    </row>
    <row r="419">
      <c r="A419" s="16">
        <f t="shared" si="2"/>
        <v>418</v>
      </c>
      <c r="B419" s="16" t="s">
        <v>1202</v>
      </c>
      <c r="C419" s="16" t="s">
        <v>1203</v>
      </c>
      <c r="D419" s="16" t="s">
        <v>1204</v>
      </c>
      <c r="E419" s="16" t="s">
        <v>3106</v>
      </c>
      <c r="F419" s="16" t="s">
        <v>10</v>
      </c>
      <c r="G419" s="16" t="s">
        <v>775</v>
      </c>
      <c r="H419" s="16" t="s">
        <v>12</v>
      </c>
      <c r="I419" s="16" t="s">
        <v>4062</v>
      </c>
      <c r="J419" s="16" t="s">
        <v>79</v>
      </c>
      <c r="K419" s="16" t="s">
        <v>775</v>
      </c>
      <c r="L419" s="154">
        <v>44312.0</v>
      </c>
      <c r="M419" s="16">
        <f t="shared" si="1"/>
        <v>5</v>
      </c>
      <c r="N419" s="135">
        <v>5.0003988E7</v>
      </c>
      <c r="O419" s="17"/>
      <c r="Q419" s="152" t="s">
        <v>4212</v>
      </c>
      <c r="R419" s="17"/>
      <c r="S419" s="16" t="s">
        <v>3671</v>
      </c>
      <c r="T419" s="17"/>
      <c r="U419" s="16" t="s">
        <v>3165</v>
      </c>
      <c r="V419" s="16" t="s">
        <v>3681</v>
      </c>
      <c r="W419" s="17"/>
      <c r="X419" s="17"/>
      <c r="Y419" s="16" t="s">
        <v>3165</v>
      </c>
      <c r="Z419" s="16" t="s">
        <v>3681</v>
      </c>
      <c r="AA419" s="17"/>
      <c r="AB419" s="17"/>
    </row>
    <row r="420">
      <c r="A420" s="16">
        <f t="shared" si="2"/>
        <v>419</v>
      </c>
      <c r="B420" s="16" t="s">
        <v>1205</v>
      </c>
      <c r="C420" s="16" t="s">
        <v>1206</v>
      </c>
      <c r="D420" s="16" t="s">
        <v>1207</v>
      </c>
      <c r="E420" s="16" t="s">
        <v>3106</v>
      </c>
      <c r="F420" s="16" t="s">
        <v>10</v>
      </c>
      <c r="G420" s="16" t="s">
        <v>775</v>
      </c>
      <c r="H420" s="16" t="s">
        <v>12</v>
      </c>
      <c r="I420" s="16" t="s">
        <v>4062</v>
      </c>
      <c r="J420" s="16" t="s">
        <v>79</v>
      </c>
      <c r="K420" s="16" t="s">
        <v>775</v>
      </c>
      <c r="L420" s="154">
        <v>44312.0</v>
      </c>
      <c r="M420" s="16">
        <f t="shared" si="1"/>
        <v>5</v>
      </c>
      <c r="N420" s="135">
        <v>5.0003988E7</v>
      </c>
      <c r="O420" s="17"/>
      <c r="Q420" s="152" t="s">
        <v>4213</v>
      </c>
      <c r="R420" s="17"/>
      <c r="S420" s="16" t="s">
        <v>3671</v>
      </c>
      <c r="T420" s="17"/>
      <c r="U420" s="16" t="s">
        <v>3165</v>
      </c>
      <c r="V420" s="16" t="s">
        <v>3681</v>
      </c>
      <c r="W420" s="17"/>
      <c r="X420" s="17"/>
      <c r="Y420" s="16" t="s">
        <v>3165</v>
      </c>
      <c r="Z420" s="16" t="s">
        <v>3681</v>
      </c>
      <c r="AA420" s="17"/>
      <c r="AB420" s="17"/>
    </row>
    <row r="421">
      <c r="A421" s="16">
        <f t="shared" si="2"/>
        <v>420</v>
      </c>
      <c r="B421" s="16" t="s">
        <v>1208</v>
      </c>
      <c r="C421" s="16" t="s">
        <v>1209</v>
      </c>
      <c r="D421" s="16" t="s">
        <v>1210</v>
      </c>
      <c r="E421" s="16" t="s">
        <v>3106</v>
      </c>
      <c r="F421" s="16" t="s">
        <v>10</v>
      </c>
      <c r="G421" s="16" t="s">
        <v>775</v>
      </c>
      <c r="H421" s="16" t="s">
        <v>12</v>
      </c>
      <c r="I421" s="16" t="s">
        <v>4062</v>
      </c>
      <c r="J421" s="16" t="s">
        <v>79</v>
      </c>
      <c r="K421" s="16" t="s">
        <v>775</v>
      </c>
      <c r="L421" s="154">
        <v>44312.0</v>
      </c>
      <c r="M421" s="16">
        <f t="shared" si="1"/>
        <v>5</v>
      </c>
      <c r="N421" s="135">
        <v>5.0003988E7</v>
      </c>
      <c r="O421" s="17"/>
      <c r="Q421" s="152" t="s">
        <v>4214</v>
      </c>
      <c r="R421" s="17"/>
      <c r="S421" s="16" t="s">
        <v>3671</v>
      </c>
      <c r="T421" s="17"/>
      <c r="U421" s="16" t="s">
        <v>3165</v>
      </c>
      <c r="V421" s="16" t="s">
        <v>3681</v>
      </c>
      <c r="W421" s="17"/>
      <c r="X421" s="17"/>
      <c r="Y421" s="16" t="s">
        <v>3165</v>
      </c>
      <c r="Z421" s="16" t="s">
        <v>3681</v>
      </c>
      <c r="AA421" s="17"/>
      <c r="AB421" s="17"/>
    </row>
    <row r="422">
      <c r="A422" s="16">
        <f t="shared" si="2"/>
        <v>421</v>
      </c>
      <c r="B422" s="16" t="s">
        <v>1211</v>
      </c>
      <c r="C422" s="16" t="s">
        <v>1212</v>
      </c>
      <c r="D422" s="16" t="s">
        <v>1213</v>
      </c>
      <c r="E422" s="16" t="s">
        <v>3106</v>
      </c>
      <c r="F422" s="16" t="s">
        <v>10</v>
      </c>
      <c r="G422" s="16" t="s">
        <v>775</v>
      </c>
      <c r="H422" s="16" t="s">
        <v>12</v>
      </c>
      <c r="I422" s="16" t="s">
        <v>4062</v>
      </c>
      <c r="J422" s="16" t="s">
        <v>79</v>
      </c>
      <c r="K422" s="16" t="s">
        <v>775</v>
      </c>
      <c r="L422" s="154">
        <v>44312.0</v>
      </c>
      <c r="M422" s="16">
        <f t="shared" si="1"/>
        <v>5</v>
      </c>
      <c r="N422" s="135">
        <v>5.0003988E7</v>
      </c>
      <c r="O422" s="16" t="s">
        <v>3639</v>
      </c>
      <c r="Q422" s="152" t="s">
        <v>4215</v>
      </c>
      <c r="R422" s="123">
        <v>45977.0</v>
      </c>
      <c r="S422" s="16" t="s">
        <v>3671</v>
      </c>
      <c r="T422" s="17"/>
      <c r="U422" s="16" t="s">
        <v>3165</v>
      </c>
      <c r="V422" s="16" t="s">
        <v>3681</v>
      </c>
      <c r="W422" s="17"/>
      <c r="X422" s="17"/>
      <c r="Y422" s="16" t="s">
        <v>3165</v>
      </c>
      <c r="Z422" s="16" t="s">
        <v>3681</v>
      </c>
      <c r="AA422" s="17"/>
      <c r="AB422" s="16" t="s">
        <v>4216</v>
      </c>
    </row>
    <row r="423">
      <c r="A423" s="16">
        <f t="shared" si="2"/>
        <v>422</v>
      </c>
      <c r="B423" s="16" t="s">
        <v>1214</v>
      </c>
      <c r="C423" s="16" t="s">
        <v>1215</v>
      </c>
      <c r="D423" s="16" t="s">
        <v>1216</v>
      </c>
      <c r="E423" s="16" t="s">
        <v>3106</v>
      </c>
      <c r="F423" s="16" t="s">
        <v>10</v>
      </c>
      <c r="G423" s="16" t="s">
        <v>775</v>
      </c>
      <c r="H423" s="16" t="s">
        <v>12</v>
      </c>
      <c r="I423" s="16" t="s">
        <v>4062</v>
      </c>
      <c r="J423" s="16" t="s">
        <v>79</v>
      </c>
      <c r="K423" s="16" t="s">
        <v>775</v>
      </c>
      <c r="L423" s="154">
        <v>44312.0</v>
      </c>
      <c r="M423" s="16">
        <f t="shared" si="1"/>
        <v>5</v>
      </c>
      <c r="N423" s="135">
        <v>5.0003988E7</v>
      </c>
      <c r="O423" s="16" t="s">
        <v>3600</v>
      </c>
      <c r="Q423" s="152" t="s">
        <v>4217</v>
      </c>
      <c r="R423" s="17"/>
      <c r="S423" s="16" t="s">
        <v>3671</v>
      </c>
      <c r="T423" s="17"/>
      <c r="U423" s="16" t="s">
        <v>3165</v>
      </c>
      <c r="V423" s="16" t="s">
        <v>3681</v>
      </c>
      <c r="W423" s="17"/>
      <c r="X423" s="17"/>
      <c r="Y423" s="16" t="s">
        <v>3165</v>
      </c>
      <c r="Z423" s="16" t="s">
        <v>3681</v>
      </c>
      <c r="AA423" s="17"/>
      <c r="AB423" s="17"/>
    </row>
    <row r="424">
      <c r="A424" s="16">
        <f t="shared" si="2"/>
        <v>423</v>
      </c>
      <c r="B424" s="16" t="s">
        <v>1217</v>
      </c>
      <c r="C424" s="16" t="s">
        <v>1218</v>
      </c>
      <c r="D424" s="16" t="s">
        <v>1219</v>
      </c>
      <c r="E424" s="16" t="s">
        <v>3106</v>
      </c>
      <c r="F424" s="16" t="s">
        <v>10</v>
      </c>
      <c r="G424" s="16" t="s">
        <v>775</v>
      </c>
      <c r="H424" s="16" t="s">
        <v>12</v>
      </c>
      <c r="I424" s="16" t="s">
        <v>4062</v>
      </c>
      <c r="J424" s="16" t="s">
        <v>79</v>
      </c>
      <c r="K424" s="16" t="s">
        <v>775</v>
      </c>
      <c r="L424" s="154">
        <v>44312.0</v>
      </c>
      <c r="M424" s="16">
        <f t="shared" si="1"/>
        <v>5</v>
      </c>
      <c r="N424" s="135">
        <v>5.0003988E7</v>
      </c>
      <c r="O424" s="16" t="s">
        <v>3627</v>
      </c>
      <c r="Q424" s="152" t="s">
        <v>4218</v>
      </c>
      <c r="R424" s="123">
        <v>45977.0</v>
      </c>
      <c r="S424" s="16" t="s">
        <v>3671</v>
      </c>
      <c r="T424" s="17"/>
      <c r="U424" s="16" t="s">
        <v>3165</v>
      </c>
      <c r="V424" s="16" t="s">
        <v>3681</v>
      </c>
      <c r="W424" s="17"/>
      <c r="X424" s="17"/>
      <c r="Y424" s="16" t="s">
        <v>3165</v>
      </c>
      <c r="Z424" s="16" t="s">
        <v>3681</v>
      </c>
      <c r="AA424" s="17"/>
      <c r="AB424" s="16" t="s">
        <v>4216</v>
      </c>
    </row>
    <row r="425">
      <c r="A425" s="16">
        <f t="shared" si="2"/>
        <v>424</v>
      </c>
      <c r="B425" s="16" t="s">
        <v>1220</v>
      </c>
      <c r="C425" s="16" t="s">
        <v>1221</v>
      </c>
      <c r="D425" s="16" t="s">
        <v>1222</v>
      </c>
      <c r="E425" s="16" t="s">
        <v>3106</v>
      </c>
      <c r="F425" s="16" t="s">
        <v>10</v>
      </c>
      <c r="G425" s="16" t="s">
        <v>3715</v>
      </c>
      <c r="H425" s="16" t="s">
        <v>12</v>
      </c>
      <c r="I425" s="17"/>
      <c r="J425" s="16" t="s">
        <v>13</v>
      </c>
      <c r="K425" s="16" t="s">
        <v>93</v>
      </c>
      <c r="L425" s="154">
        <v>44152.0</v>
      </c>
      <c r="M425" s="16">
        <f t="shared" si="1"/>
        <v>6</v>
      </c>
      <c r="N425" s="17"/>
      <c r="O425" s="16" t="s">
        <v>3708</v>
      </c>
      <c r="Q425" s="152" t="s">
        <v>4219</v>
      </c>
      <c r="R425" s="17"/>
      <c r="S425" s="16" t="s">
        <v>3671</v>
      </c>
      <c r="T425" s="17"/>
      <c r="U425" s="16" t="s">
        <v>3165</v>
      </c>
      <c r="V425" s="16" t="s">
        <v>3681</v>
      </c>
      <c r="W425" s="17"/>
      <c r="X425" s="17"/>
      <c r="Y425" s="16" t="s">
        <v>3165</v>
      </c>
      <c r="Z425" s="16" t="s">
        <v>3681</v>
      </c>
      <c r="AA425" s="17"/>
      <c r="AB425" s="17"/>
    </row>
    <row r="426">
      <c r="A426" s="16">
        <f t="shared" si="2"/>
        <v>425</v>
      </c>
      <c r="B426" s="16" t="s">
        <v>1223</v>
      </c>
      <c r="C426" s="16" t="s">
        <v>1224</v>
      </c>
      <c r="D426" s="16" t="s">
        <v>1225</v>
      </c>
      <c r="E426" s="16" t="s">
        <v>3106</v>
      </c>
      <c r="F426" s="16" t="s">
        <v>10</v>
      </c>
      <c r="G426" s="16" t="s">
        <v>3715</v>
      </c>
      <c r="H426" s="16" t="s">
        <v>12</v>
      </c>
      <c r="I426" s="17"/>
      <c r="J426" s="16" t="s">
        <v>13</v>
      </c>
      <c r="K426" s="16" t="s">
        <v>93</v>
      </c>
      <c r="L426" s="154">
        <v>44152.0</v>
      </c>
      <c r="M426" s="16">
        <f t="shared" si="1"/>
        <v>6</v>
      </c>
      <c r="N426" s="17"/>
      <c r="O426" s="16" t="s">
        <v>3710</v>
      </c>
      <c r="Q426" s="152" t="s">
        <v>4220</v>
      </c>
      <c r="R426" s="17"/>
      <c r="S426" s="16" t="s">
        <v>3671</v>
      </c>
      <c r="T426" s="17"/>
      <c r="U426" s="16" t="s">
        <v>3165</v>
      </c>
      <c r="V426" s="16" t="s">
        <v>3681</v>
      </c>
      <c r="W426" s="17"/>
      <c r="X426" s="17"/>
      <c r="Y426" s="16" t="s">
        <v>3165</v>
      </c>
      <c r="Z426" s="16" t="s">
        <v>3681</v>
      </c>
      <c r="AA426" s="17"/>
      <c r="AB426" s="17"/>
    </row>
    <row r="427">
      <c r="A427" s="16">
        <f t="shared" si="2"/>
        <v>426</v>
      </c>
      <c r="B427" s="16" t="s">
        <v>1226</v>
      </c>
      <c r="C427" s="16" t="s">
        <v>1227</v>
      </c>
      <c r="D427" s="16" t="s">
        <v>1228</v>
      </c>
      <c r="E427" s="16" t="s">
        <v>3106</v>
      </c>
      <c r="F427" s="16" t="s">
        <v>10</v>
      </c>
      <c r="G427" s="16" t="s">
        <v>775</v>
      </c>
      <c r="H427" s="16" t="s">
        <v>12</v>
      </c>
      <c r="I427" s="16" t="s">
        <v>4062</v>
      </c>
      <c r="J427" s="16" t="s">
        <v>79</v>
      </c>
      <c r="K427" s="16" t="s">
        <v>775</v>
      </c>
      <c r="L427" s="154">
        <v>44312.0</v>
      </c>
      <c r="M427" s="16">
        <f t="shared" si="1"/>
        <v>5</v>
      </c>
      <c r="N427" s="135">
        <v>5.0003988E7</v>
      </c>
      <c r="O427" s="16" t="s">
        <v>3639</v>
      </c>
      <c r="Q427" s="152" t="s">
        <v>4221</v>
      </c>
      <c r="R427" s="123">
        <v>45977.0</v>
      </c>
      <c r="S427" s="16" t="s">
        <v>3671</v>
      </c>
      <c r="T427" s="17"/>
      <c r="U427" s="16" t="s">
        <v>3165</v>
      </c>
      <c r="V427" s="16" t="s">
        <v>3681</v>
      </c>
      <c r="W427" s="17"/>
      <c r="X427" s="17"/>
      <c r="Y427" s="16" t="s">
        <v>3165</v>
      </c>
      <c r="Z427" s="16" t="s">
        <v>3681</v>
      </c>
      <c r="AA427" s="17"/>
      <c r="AB427" s="16" t="s">
        <v>4216</v>
      </c>
    </row>
    <row r="428">
      <c r="A428" s="16">
        <f t="shared" si="2"/>
        <v>427</v>
      </c>
      <c r="B428" s="16" t="s">
        <v>1229</v>
      </c>
      <c r="C428" s="16" t="s">
        <v>1230</v>
      </c>
      <c r="D428" s="16" t="s">
        <v>1231</v>
      </c>
      <c r="E428" s="16" t="s">
        <v>3106</v>
      </c>
      <c r="F428" s="16" t="s">
        <v>10</v>
      </c>
      <c r="G428" s="16" t="s">
        <v>3715</v>
      </c>
      <c r="H428" s="16" t="s">
        <v>12</v>
      </c>
      <c r="I428" s="17"/>
      <c r="J428" s="16" t="s">
        <v>13</v>
      </c>
      <c r="K428" s="16" t="s">
        <v>93</v>
      </c>
      <c r="L428" s="154">
        <v>44152.0</v>
      </c>
      <c r="M428" s="16">
        <f t="shared" si="1"/>
        <v>6</v>
      </c>
      <c r="N428" s="17"/>
      <c r="O428" s="16" t="s">
        <v>4222</v>
      </c>
      <c r="Q428" s="152" t="s">
        <v>4223</v>
      </c>
      <c r="R428" s="123">
        <v>45977.0</v>
      </c>
      <c r="S428" s="16" t="s">
        <v>3671</v>
      </c>
      <c r="T428" s="17"/>
      <c r="U428" s="16" t="s">
        <v>3165</v>
      </c>
      <c r="V428" s="16" t="s">
        <v>3681</v>
      </c>
      <c r="W428" s="17"/>
      <c r="X428" s="17"/>
      <c r="Y428" s="16" t="s">
        <v>3165</v>
      </c>
      <c r="Z428" s="16" t="s">
        <v>3681</v>
      </c>
      <c r="AA428" s="17"/>
      <c r="AB428" s="16" t="s">
        <v>4216</v>
      </c>
    </row>
    <row r="429">
      <c r="A429" s="16">
        <f t="shared" si="2"/>
        <v>428</v>
      </c>
      <c r="B429" s="16" t="s">
        <v>1232</v>
      </c>
      <c r="C429" s="16" t="s">
        <v>1233</v>
      </c>
      <c r="D429" s="16" t="s">
        <v>1234</v>
      </c>
      <c r="E429" s="16" t="s">
        <v>3106</v>
      </c>
      <c r="F429" s="16" t="s">
        <v>10</v>
      </c>
      <c r="G429" s="16" t="s">
        <v>3715</v>
      </c>
      <c r="H429" s="16" t="s">
        <v>12</v>
      </c>
      <c r="I429" s="17"/>
      <c r="J429" s="16" t="s">
        <v>13</v>
      </c>
      <c r="K429" s="16" t="s">
        <v>93</v>
      </c>
      <c r="L429" s="154">
        <v>44152.0</v>
      </c>
      <c r="M429" s="16">
        <f t="shared" si="1"/>
        <v>6</v>
      </c>
      <c r="N429" s="17"/>
      <c r="O429" s="16" t="s">
        <v>4224</v>
      </c>
      <c r="Q429" s="152" t="s">
        <v>4225</v>
      </c>
      <c r="R429" s="123">
        <v>45977.0</v>
      </c>
      <c r="S429" s="16" t="s">
        <v>3671</v>
      </c>
      <c r="T429" s="17"/>
      <c r="U429" s="16" t="s">
        <v>3165</v>
      </c>
      <c r="V429" s="16" t="s">
        <v>3681</v>
      </c>
      <c r="W429" s="17"/>
      <c r="X429" s="17"/>
      <c r="Y429" s="16" t="s">
        <v>3165</v>
      </c>
      <c r="Z429" s="16" t="s">
        <v>3681</v>
      </c>
      <c r="AA429" s="17"/>
      <c r="AB429" s="16" t="s">
        <v>4216</v>
      </c>
    </row>
    <row r="430">
      <c r="A430" s="16">
        <f t="shared" si="2"/>
        <v>429</v>
      </c>
      <c r="B430" s="16" t="s">
        <v>1235</v>
      </c>
      <c r="C430" s="16" t="s">
        <v>1236</v>
      </c>
      <c r="D430" s="16" t="s">
        <v>1237</v>
      </c>
      <c r="E430" s="16" t="s">
        <v>3106</v>
      </c>
      <c r="F430" s="16" t="s">
        <v>10</v>
      </c>
      <c r="G430" s="16" t="s">
        <v>3715</v>
      </c>
      <c r="H430" s="16" t="s">
        <v>12</v>
      </c>
      <c r="I430" s="17"/>
      <c r="J430" s="16" t="s">
        <v>13</v>
      </c>
      <c r="K430" s="16" t="s">
        <v>93</v>
      </c>
      <c r="L430" s="154">
        <v>44152.0</v>
      </c>
      <c r="M430" s="16">
        <f t="shared" si="1"/>
        <v>6</v>
      </c>
      <c r="N430" s="17"/>
      <c r="O430" s="16" t="s">
        <v>3764</v>
      </c>
      <c r="Q430" s="152" t="s">
        <v>4226</v>
      </c>
      <c r="R430" s="17"/>
      <c r="S430" s="16" t="s">
        <v>3671</v>
      </c>
      <c r="T430" s="17"/>
      <c r="U430" s="16" t="s">
        <v>3165</v>
      </c>
      <c r="V430" s="16" t="s">
        <v>3681</v>
      </c>
      <c r="W430" s="17"/>
      <c r="X430" s="17"/>
      <c r="Y430" s="16" t="s">
        <v>3165</v>
      </c>
      <c r="Z430" s="16" t="s">
        <v>3681</v>
      </c>
      <c r="AA430" s="17"/>
      <c r="AB430" s="17"/>
    </row>
    <row r="431">
      <c r="A431" s="16">
        <f t="shared" si="2"/>
        <v>430</v>
      </c>
      <c r="B431" s="16" t="s">
        <v>1238</v>
      </c>
      <c r="C431" s="16" t="s">
        <v>1239</v>
      </c>
      <c r="D431" s="16" t="s">
        <v>1240</v>
      </c>
      <c r="E431" s="16" t="s">
        <v>3106</v>
      </c>
      <c r="F431" s="16" t="s">
        <v>10</v>
      </c>
      <c r="G431" s="16" t="s">
        <v>3715</v>
      </c>
      <c r="H431" s="16" t="s">
        <v>12</v>
      </c>
      <c r="I431" s="17"/>
      <c r="J431" s="16" t="s">
        <v>13</v>
      </c>
      <c r="K431" s="16" t="s">
        <v>93</v>
      </c>
      <c r="L431" s="154">
        <v>44105.0</v>
      </c>
      <c r="M431" s="16">
        <f t="shared" si="1"/>
        <v>6</v>
      </c>
      <c r="N431" s="17"/>
      <c r="O431" s="16" t="s">
        <v>4227</v>
      </c>
      <c r="Q431" s="152" t="s">
        <v>4228</v>
      </c>
      <c r="R431" s="123">
        <v>45977.0</v>
      </c>
      <c r="S431" s="16" t="s">
        <v>3671</v>
      </c>
      <c r="T431" s="17"/>
      <c r="U431" s="16" t="s">
        <v>3165</v>
      </c>
      <c r="V431" s="16" t="s">
        <v>3681</v>
      </c>
      <c r="W431" s="17"/>
      <c r="X431" s="17"/>
      <c r="Y431" s="16" t="s">
        <v>3165</v>
      </c>
      <c r="Z431" s="16" t="s">
        <v>3681</v>
      </c>
      <c r="AA431" s="17"/>
      <c r="AB431" s="16" t="s">
        <v>4216</v>
      </c>
    </row>
    <row r="432">
      <c r="A432" s="16">
        <f t="shared" si="2"/>
        <v>431</v>
      </c>
      <c r="B432" s="16" t="s">
        <v>1241</v>
      </c>
      <c r="C432" s="16" t="s">
        <v>1242</v>
      </c>
      <c r="D432" s="16" t="s">
        <v>1243</v>
      </c>
      <c r="E432" s="16" t="s">
        <v>3106</v>
      </c>
      <c r="F432" s="16" t="s">
        <v>10</v>
      </c>
      <c r="G432" s="16" t="s">
        <v>775</v>
      </c>
      <c r="H432" s="16" t="s">
        <v>12</v>
      </c>
      <c r="I432" s="16" t="s">
        <v>4062</v>
      </c>
      <c r="J432" s="16" t="s">
        <v>79</v>
      </c>
      <c r="K432" s="16" t="s">
        <v>775</v>
      </c>
      <c r="L432" s="154">
        <v>44312.0</v>
      </c>
      <c r="M432" s="16">
        <f t="shared" si="1"/>
        <v>5</v>
      </c>
      <c r="N432" s="135">
        <v>5.0003988E7</v>
      </c>
      <c r="O432" s="16" t="s">
        <v>3645</v>
      </c>
      <c r="Q432" s="152" t="s">
        <v>4229</v>
      </c>
      <c r="R432" s="123">
        <v>45977.0</v>
      </c>
      <c r="S432" s="16" t="s">
        <v>3671</v>
      </c>
      <c r="T432" s="17"/>
      <c r="U432" s="16" t="s">
        <v>3165</v>
      </c>
      <c r="V432" s="16" t="s">
        <v>3681</v>
      </c>
      <c r="W432" s="17"/>
      <c r="X432" s="17"/>
      <c r="Y432" s="16" t="s">
        <v>3165</v>
      </c>
      <c r="Z432" s="16" t="s">
        <v>3681</v>
      </c>
      <c r="AA432" s="17"/>
      <c r="AB432" s="16" t="s">
        <v>4216</v>
      </c>
    </row>
    <row r="433">
      <c r="A433" s="16">
        <f t="shared" si="2"/>
        <v>432</v>
      </c>
      <c r="B433" s="16" t="s">
        <v>1244</v>
      </c>
      <c r="C433" s="16" t="s">
        <v>1245</v>
      </c>
      <c r="D433" s="16" t="s">
        <v>1246</v>
      </c>
      <c r="E433" s="16" t="s">
        <v>3106</v>
      </c>
      <c r="F433" s="16" t="s">
        <v>10</v>
      </c>
      <c r="G433" s="16" t="s">
        <v>775</v>
      </c>
      <c r="H433" s="16" t="s">
        <v>12</v>
      </c>
      <c r="I433" s="16" t="s">
        <v>4062</v>
      </c>
      <c r="J433" s="16" t="s">
        <v>79</v>
      </c>
      <c r="K433" s="16" t="s">
        <v>775</v>
      </c>
      <c r="L433" s="154">
        <v>44312.0</v>
      </c>
      <c r="M433" s="16">
        <f t="shared" si="1"/>
        <v>5</v>
      </c>
      <c r="N433" s="135">
        <v>5.0003988E7</v>
      </c>
      <c r="O433" s="16" t="s">
        <v>3630</v>
      </c>
      <c r="Q433" s="152" t="s">
        <v>4230</v>
      </c>
      <c r="R433" s="123">
        <v>45977.0</v>
      </c>
      <c r="S433" s="16" t="s">
        <v>3671</v>
      </c>
      <c r="T433" s="17"/>
      <c r="U433" s="16" t="s">
        <v>3165</v>
      </c>
      <c r="V433" s="16" t="s">
        <v>3681</v>
      </c>
      <c r="W433" s="17"/>
      <c r="X433" s="17"/>
      <c r="Y433" s="16" t="s">
        <v>3165</v>
      </c>
      <c r="Z433" s="16" t="s">
        <v>3681</v>
      </c>
      <c r="AA433" s="17"/>
      <c r="AB433" s="16" t="s">
        <v>4216</v>
      </c>
    </row>
    <row r="434">
      <c r="A434" s="16">
        <f t="shared" si="2"/>
        <v>433</v>
      </c>
      <c r="B434" s="16" t="s">
        <v>1247</v>
      </c>
      <c r="C434" s="16" t="s">
        <v>1248</v>
      </c>
      <c r="D434" s="16" t="s">
        <v>1249</v>
      </c>
      <c r="E434" s="16" t="s">
        <v>3106</v>
      </c>
      <c r="F434" s="16" t="s">
        <v>10</v>
      </c>
      <c r="G434" s="16" t="s">
        <v>775</v>
      </c>
      <c r="H434" s="16" t="s">
        <v>12</v>
      </c>
      <c r="I434" s="16" t="s">
        <v>4062</v>
      </c>
      <c r="J434" s="16" t="s">
        <v>79</v>
      </c>
      <c r="K434" s="16" t="s">
        <v>775</v>
      </c>
      <c r="L434" s="154">
        <v>44312.0</v>
      </c>
      <c r="M434" s="16">
        <f t="shared" si="1"/>
        <v>5</v>
      </c>
      <c r="N434" s="135">
        <v>5.0003988E7</v>
      </c>
      <c r="O434" s="16" t="s">
        <v>3633</v>
      </c>
      <c r="Q434" s="152" t="s">
        <v>4231</v>
      </c>
      <c r="R434" s="123">
        <v>45977.0</v>
      </c>
      <c r="S434" s="16" t="s">
        <v>3671</v>
      </c>
      <c r="T434" s="17"/>
      <c r="U434" s="16" t="s">
        <v>3165</v>
      </c>
      <c r="V434" s="16" t="s">
        <v>3681</v>
      </c>
      <c r="W434" s="17"/>
      <c r="X434" s="17"/>
      <c r="Y434" s="16" t="s">
        <v>3165</v>
      </c>
      <c r="Z434" s="16" t="s">
        <v>3681</v>
      </c>
      <c r="AA434" s="17"/>
      <c r="AB434" s="16" t="s">
        <v>4216</v>
      </c>
    </row>
    <row r="435">
      <c r="A435" s="16">
        <f t="shared" si="2"/>
        <v>434</v>
      </c>
      <c r="B435" s="16" t="s">
        <v>1250</v>
      </c>
      <c r="C435" s="16" t="s">
        <v>1251</v>
      </c>
      <c r="D435" s="16" t="s">
        <v>1252</v>
      </c>
      <c r="E435" s="16" t="s">
        <v>3106</v>
      </c>
      <c r="F435" s="16" t="s">
        <v>10</v>
      </c>
      <c r="G435" s="16" t="s">
        <v>3715</v>
      </c>
      <c r="H435" s="16" t="s">
        <v>12</v>
      </c>
      <c r="I435" s="17"/>
      <c r="J435" s="16" t="s">
        <v>13</v>
      </c>
      <c r="K435" s="16" t="s">
        <v>93</v>
      </c>
      <c r="L435" s="154">
        <v>44152.0</v>
      </c>
      <c r="M435" s="16">
        <f t="shared" si="1"/>
        <v>6</v>
      </c>
      <c r="N435" s="17"/>
      <c r="O435" s="16" t="s">
        <v>3790</v>
      </c>
      <c r="Q435" s="152" t="s">
        <v>4232</v>
      </c>
      <c r="R435" s="17"/>
      <c r="S435" s="16" t="s">
        <v>3671</v>
      </c>
      <c r="T435" s="17"/>
      <c r="U435" s="16" t="s">
        <v>3165</v>
      </c>
      <c r="V435" s="16" t="s">
        <v>3681</v>
      </c>
      <c r="W435" s="17"/>
      <c r="X435" s="17"/>
      <c r="Y435" s="16" t="s">
        <v>3165</v>
      </c>
      <c r="Z435" s="16" t="s">
        <v>3681</v>
      </c>
      <c r="AA435" s="17"/>
      <c r="AB435" s="17"/>
    </row>
    <row r="436">
      <c r="A436" s="16">
        <f t="shared" si="2"/>
        <v>435</v>
      </c>
      <c r="B436" s="16" t="s">
        <v>1253</v>
      </c>
      <c r="C436" s="16" t="s">
        <v>1254</v>
      </c>
      <c r="D436" s="16" t="s">
        <v>1255</v>
      </c>
      <c r="E436" s="16" t="s">
        <v>3106</v>
      </c>
      <c r="F436" s="16" t="s">
        <v>10</v>
      </c>
      <c r="G436" s="16" t="s">
        <v>775</v>
      </c>
      <c r="H436" s="16" t="s">
        <v>12</v>
      </c>
      <c r="I436" s="16" t="s">
        <v>4062</v>
      </c>
      <c r="J436" s="16" t="s">
        <v>79</v>
      </c>
      <c r="K436" s="16" t="s">
        <v>775</v>
      </c>
      <c r="L436" s="154">
        <v>44312.0</v>
      </c>
      <c r="M436" s="16">
        <f t="shared" si="1"/>
        <v>5</v>
      </c>
      <c r="N436" s="135">
        <v>5.0003988E7</v>
      </c>
      <c r="O436" s="16" t="s">
        <v>3609</v>
      </c>
      <c r="Q436" s="152" t="s">
        <v>4233</v>
      </c>
      <c r="R436" s="123">
        <v>45977.0</v>
      </c>
      <c r="S436" s="16" t="s">
        <v>3671</v>
      </c>
      <c r="T436" s="17"/>
      <c r="U436" s="16" t="s">
        <v>3165</v>
      </c>
      <c r="V436" s="16" t="s">
        <v>3681</v>
      </c>
      <c r="W436" s="17"/>
      <c r="X436" s="17"/>
      <c r="Y436" s="16" t="s">
        <v>3165</v>
      </c>
      <c r="Z436" s="16" t="s">
        <v>3681</v>
      </c>
      <c r="AA436" s="17"/>
      <c r="AB436" s="16" t="s">
        <v>4216</v>
      </c>
    </row>
    <row r="437">
      <c r="A437" s="16">
        <f t="shared" si="2"/>
        <v>436</v>
      </c>
      <c r="B437" s="16" t="s">
        <v>1256</v>
      </c>
      <c r="C437" s="16" t="s">
        <v>1257</v>
      </c>
      <c r="D437" s="16" t="s">
        <v>1258</v>
      </c>
      <c r="E437" s="16" t="s">
        <v>3106</v>
      </c>
      <c r="F437" s="16" t="s">
        <v>10</v>
      </c>
      <c r="G437" s="16" t="s">
        <v>3669</v>
      </c>
      <c r="H437" s="16" t="s">
        <v>12</v>
      </c>
      <c r="I437" s="16" t="s">
        <v>3396</v>
      </c>
      <c r="J437" s="16" t="s">
        <v>13</v>
      </c>
      <c r="K437" s="16" t="s">
        <v>11</v>
      </c>
      <c r="L437" s="154">
        <v>44347.0</v>
      </c>
      <c r="M437" s="16">
        <f t="shared" si="1"/>
        <v>5</v>
      </c>
      <c r="N437" s="135">
        <v>5.0004077E7</v>
      </c>
      <c r="O437" s="16" t="s">
        <v>3642</v>
      </c>
      <c r="Q437" s="152" t="s">
        <v>4234</v>
      </c>
      <c r="R437" s="123">
        <v>45977.0</v>
      </c>
      <c r="S437" s="16" t="s">
        <v>3671</v>
      </c>
      <c r="T437" s="17"/>
      <c r="U437" s="16" t="s">
        <v>3165</v>
      </c>
      <c r="V437" s="16" t="s">
        <v>3681</v>
      </c>
      <c r="W437" s="17"/>
      <c r="X437" s="17"/>
      <c r="Y437" s="16" t="s">
        <v>3165</v>
      </c>
      <c r="Z437" s="16" t="s">
        <v>3681</v>
      </c>
      <c r="AA437" s="17"/>
      <c r="AB437" s="16" t="s">
        <v>4216</v>
      </c>
    </row>
    <row r="438">
      <c r="A438" s="16">
        <f t="shared" si="2"/>
        <v>437</v>
      </c>
      <c r="B438" s="16" t="s">
        <v>1259</v>
      </c>
      <c r="C438" s="16" t="s">
        <v>1260</v>
      </c>
      <c r="D438" s="16" t="s">
        <v>1261</v>
      </c>
      <c r="E438" s="16" t="s">
        <v>3106</v>
      </c>
      <c r="F438" s="16" t="s">
        <v>10</v>
      </c>
      <c r="G438" s="16" t="s">
        <v>775</v>
      </c>
      <c r="H438" s="16" t="s">
        <v>12</v>
      </c>
      <c r="I438" s="16" t="s">
        <v>4062</v>
      </c>
      <c r="J438" s="16" t="s">
        <v>79</v>
      </c>
      <c r="K438" s="16" t="s">
        <v>775</v>
      </c>
      <c r="L438" s="154">
        <v>44312.0</v>
      </c>
      <c r="M438" s="16">
        <f t="shared" si="1"/>
        <v>5</v>
      </c>
      <c r="N438" s="135">
        <v>5.0003988E7</v>
      </c>
      <c r="O438" s="16" t="s">
        <v>3636</v>
      </c>
      <c r="Q438" s="152" t="s">
        <v>4235</v>
      </c>
      <c r="R438" s="123">
        <v>45977.0</v>
      </c>
      <c r="S438" s="16" t="s">
        <v>3671</v>
      </c>
      <c r="T438" s="17"/>
      <c r="U438" s="16" t="s">
        <v>3165</v>
      </c>
      <c r="V438" s="16" t="s">
        <v>3681</v>
      </c>
      <c r="W438" s="17"/>
      <c r="X438" s="17"/>
      <c r="Y438" s="16" t="s">
        <v>3165</v>
      </c>
      <c r="Z438" s="16" t="s">
        <v>3681</v>
      </c>
      <c r="AA438" s="17"/>
      <c r="AB438" s="16" t="s">
        <v>4216</v>
      </c>
    </row>
    <row r="439">
      <c r="A439" s="16">
        <f t="shared" si="2"/>
        <v>438</v>
      </c>
      <c r="B439" s="16" t="s">
        <v>1262</v>
      </c>
      <c r="C439" s="16">
        <v>6.0019768E7</v>
      </c>
      <c r="D439" s="16" t="s">
        <v>1263</v>
      </c>
      <c r="E439" s="16" t="s">
        <v>3106</v>
      </c>
      <c r="F439" s="16" t="s">
        <v>10</v>
      </c>
      <c r="G439" s="16" t="s">
        <v>3787</v>
      </c>
      <c r="H439" s="16" t="s">
        <v>12</v>
      </c>
      <c r="I439" s="16" t="s">
        <v>3788</v>
      </c>
      <c r="J439" s="16" t="s">
        <v>36</v>
      </c>
      <c r="K439" s="16" t="s">
        <v>214</v>
      </c>
      <c r="L439" s="154">
        <v>44848.0</v>
      </c>
      <c r="M439" s="16">
        <f t="shared" si="1"/>
        <v>4</v>
      </c>
      <c r="N439" s="16">
        <v>4.500000469E9</v>
      </c>
      <c r="O439" s="17"/>
      <c r="Q439" s="152" t="s">
        <v>4236</v>
      </c>
      <c r="R439" s="17"/>
      <c r="S439" s="16" t="s">
        <v>3671</v>
      </c>
      <c r="T439" s="17"/>
      <c r="U439" s="16" t="s">
        <v>3243</v>
      </c>
      <c r="V439" s="16" t="s">
        <v>4237</v>
      </c>
      <c r="W439" s="17"/>
      <c r="X439" s="17"/>
      <c r="Y439" s="16" t="s">
        <v>3243</v>
      </c>
      <c r="Z439" s="16" t="s">
        <v>4237</v>
      </c>
      <c r="AA439" s="17"/>
      <c r="AB439" s="17"/>
    </row>
    <row r="440">
      <c r="A440" s="16">
        <f t="shared" si="2"/>
        <v>439</v>
      </c>
      <c r="B440" s="16" t="s">
        <v>1264</v>
      </c>
      <c r="C440" s="16" t="s">
        <v>1265</v>
      </c>
      <c r="D440" s="16" t="s">
        <v>1266</v>
      </c>
      <c r="E440" s="16" t="s">
        <v>3106</v>
      </c>
      <c r="F440" s="16" t="s">
        <v>10</v>
      </c>
      <c r="G440" s="16" t="s">
        <v>3669</v>
      </c>
      <c r="H440" s="16" t="s">
        <v>12</v>
      </c>
      <c r="I440" s="16" t="s">
        <v>3396</v>
      </c>
      <c r="J440" s="16" t="s">
        <v>13</v>
      </c>
      <c r="K440" s="16" t="s">
        <v>11</v>
      </c>
      <c r="L440" s="154">
        <v>44544.0</v>
      </c>
      <c r="M440" s="16">
        <f t="shared" si="1"/>
        <v>5</v>
      </c>
      <c r="N440" s="16">
        <v>5.000436E7</v>
      </c>
      <c r="O440" s="17"/>
      <c r="Q440" s="152" t="s">
        <v>4238</v>
      </c>
      <c r="R440" s="17"/>
      <c r="S440" s="16" t="s">
        <v>3671</v>
      </c>
      <c r="T440" s="17"/>
      <c r="U440" s="16" t="s">
        <v>3243</v>
      </c>
      <c r="V440" s="16" t="s">
        <v>4237</v>
      </c>
      <c r="W440" s="17"/>
      <c r="X440" s="17"/>
      <c r="Y440" s="16" t="s">
        <v>3243</v>
      </c>
      <c r="Z440" s="16" t="s">
        <v>4237</v>
      </c>
      <c r="AA440" s="17"/>
      <c r="AB440" s="17"/>
    </row>
    <row r="441">
      <c r="A441" s="16">
        <f t="shared" si="2"/>
        <v>440</v>
      </c>
      <c r="B441" s="16" t="s">
        <v>1267</v>
      </c>
      <c r="C441" s="16" t="s">
        <v>1268</v>
      </c>
      <c r="D441" s="16" t="s">
        <v>1269</v>
      </c>
      <c r="E441" s="16" t="s">
        <v>3106</v>
      </c>
      <c r="F441" s="16" t="s">
        <v>10</v>
      </c>
      <c r="G441" s="16" t="s">
        <v>3748</v>
      </c>
      <c r="H441" s="16" t="s">
        <v>12</v>
      </c>
      <c r="I441" s="17"/>
      <c r="J441" s="16" t="s">
        <v>36</v>
      </c>
      <c r="K441" s="16" t="s">
        <v>131</v>
      </c>
      <c r="L441" s="154">
        <v>42508.0</v>
      </c>
      <c r="M441" s="16">
        <f t="shared" si="1"/>
        <v>10</v>
      </c>
      <c r="N441" s="17"/>
      <c r="O441" s="17"/>
      <c r="Q441" s="152" t="s">
        <v>4239</v>
      </c>
      <c r="R441" s="17"/>
      <c r="S441" s="16" t="s">
        <v>3671</v>
      </c>
      <c r="T441" s="16" t="s">
        <v>4240</v>
      </c>
      <c r="U441" s="16" t="s">
        <v>3135</v>
      </c>
      <c r="V441" s="16" t="s">
        <v>4237</v>
      </c>
      <c r="W441" s="17"/>
      <c r="X441" s="16" t="s">
        <v>4240</v>
      </c>
      <c r="Y441" s="16" t="s">
        <v>3135</v>
      </c>
      <c r="Z441" s="16" t="s">
        <v>4237</v>
      </c>
      <c r="AA441" s="17"/>
      <c r="AB441" s="17"/>
    </row>
    <row r="442">
      <c r="A442" s="16">
        <f t="shared" si="2"/>
        <v>441</v>
      </c>
      <c r="B442" s="16" t="s">
        <v>1270</v>
      </c>
      <c r="C442" s="16">
        <v>6.0019806E7</v>
      </c>
      <c r="D442" s="16" t="s">
        <v>1271</v>
      </c>
      <c r="E442" s="16" t="s">
        <v>3106</v>
      </c>
      <c r="F442" s="16" t="s">
        <v>10</v>
      </c>
      <c r="G442" s="16" t="s">
        <v>3787</v>
      </c>
      <c r="H442" s="16" t="s">
        <v>12</v>
      </c>
      <c r="I442" s="16" t="s">
        <v>3788</v>
      </c>
      <c r="J442" s="16" t="s">
        <v>36</v>
      </c>
      <c r="K442" s="16" t="s">
        <v>214</v>
      </c>
      <c r="L442" s="154">
        <v>44848.0</v>
      </c>
      <c r="M442" s="16">
        <f t="shared" si="1"/>
        <v>4</v>
      </c>
      <c r="N442" s="16">
        <v>4.500000469E9</v>
      </c>
      <c r="O442" s="16" t="s">
        <v>3519</v>
      </c>
      <c r="Q442" s="152" t="s">
        <v>4241</v>
      </c>
      <c r="R442" s="17"/>
      <c r="S442" s="16" t="s">
        <v>3673</v>
      </c>
      <c r="T442" s="16" t="s">
        <v>4242</v>
      </c>
      <c r="U442" s="16" t="s">
        <v>2999</v>
      </c>
      <c r="V442" s="16" t="s">
        <v>3729</v>
      </c>
      <c r="W442" s="17"/>
      <c r="X442" s="16" t="s">
        <v>4242</v>
      </c>
      <c r="Y442" s="16" t="s">
        <v>3988</v>
      </c>
      <c r="Z442" s="16" t="s">
        <v>3729</v>
      </c>
      <c r="AA442" s="17"/>
      <c r="AB442" s="17"/>
    </row>
    <row r="443">
      <c r="A443" s="16">
        <f t="shared" si="2"/>
        <v>442</v>
      </c>
      <c r="B443" s="16" t="s">
        <v>1272</v>
      </c>
      <c r="C443" s="16">
        <v>6.0019805E7</v>
      </c>
      <c r="D443" s="16" t="s">
        <v>1273</v>
      </c>
      <c r="E443" s="16" t="s">
        <v>3106</v>
      </c>
      <c r="F443" s="16" t="s">
        <v>10</v>
      </c>
      <c r="G443" s="16" t="s">
        <v>3787</v>
      </c>
      <c r="H443" s="16" t="s">
        <v>12</v>
      </c>
      <c r="I443" s="16" t="s">
        <v>3788</v>
      </c>
      <c r="J443" s="16" t="s">
        <v>36</v>
      </c>
      <c r="K443" s="16" t="s">
        <v>214</v>
      </c>
      <c r="L443" s="154">
        <v>44848.0</v>
      </c>
      <c r="M443" s="16">
        <f t="shared" si="1"/>
        <v>4</v>
      </c>
      <c r="N443" s="16">
        <v>4.500000469E9</v>
      </c>
      <c r="O443" s="16" t="s">
        <v>3519</v>
      </c>
      <c r="Q443" s="152" t="s">
        <v>4243</v>
      </c>
      <c r="R443" s="17"/>
      <c r="S443" s="16" t="s">
        <v>3673</v>
      </c>
      <c r="T443" s="16" t="s">
        <v>4244</v>
      </c>
      <c r="U443" s="16" t="s">
        <v>2999</v>
      </c>
      <c r="V443" s="16" t="s">
        <v>3729</v>
      </c>
      <c r="W443" s="17"/>
      <c r="X443" s="16" t="s">
        <v>4244</v>
      </c>
      <c r="Y443" s="16" t="s">
        <v>3988</v>
      </c>
      <c r="Z443" s="16" t="s">
        <v>3729</v>
      </c>
      <c r="AA443" s="17"/>
      <c r="AB443" s="17"/>
    </row>
    <row r="444">
      <c r="A444" s="16">
        <f t="shared" si="2"/>
        <v>443</v>
      </c>
      <c r="B444" s="16" t="s">
        <v>1274</v>
      </c>
      <c r="C444" s="16">
        <v>6.0019804E7</v>
      </c>
      <c r="D444" s="16" t="s">
        <v>1275</v>
      </c>
      <c r="E444" s="16" t="s">
        <v>3106</v>
      </c>
      <c r="F444" s="16" t="s">
        <v>10</v>
      </c>
      <c r="G444" s="16" t="s">
        <v>3787</v>
      </c>
      <c r="H444" s="16" t="s">
        <v>12</v>
      </c>
      <c r="I444" s="16" t="s">
        <v>3788</v>
      </c>
      <c r="J444" s="16" t="s">
        <v>36</v>
      </c>
      <c r="K444" s="16" t="s">
        <v>214</v>
      </c>
      <c r="L444" s="154">
        <v>44848.0</v>
      </c>
      <c r="M444" s="16">
        <f t="shared" si="1"/>
        <v>4</v>
      </c>
      <c r="N444" s="16">
        <v>4.500000469E9</v>
      </c>
      <c r="O444" s="16" t="s">
        <v>3519</v>
      </c>
      <c r="Q444" s="152" t="s">
        <v>4245</v>
      </c>
      <c r="R444" s="115">
        <v>45450.0</v>
      </c>
      <c r="S444" s="16" t="s">
        <v>3673</v>
      </c>
      <c r="T444" s="16" t="s">
        <v>4246</v>
      </c>
      <c r="U444" s="16" t="s">
        <v>2999</v>
      </c>
      <c r="V444" s="16" t="s">
        <v>3729</v>
      </c>
      <c r="W444" s="17"/>
      <c r="X444" s="16" t="s">
        <v>4246</v>
      </c>
      <c r="Y444" s="16" t="s">
        <v>3236</v>
      </c>
      <c r="Z444" s="16" t="s">
        <v>3729</v>
      </c>
      <c r="AA444" s="17"/>
      <c r="AB444" s="17"/>
    </row>
    <row r="445">
      <c r="A445" s="16">
        <f t="shared" si="2"/>
        <v>444</v>
      </c>
      <c r="B445" s="16" t="s">
        <v>1276</v>
      </c>
      <c r="C445" s="16">
        <v>6.0019803E7</v>
      </c>
      <c r="D445" s="16" t="s">
        <v>1277</v>
      </c>
      <c r="E445" s="16" t="s">
        <v>3106</v>
      </c>
      <c r="F445" s="16" t="s">
        <v>10</v>
      </c>
      <c r="G445" s="16" t="s">
        <v>3787</v>
      </c>
      <c r="H445" s="16" t="s">
        <v>12</v>
      </c>
      <c r="I445" s="16" t="s">
        <v>3788</v>
      </c>
      <c r="J445" s="16" t="s">
        <v>36</v>
      </c>
      <c r="K445" s="16" t="s">
        <v>214</v>
      </c>
      <c r="L445" s="154">
        <v>44848.0</v>
      </c>
      <c r="M445" s="16">
        <f t="shared" si="1"/>
        <v>4</v>
      </c>
      <c r="N445" s="16">
        <v>4.500000469E9</v>
      </c>
      <c r="O445" s="16" t="s">
        <v>3519</v>
      </c>
      <c r="Q445" s="152" t="s">
        <v>4247</v>
      </c>
      <c r="R445" s="17"/>
      <c r="S445" s="16" t="s">
        <v>3673</v>
      </c>
      <c r="T445" s="16" t="s">
        <v>4248</v>
      </c>
      <c r="U445" s="16" t="s">
        <v>2999</v>
      </c>
      <c r="V445" s="16" t="s">
        <v>3729</v>
      </c>
      <c r="W445" s="17"/>
      <c r="X445" s="16" t="s">
        <v>4248</v>
      </c>
      <c r="Y445" s="16" t="s">
        <v>3236</v>
      </c>
      <c r="Z445" s="16" t="s">
        <v>3729</v>
      </c>
      <c r="AA445" s="17"/>
      <c r="AB445" s="17"/>
    </row>
    <row r="446">
      <c r="A446" s="16">
        <f t="shared" si="2"/>
        <v>445</v>
      </c>
      <c r="B446" s="16" t="s">
        <v>1278</v>
      </c>
      <c r="C446" s="16">
        <v>6.0019797E7</v>
      </c>
      <c r="D446" s="16" t="s">
        <v>1279</v>
      </c>
      <c r="E446" s="16" t="s">
        <v>3106</v>
      </c>
      <c r="F446" s="16" t="s">
        <v>10</v>
      </c>
      <c r="G446" s="16" t="s">
        <v>3787</v>
      </c>
      <c r="H446" s="16" t="s">
        <v>12</v>
      </c>
      <c r="I446" s="16" t="s">
        <v>3788</v>
      </c>
      <c r="J446" s="16" t="s">
        <v>36</v>
      </c>
      <c r="K446" s="16" t="s">
        <v>214</v>
      </c>
      <c r="L446" s="154">
        <v>44848.0</v>
      </c>
      <c r="M446" s="16">
        <f t="shared" si="1"/>
        <v>4</v>
      </c>
      <c r="N446" s="16">
        <v>4.500000469E9</v>
      </c>
      <c r="O446" s="16" t="s">
        <v>3519</v>
      </c>
      <c r="Q446" s="152" t="s">
        <v>4249</v>
      </c>
      <c r="R446" s="17"/>
      <c r="S446" s="16" t="s">
        <v>3671</v>
      </c>
      <c r="T446" s="17"/>
      <c r="U446" s="16" t="s">
        <v>2999</v>
      </c>
      <c r="V446" s="16" t="s">
        <v>3729</v>
      </c>
      <c r="W446" s="17"/>
      <c r="X446" s="17"/>
      <c r="Y446" s="16" t="s">
        <v>3988</v>
      </c>
      <c r="Z446" s="16" t="s">
        <v>3729</v>
      </c>
      <c r="AA446" s="17"/>
      <c r="AB446" s="17"/>
    </row>
    <row r="447">
      <c r="A447" s="16">
        <f t="shared" si="2"/>
        <v>446</v>
      </c>
      <c r="B447" s="16" t="s">
        <v>1280</v>
      </c>
      <c r="C447" s="16">
        <v>6.0019798E7</v>
      </c>
      <c r="D447" s="16" t="s">
        <v>1281</v>
      </c>
      <c r="E447" s="16" t="s">
        <v>3106</v>
      </c>
      <c r="F447" s="16" t="s">
        <v>10</v>
      </c>
      <c r="G447" s="16" t="s">
        <v>3787</v>
      </c>
      <c r="H447" s="16" t="s">
        <v>12</v>
      </c>
      <c r="I447" s="16" t="s">
        <v>3788</v>
      </c>
      <c r="J447" s="16" t="s">
        <v>36</v>
      </c>
      <c r="K447" s="16" t="s">
        <v>214</v>
      </c>
      <c r="L447" s="154">
        <v>44848.0</v>
      </c>
      <c r="M447" s="16">
        <f t="shared" si="1"/>
        <v>4</v>
      </c>
      <c r="N447" s="16">
        <v>4.500000469E9</v>
      </c>
      <c r="O447" s="16" t="s">
        <v>3519</v>
      </c>
      <c r="Q447" s="152" t="s">
        <v>4250</v>
      </c>
      <c r="R447" s="122">
        <v>45484.0</v>
      </c>
      <c r="S447" s="16" t="s">
        <v>3673</v>
      </c>
      <c r="T447" s="16" t="s">
        <v>3297</v>
      </c>
      <c r="U447" s="16" t="s">
        <v>2999</v>
      </c>
      <c r="V447" s="16" t="s">
        <v>3729</v>
      </c>
      <c r="W447" s="17"/>
      <c r="X447" s="16" t="s">
        <v>3297</v>
      </c>
      <c r="Y447" s="16" t="s">
        <v>3988</v>
      </c>
      <c r="Z447" s="16" t="s">
        <v>3729</v>
      </c>
      <c r="AA447" s="17"/>
      <c r="AB447" s="17"/>
    </row>
    <row r="448">
      <c r="A448" s="16">
        <f t="shared" si="2"/>
        <v>447</v>
      </c>
      <c r="B448" s="16" t="s">
        <v>1282</v>
      </c>
      <c r="C448" s="16">
        <v>6.0019799E7</v>
      </c>
      <c r="D448" s="16" t="s">
        <v>1283</v>
      </c>
      <c r="E448" s="16" t="s">
        <v>3106</v>
      </c>
      <c r="F448" s="16" t="s">
        <v>10</v>
      </c>
      <c r="G448" s="16" t="s">
        <v>3787</v>
      </c>
      <c r="H448" s="16" t="s">
        <v>12</v>
      </c>
      <c r="I448" s="16" t="s">
        <v>3788</v>
      </c>
      <c r="J448" s="16" t="s">
        <v>36</v>
      </c>
      <c r="K448" s="16" t="s">
        <v>214</v>
      </c>
      <c r="L448" s="154">
        <v>44848.0</v>
      </c>
      <c r="M448" s="16">
        <f t="shared" si="1"/>
        <v>4</v>
      </c>
      <c r="N448" s="16">
        <v>4.500000469E9</v>
      </c>
      <c r="O448" s="16" t="s">
        <v>3519</v>
      </c>
      <c r="Q448" s="152" t="s">
        <v>4251</v>
      </c>
      <c r="R448" s="17"/>
      <c r="S448" s="16" t="s">
        <v>3673</v>
      </c>
      <c r="T448" s="16" t="s">
        <v>4252</v>
      </c>
      <c r="U448" s="16" t="s">
        <v>2999</v>
      </c>
      <c r="V448" s="16" t="s">
        <v>3729</v>
      </c>
      <c r="W448" s="17"/>
      <c r="X448" s="16" t="s">
        <v>4252</v>
      </c>
      <c r="Y448" s="16" t="s">
        <v>3988</v>
      </c>
      <c r="Z448" s="16" t="s">
        <v>3729</v>
      </c>
      <c r="AA448" s="17"/>
      <c r="AB448" s="17"/>
    </row>
    <row r="449">
      <c r="A449" s="16">
        <f t="shared" si="2"/>
        <v>448</v>
      </c>
      <c r="B449" s="16" t="s">
        <v>1284</v>
      </c>
      <c r="C449" s="130">
        <v>6.00198E7</v>
      </c>
      <c r="D449" s="16" t="s">
        <v>1285</v>
      </c>
      <c r="E449" s="16" t="s">
        <v>3106</v>
      </c>
      <c r="F449" s="16" t="s">
        <v>10</v>
      </c>
      <c r="G449" s="16" t="s">
        <v>3787</v>
      </c>
      <c r="H449" s="16" t="s">
        <v>12</v>
      </c>
      <c r="I449" s="16" t="s">
        <v>3788</v>
      </c>
      <c r="J449" s="16" t="s">
        <v>36</v>
      </c>
      <c r="K449" s="16" t="s">
        <v>214</v>
      </c>
      <c r="L449" s="154">
        <v>44848.0</v>
      </c>
      <c r="M449" s="16">
        <f t="shared" si="1"/>
        <v>4</v>
      </c>
      <c r="N449" s="16">
        <v>4.500000469E9</v>
      </c>
      <c r="O449" s="17"/>
      <c r="Q449" s="152" t="s">
        <v>3883</v>
      </c>
      <c r="R449" s="17"/>
      <c r="S449" s="16" t="s">
        <v>3671</v>
      </c>
      <c r="T449" s="17"/>
      <c r="U449" s="16" t="s">
        <v>2999</v>
      </c>
      <c r="V449" s="16" t="s">
        <v>3729</v>
      </c>
      <c r="W449" s="17"/>
      <c r="X449" s="17"/>
      <c r="Y449" s="16" t="s">
        <v>3988</v>
      </c>
      <c r="Z449" s="16" t="s">
        <v>3729</v>
      </c>
      <c r="AA449" s="17"/>
      <c r="AB449" s="17"/>
    </row>
    <row r="450">
      <c r="A450" s="16">
        <f t="shared" si="2"/>
        <v>449</v>
      </c>
      <c r="B450" s="16" t="s">
        <v>1286</v>
      </c>
      <c r="C450" s="16">
        <v>6.0019801E7</v>
      </c>
      <c r="D450" s="16" t="s">
        <v>1287</v>
      </c>
      <c r="E450" s="16" t="s">
        <v>3106</v>
      </c>
      <c r="F450" s="16" t="s">
        <v>10</v>
      </c>
      <c r="G450" s="16" t="s">
        <v>3787</v>
      </c>
      <c r="H450" s="16" t="s">
        <v>12</v>
      </c>
      <c r="I450" s="16" t="s">
        <v>3788</v>
      </c>
      <c r="J450" s="16" t="s">
        <v>36</v>
      </c>
      <c r="K450" s="16" t="s">
        <v>214</v>
      </c>
      <c r="L450" s="154">
        <v>44848.0</v>
      </c>
      <c r="M450" s="16">
        <f t="shared" si="1"/>
        <v>4</v>
      </c>
      <c r="N450" s="16">
        <v>4.500000469E9</v>
      </c>
      <c r="O450" s="17"/>
      <c r="Q450" s="152" t="s">
        <v>4253</v>
      </c>
      <c r="R450" s="17"/>
      <c r="S450" s="16" t="s">
        <v>3671</v>
      </c>
      <c r="T450" s="17"/>
      <c r="U450" s="16" t="s">
        <v>2999</v>
      </c>
      <c r="V450" s="16" t="s">
        <v>3729</v>
      </c>
      <c r="W450" s="17"/>
      <c r="X450" s="17"/>
      <c r="Y450" s="16" t="s">
        <v>3988</v>
      </c>
      <c r="Z450" s="16" t="s">
        <v>3729</v>
      </c>
      <c r="AA450" s="17"/>
      <c r="AB450" s="17"/>
    </row>
    <row r="451">
      <c r="A451" s="16">
        <f t="shared" si="2"/>
        <v>450</v>
      </c>
      <c r="B451" s="16" t="s">
        <v>1288</v>
      </c>
      <c r="C451" s="16" t="s">
        <v>1289</v>
      </c>
      <c r="D451" s="16" t="s">
        <v>1290</v>
      </c>
      <c r="E451" s="16" t="s">
        <v>3106</v>
      </c>
      <c r="F451" s="16" t="s">
        <v>10</v>
      </c>
      <c r="G451" s="16" t="s">
        <v>3669</v>
      </c>
      <c r="H451" s="16" t="s">
        <v>12</v>
      </c>
      <c r="I451" s="17"/>
      <c r="J451" s="16" t="s">
        <v>13</v>
      </c>
      <c r="K451" s="16" t="s">
        <v>11</v>
      </c>
      <c r="L451" s="154">
        <v>44502.0</v>
      </c>
      <c r="M451" s="16">
        <f t="shared" si="1"/>
        <v>5</v>
      </c>
      <c r="N451" s="17"/>
      <c r="O451" s="16" t="s">
        <v>3519</v>
      </c>
      <c r="Q451" s="152" t="s">
        <v>3679</v>
      </c>
      <c r="R451" s="115">
        <v>45570.0</v>
      </c>
      <c r="S451" s="16" t="s">
        <v>3673</v>
      </c>
      <c r="T451" s="16" t="s">
        <v>4254</v>
      </c>
      <c r="U451" s="16" t="s">
        <v>3125</v>
      </c>
      <c r="V451" s="17"/>
      <c r="W451" s="17"/>
      <c r="X451" s="16" t="s">
        <v>4254</v>
      </c>
      <c r="Y451" s="16" t="s">
        <v>3125</v>
      </c>
      <c r="Z451" s="17"/>
      <c r="AA451" s="17"/>
      <c r="AB451" s="17"/>
    </row>
    <row r="452">
      <c r="A452" s="16">
        <f t="shared" si="2"/>
        <v>451</v>
      </c>
      <c r="B452" s="16" t="s">
        <v>1291</v>
      </c>
      <c r="C452" s="16" t="s">
        <v>1292</v>
      </c>
      <c r="D452" s="16" t="s">
        <v>1293</v>
      </c>
      <c r="E452" s="16" t="s">
        <v>3106</v>
      </c>
      <c r="F452" s="16" t="s">
        <v>10</v>
      </c>
      <c r="G452" s="16" t="s">
        <v>3678</v>
      </c>
      <c r="H452" s="16" t="s">
        <v>12</v>
      </c>
      <c r="I452" s="17"/>
      <c r="J452" s="16" t="s">
        <v>36</v>
      </c>
      <c r="K452" s="16" t="s">
        <v>35</v>
      </c>
      <c r="L452" s="154">
        <v>43817.0</v>
      </c>
      <c r="M452" s="16">
        <f t="shared" si="1"/>
        <v>7</v>
      </c>
      <c r="N452" s="17"/>
      <c r="O452" s="16" t="s">
        <v>2557</v>
      </c>
      <c r="Q452" s="152" t="s">
        <v>4255</v>
      </c>
      <c r="R452" s="115">
        <v>45327.0</v>
      </c>
      <c r="S452" s="16" t="s">
        <v>3671</v>
      </c>
      <c r="T452" s="17"/>
      <c r="U452" s="16" t="s">
        <v>4256</v>
      </c>
      <c r="V452" s="16" t="s">
        <v>4237</v>
      </c>
      <c r="W452" s="17"/>
      <c r="X452" s="17"/>
      <c r="Y452" s="16" t="s">
        <v>4256</v>
      </c>
      <c r="Z452" s="16" t="s">
        <v>4237</v>
      </c>
      <c r="AA452" s="17"/>
      <c r="AB452" s="17"/>
    </row>
    <row r="453">
      <c r="A453" s="16">
        <f t="shared" si="2"/>
        <v>452</v>
      </c>
      <c r="B453" s="16" t="s">
        <v>1294</v>
      </c>
      <c r="C453" s="16" t="s">
        <v>1295</v>
      </c>
      <c r="D453" s="16" t="s">
        <v>1296</v>
      </c>
      <c r="E453" s="16" t="s">
        <v>3106</v>
      </c>
      <c r="F453" s="16" t="s">
        <v>10</v>
      </c>
      <c r="G453" s="16" t="s">
        <v>3748</v>
      </c>
      <c r="H453" s="16" t="s">
        <v>12</v>
      </c>
      <c r="I453" s="17"/>
      <c r="J453" s="16" t="s">
        <v>36</v>
      </c>
      <c r="K453" s="16" t="s">
        <v>131</v>
      </c>
      <c r="L453" s="154">
        <v>42522.0</v>
      </c>
      <c r="M453" s="16">
        <f t="shared" si="1"/>
        <v>10</v>
      </c>
      <c r="N453" s="17"/>
      <c r="O453" s="111"/>
      <c r="Q453" s="152" t="s">
        <v>3864</v>
      </c>
      <c r="R453" s="17"/>
      <c r="S453" s="16" t="s">
        <v>3671</v>
      </c>
      <c r="T453" s="17"/>
      <c r="U453" s="16" t="s">
        <v>3250</v>
      </c>
      <c r="V453" s="17"/>
      <c r="W453" s="17"/>
      <c r="X453" s="17"/>
      <c r="Y453" s="16" t="s">
        <v>3250</v>
      </c>
      <c r="Z453" s="16" t="s">
        <v>3734</v>
      </c>
      <c r="AA453" s="17"/>
      <c r="AB453" s="17"/>
    </row>
    <row r="454">
      <c r="A454" s="16">
        <f t="shared" si="2"/>
        <v>453</v>
      </c>
      <c r="B454" s="16" t="s">
        <v>1297</v>
      </c>
      <c r="C454" s="16">
        <v>6.0019807E7</v>
      </c>
      <c r="D454" s="16" t="s">
        <v>1298</v>
      </c>
      <c r="E454" s="16" t="s">
        <v>3106</v>
      </c>
      <c r="F454" s="16" t="s">
        <v>10</v>
      </c>
      <c r="G454" s="16" t="s">
        <v>3787</v>
      </c>
      <c r="H454" s="16" t="s">
        <v>12</v>
      </c>
      <c r="I454" s="16" t="s">
        <v>3788</v>
      </c>
      <c r="J454" s="16" t="s">
        <v>36</v>
      </c>
      <c r="K454" s="16" t="s">
        <v>214</v>
      </c>
      <c r="L454" s="154">
        <v>44848.0</v>
      </c>
      <c r="M454" s="16">
        <f t="shared" si="1"/>
        <v>4</v>
      </c>
      <c r="N454" s="16">
        <v>4.500000469E9</v>
      </c>
      <c r="O454" s="17"/>
      <c r="Q454" s="152" t="s">
        <v>4257</v>
      </c>
      <c r="R454" s="17"/>
      <c r="S454" s="16" t="s">
        <v>3671</v>
      </c>
      <c r="T454" s="17"/>
      <c r="U454" s="16" t="s">
        <v>3250</v>
      </c>
      <c r="V454" s="17"/>
      <c r="W454" s="17"/>
      <c r="X454" s="17"/>
      <c r="Y454" s="16" t="s">
        <v>3250</v>
      </c>
      <c r="Z454" s="16" t="s">
        <v>3734</v>
      </c>
      <c r="AA454" s="17"/>
      <c r="AB454" s="17"/>
    </row>
    <row r="455">
      <c r="A455" s="16">
        <f t="shared" si="2"/>
        <v>454</v>
      </c>
      <c r="B455" s="16" t="s">
        <v>1299</v>
      </c>
      <c r="C455" s="16">
        <v>6.0019809E7</v>
      </c>
      <c r="D455" s="16" t="s">
        <v>1300</v>
      </c>
      <c r="E455" s="16" t="s">
        <v>3106</v>
      </c>
      <c r="F455" s="16" t="s">
        <v>10</v>
      </c>
      <c r="G455" s="16" t="s">
        <v>3787</v>
      </c>
      <c r="H455" s="16" t="s">
        <v>12</v>
      </c>
      <c r="I455" s="16" t="s">
        <v>3788</v>
      </c>
      <c r="J455" s="16" t="s">
        <v>36</v>
      </c>
      <c r="K455" s="16" t="s">
        <v>214</v>
      </c>
      <c r="L455" s="154">
        <v>44848.0</v>
      </c>
      <c r="M455" s="16">
        <f t="shared" si="1"/>
        <v>4</v>
      </c>
      <c r="N455" s="16">
        <v>4.500000469E9</v>
      </c>
      <c r="O455" s="17"/>
      <c r="Q455" s="152" t="s">
        <v>3868</v>
      </c>
      <c r="R455" s="17"/>
      <c r="S455" s="16" t="s">
        <v>3671</v>
      </c>
      <c r="T455" s="17"/>
      <c r="U455" s="16" t="s">
        <v>3250</v>
      </c>
      <c r="V455" s="17"/>
      <c r="W455" s="17"/>
      <c r="X455" s="17"/>
      <c r="Y455" s="16" t="s">
        <v>3250</v>
      </c>
      <c r="Z455" s="16" t="s">
        <v>3734</v>
      </c>
      <c r="AA455" s="17"/>
      <c r="AB455" s="17"/>
    </row>
    <row r="456">
      <c r="A456" s="16">
        <f t="shared" si="2"/>
        <v>455</v>
      </c>
      <c r="B456" s="117" t="s">
        <v>1301</v>
      </c>
      <c r="C456" s="16">
        <v>6.001981E7</v>
      </c>
      <c r="D456" s="16" t="s">
        <v>1302</v>
      </c>
      <c r="E456" s="16" t="s">
        <v>3106</v>
      </c>
      <c r="F456" s="16" t="s">
        <v>10</v>
      </c>
      <c r="G456" s="16" t="s">
        <v>3787</v>
      </c>
      <c r="H456" s="16" t="s">
        <v>12</v>
      </c>
      <c r="I456" s="16" t="s">
        <v>3788</v>
      </c>
      <c r="J456" s="16" t="s">
        <v>36</v>
      </c>
      <c r="K456" s="16" t="s">
        <v>214</v>
      </c>
      <c r="L456" s="154">
        <v>44848.0</v>
      </c>
      <c r="M456" s="16">
        <f t="shared" si="1"/>
        <v>4</v>
      </c>
      <c r="N456" s="16">
        <v>4.500000469E9</v>
      </c>
      <c r="O456" s="16" t="s">
        <v>4258</v>
      </c>
      <c r="Q456" s="152" t="s">
        <v>3871</v>
      </c>
      <c r="R456" s="115">
        <v>45572.0</v>
      </c>
      <c r="S456" s="16" t="s">
        <v>3671</v>
      </c>
      <c r="T456" s="17"/>
      <c r="U456" s="16" t="s">
        <v>3250</v>
      </c>
      <c r="V456" s="17"/>
      <c r="W456" s="17"/>
      <c r="X456" s="17"/>
      <c r="Y456" s="16" t="s">
        <v>3250</v>
      </c>
      <c r="Z456" s="16" t="s">
        <v>3734</v>
      </c>
      <c r="AA456" s="17"/>
      <c r="AB456" s="17"/>
    </row>
    <row r="457">
      <c r="A457" s="16">
        <f t="shared" si="2"/>
        <v>456</v>
      </c>
      <c r="B457" s="16" t="s">
        <v>1303</v>
      </c>
      <c r="C457" s="16">
        <v>6.0019808E7</v>
      </c>
      <c r="D457" s="16" t="s">
        <v>1304</v>
      </c>
      <c r="E457" s="16" t="s">
        <v>3106</v>
      </c>
      <c r="F457" s="16" t="s">
        <v>10</v>
      </c>
      <c r="G457" s="16" t="s">
        <v>3787</v>
      </c>
      <c r="H457" s="16" t="s">
        <v>12</v>
      </c>
      <c r="I457" s="16" t="s">
        <v>3788</v>
      </c>
      <c r="J457" s="16" t="s">
        <v>36</v>
      </c>
      <c r="K457" s="16" t="s">
        <v>214</v>
      </c>
      <c r="L457" s="154">
        <v>44848.0</v>
      </c>
      <c r="M457" s="16">
        <f t="shared" si="1"/>
        <v>4</v>
      </c>
      <c r="N457" s="16">
        <v>4.500000469E9</v>
      </c>
      <c r="O457" s="17"/>
      <c r="Q457" s="152" t="s">
        <v>3885</v>
      </c>
      <c r="R457" s="17"/>
      <c r="S457" s="16" t="s">
        <v>3671</v>
      </c>
      <c r="T457" s="17"/>
      <c r="U457" s="16" t="s">
        <v>3250</v>
      </c>
      <c r="V457" s="17"/>
      <c r="W457" s="17"/>
      <c r="X457" s="17"/>
      <c r="Y457" s="16" t="s">
        <v>3250</v>
      </c>
      <c r="Z457" s="16" t="s">
        <v>3734</v>
      </c>
      <c r="AA457" s="17"/>
      <c r="AB457" s="17"/>
    </row>
    <row r="458">
      <c r="A458" s="16">
        <f t="shared" si="2"/>
        <v>457</v>
      </c>
      <c r="B458" s="16" t="s">
        <v>1305</v>
      </c>
      <c r="C458" s="16">
        <v>6.0019769E7</v>
      </c>
      <c r="D458" s="16" t="s">
        <v>1306</v>
      </c>
      <c r="E458" s="16" t="s">
        <v>3106</v>
      </c>
      <c r="F458" s="16" t="s">
        <v>10</v>
      </c>
      <c r="G458" s="16" t="s">
        <v>3787</v>
      </c>
      <c r="H458" s="16" t="s">
        <v>12</v>
      </c>
      <c r="I458" s="16" t="s">
        <v>3788</v>
      </c>
      <c r="J458" s="16" t="s">
        <v>36</v>
      </c>
      <c r="K458" s="16" t="s">
        <v>214</v>
      </c>
      <c r="L458" s="154">
        <v>44848.0</v>
      </c>
      <c r="M458" s="16">
        <f t="shared" si="1"/>
        <v>4</v>
      </c>
      <c r="N458" s="16">
        <v>4.500000469E9</v>
      </c>
      <c r="O458" s="17"/>
      <c r="Q458" s="152" t="s">
        <v>3861</v>
      </c>
      <c r="R458" s="17"/>
      <c r="S458" s="16" t="s">
        <v>3671</v>
      </c>
      <c r="T458" s="17"/>
      <c r="U458" s="16" t="s">
        <v>4259</v>
      </c>
      <c r="V458" s="17"/>
      <c r="W458" s="17"/>
      <c r="X458" s="17"/>
      <c r="Y458" s="16" t="s">
        <v>4259</v>
      </c>
      <c r="Z458" s="17"/>
      <c r="AA458" s="17"/>
      <c r="AB458" s="17"/>
    </row>
    <row r="459">
      <c r="A459" s="16">
        <f t="shared" si="2"/>
        <v>458</v>
      </c>
      <c r="B459" s="16" t="s">
        <v>1307</v>
      </c>
      <c r="C459" s="16" t="s">
        <v>1308</v>
      </c>
      <c r="D459" s="16" t="s">
        <v>1309</v>
      </c>
      <c r="E459" s="16" t="s">
        <v>3106</v>
      </c>
      <c r="F459" s="16" t="s">
        <v>10</v>
      </c>
      <c r="G459" s="16" t="s">
        <v>3669</v>
      </c>
      <c r="H459" s="16" t="s">
        <v>12</v>
      </c>
      <c r="I459" s="17"/>
      <c r="J459" s="16" t="s">
        <v>13</v>
      </c>
      <c r="K459" s="16" t="s">
        <v>11</v>
      </c>
      <c r="L459" s="154">
        <v>44182.0</v>
      </c>
      <c r="M459" s="16">
        <f t="shared" si="1"/>
        <v>6</v>
      </c>
      <c r="N459" s="16">
        <v>5.0003664E7</v>
      </c>
      <c r="O459" s="17"/>
      <c r="Q459" s="152" t="s">
        <v>3874</v>
      </c>
      <c r="R459" s="17"/>
      <c r="S459" s="16" t="s">
        <v>3671</v>
      </c>
      <c r="T459" s="17"/>
      <c r="U459" s="16" t="s">
        <v>3193</v>
      </c>
      <c r="V459" s="17"/>
      <c r="W459" s="17"/>
      <c r="X459" s="17"/>
      <c r="Y459" s="16" t="s">
        <v>3193</v>
      </c>
      <c r="Z459" s="17"/>
      <c r="AA459" s="17"/>
      <c r="AB459" s="17"/>
    </row>
    <row r="460">
      <c r="A460" s="16">
        <f t="shared" si="2"/>
        <v>459</v>
      </c>
      <c r="B460" s="16" t="s">
        <v>1310</v>
      </c>
      <c r="C460" s="16">
        <v>6.0019766E7</v>
      </c>
      <c r="D460" s="16" t="s">
        <v>1311</v>
      </c>
      <c r="E460" s="16" t="s">
        <v>3106</v>
      </c>
      <c r="F460" s="16" t="s">
        <v>10</v>
      </c>
      <c r="G460" s="16" t="s">
        <v>3787</v>
      </c>
      <c r="H460" s="16" t="s">
        <v>12</v>
      </c>
      <c r="I460" s="16" t="s">
        <v>3788</v>
      </c>
      <c r="J460" s="16" t="s">
        <v>36</v>
      </c>
      <c r="K460" s="16" t="s">
        <v>214</v>
      </c>
      <c r="L460" s="154">
        <v>44848.0</v>
      </c>
      <c r="M460" s="16">
        <f t="shared" si="1"/>
        <v>4</v>
      </c>
      <c r="N460" s="16">
        <v>4.500000469E9</v>
      </c>
      <c r="O460" s="17"/>
      <c r="Q460" s="152" t="s">
        <v>3877</v>
      </c>
      <c r="R460" s="17"/>
      <c r="S460" s="16" t="s">
        <v>3671</v>
      </c>
      <c r="T460" s="17"/>
      <c r="U460" s="16" t="s">
        <v>4260</v>
      </c>
      <c r="V460" s="17"/>
      <c r="W460" s="17"/>
      <c r="X460" s="17"/>
      <c r="Y460" s="16" t="s">
        <v>4260</v>
      </c>
      <c r="Z460" s="17"/>
      <c r="AA460" s="17"/>
      <c r="AB460" s="17"/>
    </row>
    <row r="461">
      <c r="A461" s="16">
        <f t="shared" si="2"/>
        <v>460</v>
      </c>
      <c r="B461" s="16" t="s">
        <v>1312</v>
      </c>
      <c r="C461" s="16">
        <v>6.0019767E7</v>
      </c>
      <c r="D461" s="16" t="s">
        <v>1313</v>
      </c>
      <c r="E461" s="16" t="s">
        <v>3106</v>
      </c>
      <c r="F461" s="16" t="s">
        <v>10</v>
      </c>
      <c r="G461" s="16" t="s">
        <v>3787</v>
      </c>
      <c r="H461" s="16" t="s">
        <v>12</v>
      </c>
      <c r="I461" s="16" t="s">
        <v>3788</v>
      </c>
      <c r="J461" s="16" t="s">
        <v>36</v>
      </c>
      <c r="K461" s="16" t="s">
        <v>214</v>
      </c>
      <c r="L461" s="154">
        <v>44848.0</v>
      </c>
      <c r="M461" s="16">
        <f t="shared" si="1"/>
        <v>4</v>
      </c>
      <c r="N461" s="16">
        <v>4.500000469E9</v>
      </c>
      <c r="O461" s="17"/>
      <c r="Q461" s="152" t="s">
        <v>3880</v>
      </c>
      <c r="R461" s="17"/>
      <c r="S461" s="16" t="s">
        <v>3671</v>
      </c>
      <c r="T461" s="17"/>
      <c r="U461" s="16" t="s">
        <v>4260</v>
      </c>
      <c r="V461" s="17"/>
      <c r="W461" s="17"/>
      <c r="X461" s="17"/>
      <c r="Y461" s="16" t="s">
        <v>4260</v>
      </c>
      <c r="Z461" s="17"/>
      <c r="AA461" s="17"/>
      <c r="AB461" s="17"/>
    </row>
    <row r="462">
      <c r="A462" s="16">
        <f t="shared" si="2"/>
        <v>461</v>
      </c>
      <c r="B462" s="16" t="s">
        <v>1314</v>
      </c>
      <c r="C462" s="16" t="s">
        <v>1315</v>
      </c>
      <c r="D462" s="16" t="s">
        <v>1316</v>
      </c>
      <c r="E462" s="16" t="s">
        <v>3106</v>
      </c>
      <c r="F462" s="16" t="s">
        <v>10</v>
      </c>
      <c r="G462" s="16" t="s">
        <v>3685</v>
      </c>
      <c r="H462" s="16" t="s">
        <v>12</v>
      </c>
      <c r="I462" s="17"/>
      <c r="J462" s="16" t="s">
        <v>13</v>
      </c>
      <c r="K462" s="16" t="s">
        <v>47</v>
      </c>
      <c r="L462" s="154">
        <v>41281.0</v>
      </c>
      <c r="M462" s="16">
        <f t="shared" si="1"/>
        <v>13</v>
      </c>
      <c r="N462" s="17"/>
      <c r="O462" s="111"/>
      <c r="Q462" s="152" t="s">
        <v>4261</v>
      </c>
      <c r="R462" s="17"/>
      <c r="S462" s="16" t="s">
        <v>3671</v>
      </c>
      <c r="T462" s="17"/>
      <c r="U462" s="16" t="s">
        <v>3106</v>
      </c>
      <c r="V462" s="16" t="s">
        <v>4237</v>
      </c>
      <c r="W462" s="17"/>
      <c r="X462" s="17"/>
      <c r="Y462" s="16" t="s">
        <v>3106</v>
      </c>
      <c r="Z462" s="16" t="s">
        <v>4237</v>
      </c>
      <c r="AA462" s="17"/>
      <c r="AB462" s="16" t="s">
        <v>4262</v>
      </c>
    </row>
    <row r="463">
      <c r="A463" s="16">
        <f t="shared" si="2"/>
        <v>462</v>
      </c>
      <c r="B463" s="16" t="s">
        <v>1317</v>
      </c>
      <c r="C463" s="16" t="s">
        <v>1318</v>
      </c>
      <c r="D463" s="16" t="s">
        <v>1319</v>
      </c>
      <c r="E463" s="16" t="s">
        <v>3106</v>
      </c>
      <c r="F463" s="16" t="s">
        <v>10</v>
      </c>
      <c r="G463" s="16" t="s">
        <v>3669</v>
      </c>
      <c r="H463" s="16" t="s">
        <v>12</v>
      </c>
      <c r="I463" s="16" t="s">
        <v>3396</v>
      </c>
      <c r="J463" s="16" t="s">
        <v>13</v>
      </c>
      <c r="K463" s="16" t="s">
        <v>11</v>
      </c>
      <c r="L463" s="154">
        <v>44544.0</v>
      </c>
      <c r="M463" s="16">
        <f t="shared" si="1"/>
        <v>5</v>
      </c>
      <c r="N463" s="16">
        <v>5.000436E7</v>
      </c>
      <c r="O463" s="17"/>
      <c r="Q463" s="152" t="s">
        <v>4263</v>
      </c>
      <c r="R463" s="17"/>
      <c r="S463" s="16" t="s">
        <v>3671</v>
      </c>
      <c r="T463" s="17"/>
      <c r="U463" s="16" t="s">
        <v>3106</v>
      </c>
      <c r="V463" s="16" t="s">
        <v>4237</v>
      </c>
      <c r="W463" s="17"/>
      <c r="X463" s="17"/>
      <c r="Y463" s="16" t="s">
        <v>3106</v>
      </c>
      <c r="Z463" s="16" t="s">
        <v>4237</v>
      </c>
      <c r="AA463" s="17"/>
      <c r="AB463" s="16" t="s">
        <v>4264</v>
      </c>
    </row>
    <row r="464">
      <c r="A464" s="16">
        <f t="shared" si="2"/>
        <v>463</v>
      </c>
      <c r="B464" s="16" t="s">
        <v>1320</v>
      </c>
      <c r="C464" s="16" t="s">
        <v>1320</v>
      </c>
      <c r="D464" s="16" t="s">
        <v>1321</v>
      </c>
      <c r="E464" s="16" t="s">
        <v>3106</v>
      </c>
      <c r="F464" s="16" t="s">
        <v>10</v>
      </c>
      <c r="G464" s="16" t="s">
        <v>3669</v>
      </c>
      <c r="H464" s="16" t="s">
        <v>12</v>
      </c>
      <c r="I464" s="16" t="s">
        <v>3396</v>
      </c>
      <c r="J464" s="16" t="s">
        <v>13</v>
      </c>
      <c r="K464" s="16" t="s">
        <v>11</v>
      </c>
      <c r="L464" s="154">
        <v>44544.0</v>
      </c>
      <c r="M464" s="16">
        <f t="shared" si="1"/>
        <v>5</v>
      </c>
      <c r="N464" s="16">
        <v>5.000436E7</v>
      </c>
      <c r="O464" s="17"/>
      <c r="Q464" s="152" t="s">
        <v>4265</v>
      </c>
      <c r="R464" s="17"/>
      <c r="S464" s="16" t="s">
        <v>3671</v>
      </c>
      <c r="T464" s="17"/>
      <c r="U464" s="16" t="s">
        <v>3106</v>
      </c>
      <c r="V464" s="16" t="s">
        <v>4237</v>
      </c>
      <c r="W464" s="17"/>
      <c r="X464" s="17"/>
      <c r="Y464" s="16" t="s">
        <v>3106</v>
      </c>
      <c r="Z464" s="16" t="s">
        <v>4237</v>
      </c>
      <c r="AA464" s="17"/>
      <c r="AB464" s="16" t="s">
        <v>4266</v>
      </c>
    </row>
    <row r="465">
      <c r="A465" s="16">
        <f t="shared" si="2"/>
        <v>464</v>
      </c>
      <c r="B465" s="16" t="s">
        <v>1322</v>
      </c>
      <c r="C465" s="16">
        <v>6.0019695E7</v>
      </c>
      <c r="D465" s="16" t="s">
        <v>1323</v>
      </c>
      <c r="E465" s="16" t="s">
        <v>3106</v>
      </c>
      <c r="F465" s="16" t="s">
        <v>10</v>
      </c>
      <c r="G465" s="16" t="s">
        <v>3787</v>
      </c>
      <c r="H465" s="16" t="s">
        <v>12</v>
      </c>
      <c r="I465" s="16" t="s">
        <v>3788</v>
      </c>
      <c r="J465" s="16" t="s">
        <v>36</v>
      </c>
      <c r="K465" s="16" t="s">
        <v>214</v>
      </c>
      <c r="L465" s="154">
        <v>44848.0</v>
      </c>
      <c r="M465" s="16">
        <f t="shared" si="1"/>
        <v>4</v>
      </c>
      <c r="N465" s="16">
        <v>4.500000469E9</v>
      </c>
      <c r="O465" s="17"/>
      <c r="Q465" s="152" t="s">
        <v>4267</v>
      </c>
      <c r="R465" s="17"/>
      <c r="S465" s="16" t="s">
        <v>3671</v>
      </c>
      <c r="T465" s="17"/>
      <c r="U465" s="16" t="s">
        <v>4018</v>
      </c>
      <c r="V465" s="17"/>
      <c r="W465" s="17"/>
      <c r="X465" s="17"/>
      <c r="Y465" s="16" t="s">
        <v>3106</v>
      </c>
      <c r="Z465" s="17"/>
      <c r="AA465" s="17"/>
      <c r="AB465" s="16" t="s">
        <v>2557</v>
      </c>
    </row>
    <row r="466">
      <c r="A466" s="16">
        <f t="shared" si="2"/>
        <v>465</v>
      </c>
      <c r="B466" s="16" t="s">
        <v>1324</v>
      </c>
      <c r="C466" s="16">
        <v>6.0019696E7</v>
      </c>
      <c r="D466" s="16" t="s">
        <v>1325</v>
      </c>
      <c r="E466" s="16" t="s">
        <v>3106</v>
      </c>
      <c r="F466" s="16" t="s">
        <v>10</v>
      </c>
      <c r="G466" s="16" t="s">
        <v>3787</v>
      </c>
      <c r="H466" s="16" t="s">
        <v>12</v>
      </c>
      <c r="I466" s="16" t="s">
        <v>3788</v>
      </c>
      <c r="J466" s="16" t="s">
        <v>36</v>
      </c>
      <c r="K466" s="16" t="s">
        <v>214</v>
      </c>
      <c r="L466" s="154">
        <v>44848.0</v>
      </c>
      <c r="M466" s="16">
        <f t="shared" si="1"/>
        <v>4</v>
      </c>
      <c r="N466" s="16">
        <v>4.500000469E9</v>
      </c>
      <c r="O466" s="17"/>
      <c r="Q466" s="152" t="s">
        <v>4268</v>
      </c>
      <c r="R466" s="17"/>
      <c r="S466" s="16" t="s">
        <v>3671</v>
      </c>
      <c r="T466" s="17"/>
      <c r="U466" s="16" t="s">
        <v>4018</v>
      </c>
      <c r="V466" s="17"/>
      <c r="W466" s="17"/>
      <c r="X466" s="17"/>
      <c r="Y466" s="16" t="s">
        <v>4018</v>
      </c>
      <c r="Z466" s="17"/>
      <c r="AA466" s="17"/>
      <c r="AB466" s="16" t="s">
        <v>4269</v>
      </c>
    </row>
    <row r="467">
      <c r="A467" s="16">
        <f t="shared" si="2"/>
        <v>466</v>
      </c>
      <c r="B467" s="16" t="s">
        <v>1326</v>
      </c>
      <c r="C467" s="16">
        <v>6.0019709E7</v>
      </c>
      <c r="D467" s="16" t="s">
        <v>1327</v>
      </c>
      <c r="E467" s="16" t="s">
        <v>3106</v>
      </c>
      <c r="F467" s="16" t="s">
        <v>10</v>
      </c>
      <c r="G467" s="16" t="s">
        <v>3787</v>
      </c>
      <c r="H467" s="16" t="s">
        <v>12</v>
      </c>
      <c r="I467" s="16" t="s">
        <v>3788</v>
      </c>
      <c r="J467" s="16" t="s">
        <v>36</v>
      </c>
      <c r="K467" s="16" t="s">
        <v>214</v>
      </c>
      <c r="L467" s="154">
        <v>44848.0</v>
      </c>
      <c r="M467" s="16">
        <f t="shared" si="1"/>
        <v>4</v>
      </c>
      <c r="N467" s="16">
        <v>4.500000469E9</v>
      </c>
      <c r="O467" s="16" t="s">
        <v>3542</v>
      </c>
      <c r="Q467" s="152" t="s">
        <v>4270</v>
      </c>
      <c r="R467" s="115">
        <v>45179.0</v>
      </c>
      <c r="S467" s="16" t="s">
        <v>3671</v>
      </c>
      <c r="T467" s="17"/>
      <c r="U467" s="16" t="s">
        <v>4260</v>
      </c>
      <c r="V467" s="17"/>
      <c r="W467" s="17"/>
      <c r="X467" s="17"/>
      <c r="Y467" s="16" t="s">
        <v>4260</v>
      </c>
      <c r="Z467" s="17"/>
      <c r="AA467" s="17"/>
      <c r="AB467" s="17"/>
    </row>
    <row r="468">
      <c r="A468" s="16">
        <f t="shared" si="2"/>
        <v>467</v>
      </c>
      <c r="B468" s="16" t="s">
        <v>1328</v>
      </c>
      <c r="C468" s="16">
        <v>6.001971E7</v>
      </c>
      <c r="D468" s="16" t="s">
        <v>1329</v>
      </c>
      <c r="E468" s="16" t="s">
        <v>3106</v>
      </c>
      <c r="F468" s="16" t="s">
        <v>10</v>
      </c>
      <c r="G468" s="16" t="s">
        <v>3787</v>
      </c>
      <c r="H468" s="16" t="s">
        <v>12</v>
      </c>
      <c r="I468" s="16" t="s">
        <v>3788</v>
      </c>
      <c r="J468" s="16" t="s">
        <v>36</v>
      </c>
      <c r="K468" s="16" t="s">
        <v>214</v>
      </c>
      <c r="L468" s="154">
        <v>44848.0</v>
      </c>
      <c r="M468" s="16">
        <f t="shared" si="1"/>
        <v>4</v>
      </c>
      <c r="N468" s="16">
        <v>4.500000469E9</v>
      </c>
      <c r="O468" s="16" t="s">
        <v>3542</v>
      </c>
      <c r="Q468" s="152" t="s">
        <v>4271</v>
      </c>
      <c r="R468" s="115">
        <v>45179.0</v>
      </c>
      <c r="S468" s="16" t="s">
        <v>3671</v>
      </c>
      <c r="T468" s="17"/>
      <c r="U468" s="16" t="s">
        <v>4260</v>
      </c>
      <c r="V468" s="17"/>
      <c r="W468" s="17"/>
      <c r="X468" s="17"/>
      <c r="Y468" s="16" t="s">
        <v>4260</v>
      </c>
      <c r="Z468" s="17"/>
      <c r="AA468" s="17"/>
      <c r="AB468" s="17"/>
    </row>
    <row r="469">
      <c r="A469" s="16">
        <f t="shared" si="2"/>
        <v>468</v>
      </c>
      <c r="B469" s="16" t="s">
        <v>1330</v>
      </c>
      <c r="C469" s="16">
        <v>6.0019711E7</v>
      </c>
      <c r="D469" s="16" t="s">
        <v>1331</v>
      </c>
      <c r="E469" s="16" t="s">
        <v>3106</v>
      </c>
      <c r="F469" s="16" t="s">
        <v>10</v>
      </c>
      <c r="G469" s="16" t="s">
        <v>3787</v>
      </c>
      <c r="H469" s="16" t="s">
        <v>12</v>
      </c>
      <c r="I469" s="16" t="s">
        <v>3788</v>
      </c>
      <c r="J469" s="16" t="s">
        <v>36</v>
      </c>
      <c r="K469" s="16" t="s">
        <v>214</v>
      </c>
      <c r="L469" s="154">
        <v>44848.0</v>
      </c>
      <c r="M469" s="16">
        <f t="shared" si="1"/>
        <v>4</v>
      </c>
      <c r="N469" s="16">
        <v>4.500000469E9</v>
      </c>
      <c r="O469" s="16" t="s">
        <v>3542</v>
      </c>
      <c r="Q469" s="152" t="s">
        <v>3850</v>
      </c>
      <c r="R469" s="115">
        <v>45179.0</v>
      </c>
      <c r="S469" s="16" t="s">
        <v>3671</v>
      </c>
      <c r="T469" s="17"/>
      <c r="U469" s="16" t="s">
        <v>4260</v>
      </c>
      <c r="V469" s="17"/>
      <c r="W469" s="17"/>
      <c r="X469" s="17"/>
      <c r="Y469" s="16" t="s">
        <v>4260</v>
      </c>
      <c r="Z469" s="17"/>
      <c r="AA469" s="17"/>
      <c r="AB469" s="17"/>
    </row>
    <row r="470">
      <c r="A470" s="16">
        <f t="shared" si="2"/>
        <v>469</v>
      </c>
      <c r="B470" s="16" t="s">
        <v>1332</v>
      </c>
      <c r="C470" s="16">
        <v>6.0019712E7</v>
      </c>
      <c r="D470" s="16" t="s">
        <v>1333</v>
      </c>
      <c r="E470" s="16" t="s">
        <v>3106</v>
      </c>
      <c r="F470" s="16" t="s">
        <v>10</v>
      </c>
      <c r="G470" s="16" t="s">
        <v>3787</v>
      </c>
      <c r="H470" s="16" t="s">
        <v>12</v>
      </c>
      <c r="I470" s="16" t="s">
        <v>3788</v>
      </c>
      <c r="J470" s="16" t="s">
        <v>36</v>
      </c>
      <c r="K470" s="16" t="s">
        <v>214</v>
      </c>
      <c r="L470" s="154">
        <v>44848.0</v>
      </c>
      <c r="M470" s="16">
        <f t="shared" si="1"/>
        <v>4</v>
      </c>
      <c r="N470" s="16">
        <v>4.500000469E9</v>
      </c>
      <c r="O470" s="16" t="s">
        <v>3542</v>
      </c>
      <c r="Q470" s="152" t="s">
        <v>3848</v>
      </c>
      <c r="R470" s="115">
        <v>45179.0</v>
      </c>
      <c r="S470" s="16" t="s">
        <v>3671</v>
      </c>
      <c r="T470" s="17"/>
      <c r="U470" s="16" t="s">
        <v>4260</v>
      </c>
      <c r="V470" s="17"/>
      <c r="W470" s="17"/>
      <c r="X470" s="17"/>
      <c r="Y470" s="16" t="s">
        <v>4260</v>
      </c>
      <c r="Z470" s="17"/>
      <c r="AA470" s="17"/>
      <c r="AB470" s="17"/>
    </row>
    <row r="471">
      <c r="A471" s="16">
        <f t="shared" si="2"/>
        <v>470</v>
      </c>
      <c r="B471" s="16" t="s">
        <v>1334</v>
      </c>
      <c r="C471" s="16">
        <v>6.0019713E7</v>
      </c>
      <c r="D471" s="16" t="s">
        <v>1335</v>
      </c>
      <c r="E471" s="16" t="s">
        <v>3106</v>
      </c>
      <c r="F471" s="16" t="s">
        <v>10</v>
      </c>
      <c r="G471" s="16" t="s">
        <v>3787</v>
      </c>
      <c r="H471" s="16" t="s">
        <v>12</v>
      </c>
      <c r="I471" s="16" t="s">
        <v>3788</v>
      </c>
      <c r="J471" s="16" t="s">
        <v>36</v>
      </c>
      <c r="K471" s="16" t="s">
        <v>214</v>
      </c>
      <c r="L471" s="154">
        <v>44848.0</v>
      </c>
      <c r="M471" s="16">
        <f t="shared" si="1"/>
        <v>4</v>
      </c>
      <c r="N471" s="16">
        <v>4.500000469E9</v>
      </c>
      <c r="O471" s="16" t="s">
        <v>4272</v>
      </c>
      <c r="Q471" s="152" t="s">
        <v>4273</v>
      </c>
      <c r="R471" s="123">
        <v>45977.0</v>
      </c>
      <c r="S471" s="16" t="s">
        <v>3671</v>
      </c>
      <c r="T471" s="17"/>
      <c r="U471" s="16" t="s">
        <v>3165</v>
      </c>
      <c r="V471" s="16" t="s">
        <v>3681</v>
      </c>
      <c r="W471" s="17"/>
      <c r="X471" s="17"/>
      <c r="Y471" s="16" t="s">
        <v>3165</v>
      </c>
      <c r="Z471" s="16" t="s">
        <v>3681</v>
      </c>
      <c r="AA471" s="17"/>
      <c r="AB471" s="16" t="s">
        <v>4216</v>
      </c>
    </row>
    <row r="472">
      <c r="A472" s="16">
        <f t="shared" si="2"/>
        <v>471</v>
      </c>
      <c r="B472" s="16" t="s">
        <v>1336</v>
      </c>
      <c r="C472" s="16">
        <v>6.0019714E7</v>
      </c>
      <c r="D472" s="16" t="s">
        <v>1337</v>
      </c>
      <c r="E472" s="16" t="s">
        <v>3106</v>
      </c>
      <c r="F472" s="16" t="s">
        <v>10</v>
      </c>
      <c r="G472" s="16" t="s">
        <v>3787</v>
      </c>
      <c r="H472" s="16" t="s">
        <v>12</v>
      </c>
      <c r="I472" s="16" t="s">
        <v>3788</v>
      </c>
      <c r="J472" s="16" t="s">
        <v>36</v>
      </c>
      <c r="K472" s="16" t="s">
        <v>214</v>
      </c>
      <c r="L472" s="154">
        <v>44848.0</v>
      </c>
      <c r="M472" s="16">
        <f t="shared" si="1"/>
        <v>4</v>
      </c>
      <c r="N472" s="16">
        <v>4.500000469E9</v>
      </c>
      <c r="O472" s="17"/>
      <c r="Q472" s="152" t="s">
        <v>4274</v>
      </c>
      <c r="R472" s="17"/>
      <c r="S472" s="16" t="s">
        <v>3671</v>
      </c>
      <c r="T472" s="17"/>
      <c r="U472" s="16" t="s">
        <v>3165</v>
      </c>
      <c r="V472" s="16" t="s">
        <v>3681</v>
      </c>
      <c r="W472" s="17"/>
      <c r="X472" s="17"/>
      <c r="Y472" s="16" t="s">
        <v>3165</v>
      </c>
      <c r="Z472" s="16" t="s">
        <v>3681</v>
      </c>
      <c r="AA472" s="17"/>
      <c r="AB472" s="17"/>
    </row>
    <row r="473">
      <c r="A473" s="16">
        <f t="shared" si="2"/>
        <v>472</v>
      </c>
      <c r="B473" s="16" t="s">
        <v>1338</v>
      </c>
      <c r="C473" s="16">
        <v>6.0019715E7</v>
      </c>
      <c r="D473" s="16" t="s">
        <v>1339</v>
      </c>
      <c r="E473" s="16" t="s">
        <v>3106</v>
      </c>
      <c r="F473" s="16" t="s">
        <v>10</v>
      </c>
      <c r="G473" s="16" t="s">
        <v>3787</v>
      </c>
      <c r="H473" s="16" t="s">
        <v>12</v>
      </c>
      <c r="I473" s="16" t="s">
        <v>3788</v>
      </c>
      <c r="J473" s="16" t="s">
        <v>36</v>
      </c>
      <c r="K473" s="16" t="s">
        <v>214</v>
      </c>
      <c r="L473" s="154">
        <v>44848.0</v>
      </c>
      <c r="M473" s="16">
        <f t="shared" si="1"/>
        <v>4</v>
      </c>
      <c r="N473" s="16">
        <v>4.500000469E9</v>
      </c>
      <c r="O473" s="16" t="s">
        <v>3606</v>
      </c>
      <c r="Q473" s="152" t="s">
        <v>4275</v>
      </c>
      <c r="R473" s="123">
        <v>45977.0</v>
      </c>
      <c r="S473" s="16" t="s">
        <v>3671</v>
      </c>
      <c r="T473" s="17"/>
      <c r="U473" s="16" t="s">
        <v>3165</v>
      </c>
      <c r="V473" s="16" t="s">
        <v>3681</v>
      </c>
      <c r="W473" s="17"/>
      <c r="X473" s="17"/>
      <c r="Y473" s="16" t="s">
        <v>3165</v>
      </c>
      <c r="Z473" s="16" t="s">
        <v>3681</v>
      </c>
      <c r="AA473" s="17"/>
      <c r="AB473" s="16" t="s">
        <v>4216</v>
      </c>
    </row>
    <row r="474">
      <c r="A474" s="16">
        <f t="shared" si="2"/>
        <v>473</v>
      </c>
      <c r="B474" s="16" t="s">
        <v>1340</v>
      </c>
      <c r="C474" s="16">
        <v>6.0019716E7</v>
      </c>
      <c r="D474" s="16" t="s">
        <v>1341</v>
      </c>
      <c r="E474" s="16" t="s">
        <v>3106</v>
      </c>
      <c r="F474" s="16" t="s">
        <v>10</v>
      </c>
      <c r="G474" s="16" t="s">
        <v>3787</v>
      </c>
      <c r="H474" s="16" t="s">
        <v>12</v>
      </c>
      <c r="I474" s="16" t="s">
        <v>3788</v>
      </c>
      <c r="J474" s="16" t="s">
        <v>36</v>
      </c>
      <c r="K474" s="16" t="s">
        <v>214</v>
      </c>
      <c r="L474" s="154">
        <v>44848.0</v>
      </c>
      <c r="M474" s="16">
        <f t="shared" si="1"/>
        <v>4</v>
      </c>
      <c r="N474" s="16">
        <v>4.500000469E9</v>
      </c>
      <c r="O474" s="17"/>
      <c r="Q474" s="152" t="s">
        <v>4276</v>
      </c>
      <c r="R474" s="17"/>
      <c r="S474" s="16" t="s">
        <v>3671</v>
      </c>
      <c r="T474" s="17"/>
      <c r="U474" s="16" t="s">
        <v>3165</v>
      </c>
      <c r="V474" s="16" t="s">
        <v>3681</v>
      </c>
      <c r="W474" s="17"/>
      <c r="X474" s="17"/>
      <c r="Y474" s="16" t="s">
        <v>3165</v>
      </c>
      <c r="Z474" s="16" t="s">
        <v>3681</v>
      </c>
      <c r="AA474" s="17"/>
      <c r="AB474" s="17"/>
    </row>
    <row r="475">
      <c r="A475" s="16">
        <f t="shared" si="2"/>
        <v>474</v>
      </c>
      <c r="B475" s="16" t="s">
        <v>1342</v>
      </c>
      <c r="C475" s="16">
        <v>6.0019717E7</v>
      </c>
      <c r="D475" s="16" t="s">
        <v>1343</v>
      </c>
      <c r="E475" s="16" t="s">
        <v>3106</v>
      </c>
      <c r="F475" s="16" t="s">
        <v>10</v>
      </c>
      <c r="G475" s="16" t="s">
        <v>3787</v>
      </c>
      <c r="H475" s="16" t="s">
        <v>12</v>
      </c>
      <c r="I475" s="16" t="s">
        <v>3788</v>
      </c>
      <c r="J475" s="16" t="s">
        <v>36</v>
      </c>
      <c r="K475" s="16" t="s">
        <v>214</v>
      </c>
      <c r="L475" s="154">
        <v>44848.0</v>
      </c>
      <c r="M475" s="16">
        <f t="shared" si="1"/>
        <v>4</v>
      </c>
      <c r="N475" s="16">
        <v>4.500000469E9</v>
      </c>
      <c r="O475" s="17"/>
      <c r="Q475" s="152" t="s">
        <v>4277</v>
      </c>
      <c r="R475" s="17"/>
      <c r="S475" s="16" t="s">
        <v>3671</v>
      </c>
      <c r="T475" s="17"/>
      <c r="U475" s="16" t="s">
        <v>3165</v>
      </c>
      <c r="V475" s="16" t="s">
        <v>3681</v>
      </c>
      <c r="W475" s="17"/>
      <c r="X475" s="17"/>
      <c r="Y475" s="16" t="s">
        <v>3165</v>
      </c>
      <c r="Z475" s="16" t="s">
        <v>3681</v>
      </c>
      <c r="AA475" s="17"/>
      <c r="AB475" s="17"/>
    </row>
    <row r="476">
      <c r="A476" s="16">
        <f t="shared" si="2"/>
        <v>475</v>
      </c>
      <c r="B476" s="16" t="s">
        <v>1344</v>
      </c>
      <c r="C476" s="16">
        <v>6.0019718E7</v>
      </c>
      <c r="D476" s="16" t="s">
        <v>1345</v>
      </c>
      <c r="E476" s="16" t="s">
        <v>3106</v>
      </c>
      <c r="F476" s="16" t="s">
        <v>10</v>
      </c>
      <c r="G476" s="16" t="s">
        <v>3787</v>
      </c>
      <c r="H476" s="16" t="s">
        <v>12</v>
      </c>
      <c r="I476" s="16" t="s">
        <v>3788</v>
      </c>
      <c r="J476" s="16" t="s">
        <v>36</v>
      </c>
      <c r="K476" s="16" t="s">
        <v>214</v>
      </c>
      <c r="L476" s="154">
        <v>44848.0</v>
      </c>
      <c r="M476" s="16">
        <f t="shared" si="1"/>
        <v>4</v>
      </c>
      <c r="N476" s="16">
        <v>4.500000469E9</v>
      </c>
      <c r="O476" s="17"/>
      <c r="Q476" s="152" t="s">
        <v>4278</v>
      </c>
      <c r="R476" s="17"/>
      <c r="S476" s="16" t="s">
        <v>3671</v>
      </c>
      <c r="T476" s="17"/>
      <c r="U476" s="16" t="s">
        <v>3165</v>
      </c>
      <c r="V476" s="16" t="s">
        <v>3681</v>
      </c>
      <c r="W476" s="17"/>
      <c r="X476" s="17"/>
      <c r="Y476" s="16" t="s">
        <v>3165</v>
      </c>
      <c r="Z476" s="16" t="s">
        <v>3681</v>
      </c>
      <c r="AA476" s="17"/>
      <c r="AB476" s="17"/>
    </row>
    <row r="477">
      <c r="A477" s="16">
        <f t="shared" si="2"/>
        <v>476</v>
      </c>
      <c r="B477" s="16" t="s">
        <v>1346</v>
      </c>
      <c r="C477" s="16">
        <v>6.0019719E7</v>
      </c>
      <c r="D477" s="16" t="s">
        <v>1347</v>
      </c>
      <c r="E477" s="16" t="s">
        <v>3106</v>
      </c>
      <c r="F477" s="16" t="s">
        <v>10</v>
      </c>
      <c r="G477" s="16" t="s">
        <v>3787</v>
      </c>
      <c r="H477" s="16" t="s">
        <v>12</v>
      </c>
      <c r="I477" s="16" t="s">
        <v>3788</v>
      </c>
      <c r="J477" s="16" t="s">
        <v>36</v>
      </c>
      <c r="K477" s="16" t="s">
        <v>214</v>
      </c>
      <c r="L477" s="154">
        <v>44848.0</v>
      </c>
      <c r="M477" s="16">
        <f t="shared" si="1"/>
        <v>4</v>
      </c>
      <c r="N477" s="16">
        <v>4.500000469E9</v>
      </c>
      <c r="O477" s="17"/>
      <c r="Q477" s="152" t="s">
        <v>4279</v>
      </c>
      <c r="R477" s="17"/>
      <c r="S477" s="16" t="s">
        <v>3671</v>
      </c>
      <c r="T477" s="17"/>
      <c r="U477" s="16" t="s">
        <v>3165</v>
      </c>
      <c r="V477" s="16" t="s">
        <v>3681</v>
      </c>
      <c r="W477" s="17"/>
      <c r="X477" s="17"/>
      <c r="Y477" s="16" t="s">
        <v>3165</v>
      </c>
      <c r="Z477" s="16" t="s">
        <v>3681</v>
      </c>
      <c r="AA477" s="17"/>
      <c r="AB477" s="17"/>
    </row>
    <row r="478">
      <c r="A478" s="16">
        <f t="shared" si="2"/>
        <v>477</v>
      </c>
      <c r="B478" s="16" t="s">
        <v>1348</v>
      </c>
      <c r="C478" s="16">
        <v>6.001972E7</v>
      </c>
      <c r="D478" s="16" t="s">
        <v>1349</v>
      </c>
      <c r="E478" s="16" t="s">
        <v>3106</v>
      </c>
      <c r="F478" s="16" t="s">
        <v>10</v>
      </c>
      <c r="G478" s="16" t="s">
        <v>3787</v>
      </c>
      <c r="H478" s="16" t="s">
        <v>12</v>
      </c>
      <c r="I478" s="16" t="s">
        <v>3788</v>
      </c>
      <c r="J478" s="16" t="s">
        <v>36</v>
      </c>
      <c r="K478" s="16" t="s">
        <v>214</v>
      </c>
      <c r="L478" s="154">
        <v>44848.0</v>
      </c>
      <c r="M478" s="16">
        <f t="shared" si="1"/>
        <v>4</v>
      </c>
      <c r="N478" s="16">
        <v>4.500000469E9</v>
      </c>
      <c r="O478" s="17"/>
      <c r="Q478" s="152" t="s">
        <v>4280</v>
      </c>
      <c r="R478" s="17"/>
      <c r="S478" s="16" t="s">
        <v>3671</v>
      </c>
      <c r="T478" s="17"/>
      <c r="U478" s="16" t="s">
        <v>3165</v>
      </c>
      <c r="V478" s="16" t="s">
        <v>3681</v>
      </c>
      <c r="W478" s="17"/>
      <c r="X478" s="17"/>
      <c r="Y478" s="16" t="s">
        <v>3165</v>
      </c>
      <c r="Z478" s="16" t="s">
        <v>3681</v>
      </c>
      <c r="AA478" s="17"/>
      <c r="AB478" s="17"/>
    </row>
    <row r="479">
      <c r="A479" s="16">
        <f t="shared" si="2"/>
        <v>478</v>
      </c>
      <c r="B479" s="16" t="s">
        <v>1350</v>
      </c>
      <c r="C479" s="16">
        <v>6.0019721E7</v>
      </c>
      <c r="D479" s="16" t="s">
        <v>1351</v>
      </c>
      <c r="E479" s="16" t="s">
        <v>3106</v>
      </c>
      <c r="F479" s="16" t="s">
        <v>10</v>
      </c>
      <c r="G479" s="16" t="s">
        <v>3787</v>
      </c>
      <c r="H479" s="16" t="s">
        <v>12</v>
      </c>
      <c r="I479" s="16" t="s">
        <v>3788</v>
      </c>
      <c r="J479" s="16" t="s">
        <v>36</v>
      </c>
      <c r="K479" s="16" t="s">
        <v>214</v>
      </c>
      <c r="L479" s="154">
        <v>44848.0</v>
      </c>
      <c r="M479" s="16">
        <f t="shared" si="1"/>
        <v>4</v>
      </c>
      <c r="N479" s="16">
        <v>4.500000469E9</v>
      </c>
      <c r="O479" s="17"/>
      <c r="Q479" s="152" t="s">
        <v>4281</v>
      </c>
      <c r="R479" s="17"/>
      <c r="S479" s="16" t="s">
        <v>3671</v>
      </c>
      <c r="T479" s="17"/>
      <c r="U479" s="16" t="s">
        <v>3165</v>
      </c>
      <c r="V479" s="16" t="s">
        <v>3681</v>
      </c>
      <c r="W479" s="17"/>
      <c r="X479" s="17"/>
      <c r="Y479" s="16" t="s">
        <v>3165</v>
      </c>
      <c r="Z479" s="16" t="s">
        <v>3681</v>
      </c>
      <c r="AA479" s="17"/>
      <c r="AB479" s="17"/>
    </row>
    <row r="480">
      <c r="A480" s="16">
        <f t="shared" si="2"/>
        <v>479</v>
      </c>
      <c r="B480" s="16" t="s">
        <v>1352</v>
      </c>
      <c r="C480" s="16">
        <v>6.0019722E7</v>
      </c>
      <c r="D480" s="16" t="s">
        <v>1353</v>
      </c>
      <c r="E480" s="16" t="s">
        <v>3106</v>
      </c>
      <c r="F480" s="16" t="s">
        <v>10</v>
      </c>
      <c r="G480" s="16" t="s">
        <v>3787</v>
      </c>
      <c r="H480" s="16" t="s">
        <v>12</v>
      </c>
      <c r="I480" s="16" t="s">
        <v>3788</v>
      </c>
      <c r="J480" s="16" t="s">
        <v>36</v>
      </c>
      <c r="K480" s="16" t="s">
        <v>214</v>
      </c>
      <c r="L480" s="154">
        <v>44848.0</v>
      </c>
      <c r="M480" s="16">
        <f t="shared" si="1"/>
        <v>4</v>
      </c>
      <c r="N480" s="16">
        <v>4.500000469E9</v>
      </c>
      <c r="O480" s="17"/>
      <c r="Q480" s="152" t="s">
        <v>4282</v>
      </c>
      <c r="R480" s="17"/>
      <c r="S480" s="16" t="s">
        <v>3671</v>
      </c>
      <c r="T480" s="17"/>
      <c r="U480" s="16" t="s">
        <v>3165</v>
      </c>
      <c r="V480" s="16" t="s">
        <v>3681</v>
      </c>
      <c r="W480" s="17"/>
      <c r="X480" s="17"/>
      <c r="Y480" s="16" t="s">
        <v>3165</v>
      </c>
      <c r="Z480" s="16" t="s">
        <v>3681</v>
      </c>
      <c r="AA480" s="17"/>
      <c r="AB480" s="17"/>
    </row>
    <row r="481">
      <c r="A481" s="16">
        <f t="shared" si="2"/>
        <v>480</v>
      </c>
      <c r="B481" s="16" t="s">
        <v>1354</v>
      </c>
      <c r="C481" s="16">
        <v>6.0019723E7</v>
      </c>
      <c r="D481" s="16" t="s">
        <v>1355</v>
      </c>
      <c r="E481" s="16" t="s">
        <v>3106</v>
      </c>
      <c r="F481" s="16" t="s">
        <v>10</v>
      </c>
      <c r="G481" s="16" t="s">
        <v>3787</v>
      </c>
      <c r="H481" s="16" t="s">
        <v>12</v>
      </c>
      <c r="I481" s="16" t="s">
        <v>3788</v>
      </c>
      <c r="J481" s="16" t="s">
        <v>36</v>
      </c>
      <c r="K481" s="16" t="s">
        <v>214</v>
      </c>
      <c r="L481" s="154">
        <v>44848.0</v>
      </c>
      <c r="M481" s="16">
        <f t="shared" si="1"/>
        <v>4</v>
      </c>
      <c r="N481" s="16">
        <v>4.500000469E9</v>
      </c>
      <c r="O481" s="17"/>
      <c r="Q481" s="152" t="s">
        <v>4283</v>
      </c>
      <c r="R481" s="17"/>
      <c r="S481" s="16" t="s">
        <v>3671</v>
      </c>
      <c r="T481" s="17"/>
      <c r="U481" s="16" t="s">
        <v>3165</v>
      </c>
      <c r="V481" s="16" t="s">
        <v>3681</v>
      </c>
      <c r="W481" s="17"/>
      <c r="X481" s="17"/>
      <c r="Y481" s="16" t="s">
        <v>3165</v>
      </c>
      <c r="Z481" s="16" t="s">
        <v>3681</v>
      </c>
      <c r="AA481" s="17"/>
      <c r="AB481" s="17"/>
    </row>
    <row r="482">
      <c r="A482" s="16">
        <f t="shared" si="2"/>
        <v>481</v>
      </c>
      <c r="B482" s="16" t="s">
        <v>1356</v>
      </c>
      <c r="C482" s="16">
        <v>6.0019724E7</v>
      </c>
      <c r="D482" s="16" t="s">
        <v>1357</v>
      </c>
      <c r="E482" s="16" t="s">
        <v>3106</v>
      </c>
      <c r="F482" s="16" t="s">
        <v>10</v>
      </c>
      <c r="G482" s="16" t="s">
        <v>3787</v>
      </c>
      <c r="H482" s="16" t="s">
        <v>12</v>
      </c>
      <c r="I482" s="16" t="s">
        <v>3788</v>
      </c>
      <c r="J482" s="16" t="s">
        <v>36</v>
      </c>
      <c r="K482" s="16" t="s">
        <v>214</v>
      </c>
      <c r="L482" s="154">
        <v>44848.0</v>
      </c>
      <c r="M482" s="16">
        <f t="shared" si="1"/>
        <v>4</v>
      </c>
      <c r="N482" s="16">
        <v>4.500000469E9</v>
      </c>
      <c r="O482" s="17"/>
      <c r="Q482" s="152" t="s">
        <v>4284</v>
      </c>
      <c r="R482" s="17"/>
      <c r="S482" s="16" t="s">
        <v>3671</v>
      </c>
      <c r="T482" s="17"/>
      <c r="U482" s="16" t="s">
        <v>3165</v>
      </c>
      <c r="V482" s="16" t="s">
        <v>3681</v>
      </c>
      <c r="W482" s="17"/>
      <c r="X482" s="17"/>
      <c r="Y482" s="16" t="s">
        <v>3165</v>
      </c>
      <c r="Z482" s="16" t="s">
        <v>3681</v>
      </c>
      <c r="AA482" s="17"/>
      <c r="AB482" s="17"/>
    </row>
    <row r="483">
      <c r="A483" s="16">
        <f t="shared" si="2"/>
        <v>482</v>
      </c>
      <c r="B483" s="16" t="s">
        <v>1358</v>
      </c>
      <c r="C483" s="16">
        <v>6.0019725E7</v>
      </c>
      <c r="D483" s="16" t="s">
        <v>1359</v>
      </c>
      <c r="E483" s="16" t="s">
        <v>3106</v>
      </c>
      <c r="F483" s="16" t="s">
        <v>10</v>
      </c>
      <c r="G483" s="16" t="s">
        <v>3787</v>
      </c>
      <c r="H483" s="16" t="s">
        <v>12</v>
      </c>
      <c r="I483" s="16" t="s">
        <v>3788</v>
      </c>
      <c r="J483" s="16" t="s">
        <v>36</v>
      </c>
      <c r="K483" s="16" t="s">
        <v>214</v>
      </c>
      <c r="L483" s="154">
        <v>44848.0</v>
      </c>
      <c r="M483" s="16">
        <f t="shared" si="1"/>
        <v>4</v>
      </c>
      <c r="N483" s="16">
        <v>4.500000469E9</v>
      </c>
      <c r="O483" s="17"/>
      <c r="Q483" s="152" t="s">
        <v>4285</v>
      </c>
      <c r="R483" s="17"/>
      <c r="S483" s="16" t="s">
        <v>3671</v>
      </c>
      <c r="T483" s="17"/>
      <c r="U483" s="16" t="s">
        <v>3165</v>
      </c>
      <c r="V483" s="16" t="s">
        <v>3681</v>
      </c>
      <c r="W483" s="17"/>
      <c r="X483" s="17"/>
      <c r="Y483" s="16" t="s">
        <v>3165</v>
      </c>
      <c r="Z483" s="16" t="s">
        <v>3681</v>
      </c>
      <c r="AA483" s="17"/>
      <c r="AB483" s="17"/>
    </row>
    <row r="484">
      <c r="A484" s="16">
        <f t="shared" si="2"/>
        <v>483</v>
      </c>
      <c r="B484" s="16" t="s">
        <v>1360</v>
      </c>
      <c r="C484" s="16">
        <v>6.0019726E7</v>
      </c>
      <c r="D484" s="16" t="s">
        <v>1361</v>
      </c>
      <c r="E484" s="16" t="s">
        <v>3106</v>
      </c>
      <c r="F484" s="16" t="s">
        <v>10</v>
      </c>
      <c r="G484" s="16" t="s">
        <v>3787</v>
      </c>
      <c r="H484" s="16" t="s">
        <v>12</v>
      </c>
      <c r="I484" s="16" t="s">
        <v>3788</v>
      </c>
      <c r="J484" s="16" t="s">
        <v>36</v>
      </c>
      <c r="K484" s="16" t="s">
        <v>214</v>
      </c>
      <c r="L484" s="154">
        <v>44848.0</v>
      </c>
      <c r="M484" s="16">
        <f t="shared" si="1"/>
        <v>4</v>
      </c>
      <c r="N484" s="16">
        <v>4.500000469E9</v>
      </c>
      <c r="O484" s="17"/>
      <c r="Q484" s="152" t="s">
        <v>4286</v>
      </c>
      <c r="R484" s="17"/>
      <c r="S484" s="16" t="s">
        <v>3671</v>
      </c>
      <c r="T484" s="17"/>
      <c r="U484" s="16" t="s">
        <v>3165</v>
      </c>
      <c r="V484" s="16" t="s">
        <v>3681</v>
      </c>
      <c r="W484" s="17"/>
      <c r="X484" s="17"/>
      <c r="Y484" s="16" t="s">
        <v>3165</v>
      </c>
      <c r="Z484" s="16" t="s">
        <v>3681</v>
      </c>
      <c r="AA484" s="17"/>
      <c r="AB484" s="17"/>
    </row>
    <row r="485">
      <c r="A485" s="16">
        <f t="shared" si="2"/>
        <v>484</v>
      </c>
      <c r="B485" s="16" t="s">
        <v>1362</v>
      </c>
      <c r="C485" s="16">
        <v>6.0019727E7</v>
      </c>
      <c r="D485" s="16" t="s">
        <v>1363</v>
      </c>
      <c r="E485" s="16" t="s">
        <v>3106</v>
      </c>
      <c r="F485" s="16" t="s">
        <v>10</v>
      </c>
      <c r="G485" s="16" t="s">
        <v>3787</v>
      </c>
      <c r="H485" s="16" t="s">
        <v>12</v>
      </c>
      <c r="I485" s="16" t="s">
        <v>3788</v>
      </c>
      <c r="J485" s="16" t="s">
        <v>36</v>
      </c>
      <c r="K485" s="16" t="s">
        <v>214</v>
      </c>
      <c r="L485" s="154">
        <v>44848.0</v>
      </c>
      <c r="M485" s="16">
        <f t="shared" si="1"/>
        <v>4</v>
      </c>
      <c r="N485" s="16">
        <v>4.500000469E9</v>
      </c>
      <c r="O485" s="17"/>
      <c r="Q485" s="152" t="s">
        <v>4287</v>
      </c>
      <c r="R485" s="17"/>
      <c r="S485" s="16" t="s">
        <v>3671</v>
      </c>
      <c r="T485" s="17"/>
      <c r="U485" s="16" t="s">
        <v>3165</v>
      </c>
      <c r="V485" s="16" t="s">
        <v>3681</v>
      </c>
      <c r="W485" s="17"/>
      <c r="X485" s="17"/>
      <c r="Y485" s="16" t="s">
        <v>3165</v>
      </c>
      <c r="Z485" s="16" t="s">
        <v>3681</v>
      </c>
      <c r="AA485" s="17"/>
      <c r="AB485" s="17"/>
    </row>
    <row r="486">
      <c r="A486" s="16">
        <f t="shared" si="2"/>
        <v>485</v>
      </c>
      <c r="B486" s="16" t="s">
        <v>1364</v>
      </c>
      <c r="C486" s="16">
        <v>6.0019728E7</v>
      </c>
      <c r="D486" s="16" t="s">
        <v>1365</v>
      </c>
      <c r="E486" s="16" t="s">
        <v>3106</v>
      </c>
      <c r="F486" s="16" t="s">
        <v>10</v>
      </c>
      <c r="G486" s="16" t="s">
        <v>3787</v>
      </c>
      <c r="H486" s="16" t="s">
        <v>12</v>
      </c>
      <c r="I486" s="16" t="s">
        <v>3788</v>
      </c>
      <c r="J486" s="16" t="s">
        <v>36</v>
      </c>
      <c r="K486" s="16" t="s">
        <v>214</v>
      </c>
      <c r="L486" s="154">
        <v>44848.0</v>
      </c>
      <c r="M486" s="16">
        <f t="shared" si="1"/>
        <v>4</v>
      </c>
      <c r="N486" s="16">
        <v>4.500000469E9</v>
      </c>
      <c r="O486" s="17"/>
      <c r="Q486" s="152" t="s">
        <v>4288</v>
      </c>
      <c r="R486" s="17"/>
      <c r="S486" s="16" t="s">
        <v>3671</v>
      </c>
      <c r="T486" s="17"/>
      <c r="U486" s="16" t="s">
        <v>3165</v>
      </c>
      <c r="V486" s="16" t="s">
        <v>3681</v>
      </c>
      <c r="W486" s="17"/>
      <c r="X486" s="17"/>
      <c r="Y486" s="16" t="s">
        <v>3165</v>
      </c>
      <c r="Z486" s="16" t="s">
        <v>3681</v>
      </c>
      <c r="AA486" s="17"/>
      <c r="AB486" s="17"/>
    </row>
    <row r="487">
      <c r="A487" s="16">
        <f t="shared" si="2"/>
        <v>486</v>
      </c>
      <c r="B487" s="16" t="s">
        <v>1366</v>
      </c>
      <c r="C487" s="16">
        <v>6.0019729E7</v>
      </c>
      <c r="D487" s="16" t="s">
        <v>1367</v>
      </c>
      <c r="E487" s="16" t="s">
        <v>3106</v>
      </c>
      <c r="F487" s="16" t="s">
        <v>10</v>
      </c>
      <c r="G487" s="16" t="s">
        <v>3787</v>
      </c>
      <c r="H487" s="16" t="s">
        <v>12</v>
      </c>
      <c r="I487" s="16" t="s">
        <v>3788</v>
      </c>
      <c r="J487" s="16" t="s">
        <v>36</v>
      </c>
      <c r="K487" s="16" t="s">
        <v>214</v>
      </c>
      <c r="L487" s="154">
        <v>44848.0</v>
      </c>
      <c r="M487" s="16">
        <f t="shared" si="1"/>
        <v>4</v>
      </c>
      <c r="N487" s="16">
        <v>4.500000469E9</v>
      </c>
      <c r="O487" s="17"/>
      <c r="Q487" s="152" t="s">
        <v>4289</v>
      </c>
      <c r="R487" s="17"/>
      <c r="S487" s="16" t="s">
        <v>3671</v>
      </c>
      <c r="T487" s="17"/>
      <c r="U487" s="16" t="s">
        <v>3165</v>
      </c>
      <c r="V487" s="16" t="s">
        <v>3681</v>
      </c>
      <c r="W487" s="17"/>
      <c r="X487" s="17"/>
      <c r="Y487" s="16" t="s">
        <v>3165</v>
      </c>
      <c r="Z487" s="16" t="s">
        <v>3681</v>
      </c>
      <c r="AA487" s="17"/>
      <c r="AB487" s="17"/>
    </row>
    <row r="488">
      <c r="A488" s="16">
        <f t="shared" si="2"/>
        <v>487</v>
      </c>
      <c r="B488" s="16" t="s">
        <v>1368</v>
      </c>
      <c r="C488" s="16">
        <v>6.001973E7</v>
      </c>
      <c r="D488" s="16" t="s">
        <v>1369</v>
      </c>
      <c r="E488" s="16" t="s">
        <v>3106</v>
      </c>
      <c r="F488" s="16" t="s">
        <v>10</v>
      </c>
      <c r="G488" s="16" t="s">
        <v>3787</v>
      </c>
      <c r="H488" s="16" t="s">
        <v>12</v>
      </c>
      <c r="I488" s="16" t="s">
        <v>3788</v>
      </c>
      <c r="J488" s="16" t="s">
        <v>36</v>
      </c>
      <c r="K488" s="16" t="s">
        <v>214</v>
      </c>
      <c r="L488" s="154">
        <v>44848.0</v>
      </c>
      <c r="M488" s="16">
        <f t="shared" si="1"/>
        <v>4</v>
      </c>
      <c r="N488" s="16">
        <v>4.500000469E9</v>
      </c>
      <c r="O488" s="17"/>
      <c r="Q488" s="152" t="s">
        <v>4290</v>
      </c>
      <c r="R488" s="17"/>
      <c r="S488" s="16" t="s">
        <v>3671</v>
      </c>
      <c r="T488" s="17"/>
      <c r="U488" s="16" t="s">
        <v>3165</v>
      </c>
      <c r="V488" s="16" t="s">
        <v>3681</v>
      </c>
      <c r="W488" s="17"/>
      <c r="X488" s="17"/>
      <c r="Y488" s="16" t="s">
        <v>3165</v>
      </c>
      <c r="Z488" s="16" t="s">
        <v>3681</v>
      </c>
      <c r="AA488" s="17"/>
      <c r="AB488" s="17"/>
    </row>
    <row r="489">
      <c r="A489" s="16">
        <f t="shared" si="2"/>
        <v>488</v>
      </c>
      <c r="B489" s="16" t="s">
        <v>1370</v>
      </c>
      <c r="C489" s="16">
        <v>6.0019731E7</v>
      </c>
      <c r="D489" s="16" t="s">
        <v>1371</v>
      </c>
      <c r="E489" s="16" t="s">
        <v>3106</v>
      </c>
      <c r="F489" s="16" t="s">
        <v>10</v>
      </c>
      <c r="G489" s="16" t="s">
        <v>3787</v>
      </c>
      <c r="H489" s="16" t="s">
        <v>12</v>
      </c>
      <c r="I489" s="16" t="s">
        <v>3788</v>
      </c>
      <c r="J489" s="16" t="s">
        <v>36</v>
      </c>
      <c r="K489" s="16" t="s">
        <v>214</v>
      </c>
      <c r="L489" s="154">
        <v>44848.0</v>
      </c>
      <c r="M489" s="16">
        <f t="shared" si="1"/>
        <v>4</v>
      </c>
      <c r="N489" s="16">
        <v>4.500000469E9</v>
      </c>
      <c r="O489" s="17"/>
      <c r="Q489" s="152" t="s">
        <v>4291</v>
      </c>
      <c r="R489" s="17"/>
      <c r="S489" s="16" t="s">
        <v>3671</v>
      </c>
      <c r="T489" s="17"/>
      <c r="U489" s="16" t="s">
        <v>3165</v>
      </c>
      <c r="V489" s="16" t="s">
        <v>3681</v>
      </c>
      <c r="W489" s="17"/>
      <c r="X489" s="17"/>
      <c r="Y489" s="16" t="s">
        <v>3165</v>
      </c>
      <c r="Z489" s="16" t="s">
        <v>3681</v>
      </c>
      <c r="AA489" s="17"/>
      <c r="AB489" s="17"/>
    </row>
    <row r="490">
      <c r="A490" s="16">
        <f t="shared" si="2"/>
        <v>489</v>
      </c>
      <c r="B490" s="16" t="s">
        <v>1372</v>
      </c>
      <c r="C490" s="16">
        <v>6.0019732E7</v>
      </c>
      <c r="D490" s="16" t="s">
        <v>1373</v>
      </c>
      <c r="E490" s="16" t="s">
        <v>3106</v>
      </c>
      <c r="F490" s="16" t="s">
        <v>10</v>
      </c>
      <c r="G490" s="16" t="s">
        <v>3787</v>
      </c>
      <c r="H490" s="16" t="s">
        <v>12</v>
      </c>
      <c r="I490" s="16" t="s">
        <v>3788</v>
      </c>
      <c r="J490" s="16" t="s">
        <v>36</v>
      </c>
      <c r="K490" s="16" t="s">
        <v>214</v>
      </c>
      <c r="L490" s="154">
        <v>44848.0</v>
      </c>
      <c r="M490" s="16">
        <f t="shared" si="1"/>
        <v>4</v>
      </c>
      <c r="N490" s="16">
        <v>4.500000469E9</v>
      </c>
      <c r="O490" s="17"/>
      <c r="Q490" s="152" t="s">
        <v>3925</v>
      </c>
      <c r="R490" s="17"/>
      <c r="S490" s="16" t="s">
        <v>3671</v>
      </c>
      <c r="T490" s="17"/>
      <c r="U490" s="16" t="s">
        <v>3165</v>
      </c>
      <c r="V490" s="16" t="s">
        <v>3681</v>
      </c>
      <c r="W490" s="17"/>
      <c r="X490" s="17"/>
      <c r="Y490" s="16" t="s">
        <v>3165</v>
      </c>
      <c r="Z490" s="16" t="s">
        <v>3681</v>
      </c>
      <c r="AA490" s="17"/>
      <c r="AB490" s="17"/>
    </row>
    <row r="491">
      <c r="A491" s="16">
        <f t="shared" si="2"/>
        <v>490</v>
      </c>
      <c r="B491" s="16" t="s">
        <v>1374</v>
      </c>
      <c r="C491" s="16">
        <v>6.0019733E7</v>
      </c>
      <c r="D491" s="16" t="s">
        <v>1375</v>
      </c>
      <c r="E491" s="16" t="s">
        <v>3106</v>
      </c>
      <c r="F491" s="16" t="s">
        <v>10</v>
      </c>
      <c r="G491" s="16" t="s">
        <v>3787</v>
      </c>
      <c r="H491" s="16" t="s">
        <v>12</v>
      </c>
      <c r="I491" s="16" t="s">
        <v>3788</v>
      </c>
      <c r="J491" s="16" t="s">
        <v>36</v>
      </c>
      <c r="K491" s="16" t="s">
        <v>214</v>
      </c>
      <c r="L491" s="154">
        <v>44848.0</v>
      </c>
      <c r="M491" s="16">
        <f t="shared" si="1"/>
        <v>4</v>
      </c>
      <c r="N491" s="16">
        <v>4.500000469E9</v>
      </c>
      <c r="O491" s="16" t="s">
        <v>3621</v>
      </c>
      <c r="Q491" s="152" t="s">
        <v>4292</v>
      </c>
      <c r="R491" s="123">
        <v>45977.0</v>
      </c>
      <c r="S491" s="16" t="s">
        <v>3671</v>
      </c>
      <c r="T491" s="17"/>
      <c r="U491" s="16" t="s">
        <v>3165</v>
      </c>
      <c r="V491" s="16" t="s">
        <v>3681</v>
      </c>
      <c r="W491" s="17"/>
      <c r="X491" s="17"/>
      <c r="Y491" s="16" t="s">
        <v>3165</v>
      </c>
      <c r="Z491" s="16" t="s">
        <v>3681</v>
      </c>
      <c r="AA491" s="17"/>
      <c r="AB491" s="16" t="s">
        <v>4216</v>
      </c>
    </row>
    <row r="492">
      <c r="A492" s="16">
        <f t="shared" si="2"/>
        <v>491</v>
      </c>
      <c r="B492" s="16" t="s">
        <v>1376</v>
      </c>
      <c r="C492" s="16">
        <v>6.0019734E7</v>
      </c>
      <c r="D492" s="16" t="s">
        <v>1377</v>
      </c>
      <c r="E492" s="16" t="s">
        <v>3106</v>
      </c>
      <c r="F492" s="16" t="s">
        <v>10</v>
      </c>
      <c r="G492" s="16" t="s">
        <v>3787</v>
      </c>
      <c r="H492" s="16" t="s">
        <v>12</v>
      </c>
      <c r="I492" s="16" t="s">
        <v>3788</v>
      </c>
      <c r="J492" s="16" t="s">
        <v>36</v>
      </c>
      <c r="K492" s="16" t="s">
        <v>214</v>
      </c>
      <c r="L492" s="154">
        <v>44848.0</v>
      </c>
      <c r="M492" s="16">
        <f t="shared" si="1"/>
        <v>4</v>
      </c>
      <c r="N492" s="16">
        <v>4.500000469E9</v>
      </c>
      <c r="O492" s="17"/>
      <c r="Q492" s="152" t="s">
        <v>4293</v>
      </c>
      <c r="R492" s="17"/>
      <c r="S492" s="16" t="s">
        <v>3671</v>
      </c>
      <c r="T492" s="17"/>
      <c r="U492" s="16" t="s">
        <v>3165</v>
      </c>
      <c r="V492" s="16" t="s">
        <v>3681</v>
      </c>
      <c r="W492" s="17"/>
      <c r="X492" s="17"/>
      <c r="Y492" s="16" t="s">
        <v>3165</v>
      </c>
      <c r="Z492" s="16" t="s">
        <v>3681</v>
      </c>
      <c r="AA492" s="17"/>
      <c r="AB492" s="17"/>
    </row>
    <row r="493">
      <c r="A493" s="16">
        <f t="shared" si="2"/>
        <v>492</v>
      </c>
      <c r="B493" s="16" t="s">
        <v>1378</v>
      </c>
      <c r="C493" s="16">
        <v>6.0019735E7</v>
      </c>
      <c r="D493" s="16" t="s">
        <v>1379</v>
      </c>
      <c r="E493" s="16" t="s">
        <v>3106</v>
      </c>
      <c r="F493" s="16" t="s">
        <v>10</v>
      </c>
      <c r="G493" s="16" t="s">
        <v>3787</v>
      </c>
      <c r="H493" s="16" t="s">
        <v>12</v>
      </c>
      <c r="I493" s="16" t="s">
        <v>3788</v>
      </c>
      <c r="J493" s="16" t="s">
        <v>36</v>
      </c>
      <c r="K493" s="16" t="s">
        <v>214</v>
      </c>
      <c r="L493" s="154">
        <v>44848.0</v>
      </c>
      <c r="M493" s="16">
        <f t="shared" si="1"/>
        <v>4</v>
      </c>
      <c r="N493" s="16">
        <v>4.500000469E9</v>
      </c>
      <c r="O493" s="17"/>
      <c r="Q493" s="152" t="s">
        <v>4294</v>
      </c>
      <c r="R493" s="17"/>
      <c r="S493" s="16" t="s">
        <v>3671</v>
      </c>
      <c r="T493" s="17"/>
      <c r="U493" s="16" t="s">
        <v>3165</v>
      </c>
      <c r="V493" s="16" t="s">
        <v>3681</v>
      </c>
      <c r="W493" s="17"/>
      <c r="X493" s="17"/>
      <c r="Y493" s="16" t="s">
        <v>3165</v>
      </c>
      <c r="Z493" s="16" t="s">
        <v>3681</v>
      </c>
      <c r="AA493" s="17"/>
      <c r="AB493" s="17"/>
    </row>
    <row r="494">
      <c r="A494" s="16">
        <f t="shared" si="2"/>
        <v>493</v>
      </c>
      <c r="B494" s="16" t="s">
        <v>1380</v>
      </c>
      <c r="C494" s="16">
        <v>6.0019736E7</v>
      </c>
      <c r="D494" s="16" t="s">
        <v>1381</v>
      </c>
      <c r="E494" s="16" t="s">
        <v>3106</v>
      </c>
      <c r="F494" s="16" t="s">
        <v>10</v>
      </c>
      <c r="G494" s="16" t="s">
        <v>3787</v>
      </c>
      <c r="H494" s="16" t="s">
        <v>12</v>
      </c>
      <c r="I494" s="16" t="s">
        <v>3788</v>
      </c>
      <c r="J494" s="16" t="s">
        <v>36</v>
      </c>
      <c r="K494" s="16" t="s">
        <v>214</v>
      </c>
      <c r="L494" s="154">
        <v>44848.0</v>
      </c>
      <c r="M494" s="16">
        <f t="shared" si="1"/>
        <v>4</v>
      </c>
      <c r="N494" s="16">
        <v>4.500000469E9</v>
      </c>
      <c r="O494" s="17"/>
      <c r="Q494" s="152" t="s">
        <v>4295</v>
      </c>
      <c r="R494" s="17"/>
      <c r="S494" s="16" t="s">
        <v>3671</v>
      </c>
      <c r="T494" s="17"/>
      <c r="U494" s="16" t="s">
        <v>3165</v>
      </c>
      <c r="V494" s="16" t="s">
        <v>3681</v>
      </c>
      <c r="W494" s="17"/>
      <c r="X494" s="17"/>
      <c r="Y494" s="16" t="s">
        <v>3165</v>
      </c>
      <c r="Z494" s="16" t="s">
        <v>3681</v>
      </c>
      <c r="AA494" s="17"/>
      <c r="AB494" s="17"/>
    </row>
    <row r="495">
      <c r="A495" s="16">
        <f t="shared" si="2"/>
        <v>494</v>
      </c>
      <c r="B495" s="16" t="s">
        <v>1382</v>
      </c>
      <c r="C495" s="16">
        <v>6.0019737E7</v>
      </c>
      <c r="D495" s="16" t="s">
        <v>1383</v>
      </c>
      <c r="E495" s="16" t="s">
        <v>3106</v>
      </c>
      <c r="F495" s="16" t="s">
        <v>10</v>
      </c>
      <c r="G495" s="16" t="s">
        <v>3787</v>
      </c>
      <c r="H495" s="16" t="s">
        <v>12</v>
      </c>
      <c r="I495" s="16" t="s">
        <v>3788</v>
      </c>
      <c r="J495" s="16" t="s">
        <v>36</v>
      </c>
      <c r="K495" s="16" t="s">
        <v>214</v>
      </c>
      <c r="L495" s="154">
        <v>44848.0</v>
      </c>
      <c r="M495" s="16">
        <f t="shared" si="1"/>
        <v>4</v>
      </c>
      <c r="N495" s="16">
        <v>4.500000469E9</v>
      </c>
      <c r="O495" s="16" t="s">
        <v>4296</v>
      </c>
      <c r="Q495" s="152" t="s">
        <v>4297</v>
      </c>
      <c r="R495" s="123">
        <v>45977.0</v>
      </c>
      <c r="S495" s="16" t="s">
        <v>3671</v>
      </c>
      <c r="T495" s="17"/>
      <c r="U495" s="16" t="s">
        <v>3165</v>
      </c>
      <c r="V495" s="16" t="s">
        <v>3681</v>
      </c>
      <c r="W495" s="17"/>
      <c r="X495" s="17"/>
      <c r="Y495" s="16" t="s">
        <v>3165</v>
      </c>
      <c r="Z495" s="16" t="s">
        <v>3681</v>
      </c>
      <c r="AA495" s="17"/>
      <c r="AB495" s="16" t="s">
        <v>4216</v>
      </c>
    </row>
    <row r="496">
      <c r="A496" s="16">
        <f t="shared" si="2"/>
        <v>495</v>
      </c>
      <c r="B496" s="16" t="s">
        <v>1384</v>
      </c>
      <c r="C496" s="16">
        <v>6.0019749E7</v>
      </c>
      <c r="D496" s="16" t="s">
        <v>1385</v>
      </c>
      <c r="E496" s="16" t="s">
        <v>3106</v>
      </c>
      <c r="F496" s="16" t="s">
        <v>10</v>
      </c>
      <c r="G496" s="16" t="s">
        <v>3787</v>
      </c>
      <c r="H496" s="16" t="s">
        <v>12</v>
      </c>
      <c r="I496" s="16" t="s">
        <v>3788</v>
      </c>
      <c r="J496" s="16" t="s">
        <v>36</v>
      </c>
      <c r="K496" s="16" t="s">
        <v>214</v>
      </c>
      <c r="L496" s="154">
        <v>44848.0</v>
      </c>
      <c r="M496" s="16">
        <f t="shared" si="1"/>
        <v>4</v>
      </c>
      <c r="N496" s="16">
        <v>4.500000469E9</v>
      </c>
      <c r="O496" s="16" t="s">
        <v>2557</v>
      </c>
      <c r="Q496" s="152" t="s">
        <v>4298</v>
      </c>
      <c r="R496" s="115">
        <v>45098.0</v>
      </c>
      <c r="S496" s="16" t="s">
        <v>3673</v>
      </c>
      <c r="T496" s="16" t="s">
        <v>4299</v>
      </c>
      <c r="U496" s="16" t="s">
        <v>3171</v>
      </c>
      <c r="V496" s="17"/>
      <c r="W496" s="17"/>
      <c r="X496" s="16" t="s">
        <v>4299</v>
      </c>
      <c r="Y496" s="16" t="s">
        <v>3171</v>
      </c>
      <c r="Z496" s="16" t="s">
        <v>3672</v>
      </c>
      <c r="AA496" s="17"/>
      <c r="AB496" s="17"/>
    </row>
    <row r="497">
      <c r="A497" s="16">
        <f t="shared" si="2"/>
        <v>496</v>
      </c>
      <c r="B497" s="16" t="s">
        <v>1386</v>
      </c>
      <c r="C497" s="16">
        <v>6.001975E7</v>
      </c>
      <c r="D497" s="16" t="s">
        <v>1387</v>
      </c>
      <c r="E497" s="16" t="s">
        <v>3106</v>
      </c>
      <c r="F497" s="16" t="s">
        <v>10</v>
      </c>
      <c r="G497" s="16" t="s">
        <v>3787</v>
      </c>
      <c r="H497" s="16" t="s">
        <v>12</v>
      </c>
      <c r="I497" s="16" t="s">
        <v>3788</v>
      </c>
      <c r="J497" s="16" t="s">
        <v>36</v>
      </c>
      <c r="K497" s="16" t="s">
        <v>214</v>
      </c>
      <c r="L497" s="154">
        <v>44848.0</v>
      </c>
      <c r="M497" s="16">
        <f t="shared" si="1"/>
        <v>4</v>
      </c>
      <c r="N497" s="16">
        <v>4.500000469E9</v>
      </c>
      <c r="O497" s="16" t="s">
        <v>2557</v>
      </c>
      <c r="Q497" s="152" t="s">
        <v>4300</v>
      </c>
      <c r="R497" s="115">
        <v>45098.0</v>
      </c>
      <c r="S497" s="16" t="s">
        <v>3673</v>
      </c>
      <c r="T497" s="16" t="s">
        <v>4301</v>
      </c>
      <c r="U497" s="16" t="s">
        <v>3171</v>
      </c>
      <c r="V497" s="17"/>
      <c r="W497" s="17"/>
      <c r="X497" s="16" t="s">
        <v>4301</v>
      </c>
      <c r="Y497" s="16" t="s">
        <v>3171</v>
      </c>
      <c r="Z497" s="16" t="s">
        <v>3672</v>
      </c>
      <c r="AA497" s="17"/>
      <c r="AB497" s="17"/>
    </row>
    <row r="498">
      <c r="A498" s="16">
        <f t="shared" si="2"/>
        <v>497</v>
      </c>
      <c r="B498" s="16" t="s">
        <v>1388</v>
      </c>
      <c r="C498" s="16">
        <v>6.0019751E7</v>
      </c>
      <c r="D498" s="16" t="s">
        <v>1389</v>
      </c>
      <c r="E498" s="16" t="s">
        <v>3106</v>
      </c>
      <c r="F498" s="16" t="s">
        <v>10</v>
      </c>
      <c r="G498" s="16" t="s">
        <v>3787</v>
      </c>
      <c r="H498" s="16" t="s">
        <v>12</v>
      </c>
      <c r="I498" s="16" t="s">
        <v>3788</v>
      </c>
      <c r="J498" s="16" t="s">
        <v>36</v>
      </c>
      <c r="K498" s="16" t="s">
        <v>214</v>
      </c>
      <c r="L498" s="154">
        <v>44848.0</v>
      </c>
      <c r="M498" s="16">
        <f t="shared" si="1"/>
        <v>4</v>
      </c>
      <c r="N498" s="16">
        <v>4.500000469E9</v>
      </c>
      <c r="O498" s="16" t="s">
        <v>2557</v>
      </c>
      <c r="Q498" s="152" t="s">
        <v>4302</v>
      </c>
      <c r="R498" s="115">
        <v>45098.0</v>
      </c>
      <c r="S498" s="16" t="s">
        <v>3673</v>
      </c>
      <c r="T498" s="16" t="s">
        <v>4303</v>
      </c>
      <c r="U498" s="16" t="s">
        <v>3171</v>
      </c>
      <c r="V498" s="17"/>
      <c r="W498" s="17"/>
      <c r="X498" s="16" t="s">
        <v>4303</v>
      </c>
      <c r="Y498" s="16" t="s">
        <v>3171</v>
      </c>
      <c r="Z498" s="16" t="s">
        <v>3672</v>
      </c>
      <c r="AA498" s="17"/>
      <c r="AB498" s="17"/>
    </row>
    <row r="499">
      <c r="A499" s="16">
        <f t="shared" si="2"/>
        <v>498</v>
      </c>
      <c r="B499" s="16" t="s">
        <v>1390</v>
      </c>
      <c r="C499" s="16">
        <v>6.0019752E7</v>
      </c>
      <c r="D499" s="16" t="s">
        <v>1391</v>
      </c>
      <c r="E499" s="16" t="s">
        <v>3106</v>
      </c>
      <c r="F499" s="16" t="s">
        <v>10</v>
      </c>
      <c r="G499" s="16" t="s">
        <v>3787</v>
      </c>
      <c r="H499" s="16" t="s">
        <v>12</v>
      </c>
      <c r="I499" s="16" t="s">
        <v>3788</v>
      </c>
      <c r="J499" s="16" t="s">
        <v>36</v>
      </c>
      <c r="K499" s="16" t="s">
        <v>214</v>
      </c>
      <c r="L499" s="154">
        <v>44848.0</v>
      </c>
      <c r="M499" s="16">
        <f t="shared" si="1"/>
        <v>4</v>
      </c>
      <c r="N499" s="16">
        <v>4.500000469E9</v>
      </c>
      <c r="O499" s="16" t="s">
        <v>2557</v>
      </c>
      <c r="Q499" s="152" t="s">
        <v>4304</v>
      </c>
      <c r="R499" s="115">
        <v>45098.0</v>
      </c>
      <c r="S499" s="16" t="s">
        <v>3673</v>
      </c>
      <c r="T499" s="16" t="s">
        <v>4305</v>
      </c>
      <c r="U499" s="16" t="s">
        <v>3171</v>
      </c>
      <c r="V499" s="17"/>
      <c r="W499" s="17"/>
      <c r="X499" s="16" t="s">
        <v>4305</v>
      </c>
      <c r="Y499" s="16" t="s">
        <v>3171</v>
      </c>
      <c r="Z499" s="16" t="s">
        <v>3672</v>
      </c>
      <c r="AA499" s="17"/>
      <c r="AB499" s="17"/>
    </row>
    <row r="500">
      <c r="A500" s="16">
        <f t="shared" si="2"/>
        <v>499</v>
      </c>
      <c r="B500" s="16" t="s">
        <v>1392</v>
      </c>
      <c r="C500" s="16">
        <v>6.0019753E7</v>
      </c>
      <c r="D500" s="16" t="s">
        <v>1393</v>
      </c>
      <c r="E500" s="16" t="s">
        <v>3106</v>
      </c>
      <c r="F500" s="16" t="s">
        <v>10</v>
      </c>
      <c r="G500" s="16" t="s">
        <v>3787</v>
      </c>
      <c r="H500" s="16" t="s">
        <v>12</v>
      </c>
      <c r="I500" s="16" t="s">
        <v>3788</v>
      </c>
      <c r="J500" s="16" t="s">
        <v>36</v>
      </c>
      <c r="K500" s="16" t="s">
        <v>214</v>
      </c>
      <c r="L500" s="154">
        <v>44848.0</v>
      </c>
      <c r="M500" s="16">
        <f t="shared" si="1"/>
        <v>4</v>
      </c>
      <c r="N500" s="16">
        <v>4.500000469E9</v>
      </c>
      <c r="O500" s="16" t="s">
        <v>2557</v>
      </c>
      <c r="Q500" s="152" t="s">
        <v>4306</v>
      </c>
      <c r="R500" s="115">
        <v>45098.0</v>
      </c>
      <c r="S500" s="16" t="s">
        <v>3673</v>
      </c>
      <c r="T500" s="16" t="s">
        <v>4307</v>
      </c>
      <c r="U500" s="16" t="s">
        <v>3171</v>
      </c>
      <c r="V500" s="17"/>
      <c r="W500" s="17"/>
      <c r="X500" s="16" t="s">
        <v>4307</v>
      </c>
      <c r="Y500" s="16" t="s">
        <v>3171</v>
      </c>
      <c r="Z500" s="16" t="s">
        <v>3672</v>
      </c>
      <c r="AA500" s="17"/>
      <c r="AB500" s="17"/>
    </row>
    <row r="501">
      <c r="A501" s="16">
        <f t="shared" si="2"/>
        <v>500</v>
      </c>
      <c r="B501" s="16" t="s">
        <v>1394</v>
      </c>
      <c r="C501" s="16">
        <v>6.0019754E7</v>
      </c>
      <c r="D501" s="16" t="s">
        <v>1395</v>
      </c>
      <c r="E501" s="16" t="s">
        <v>3106</v>
      </c>
      <c r="F501" s="16" t="s">
        <v>10</v>
      </c>
      <c r="G501" s="16" t="s">
        <v>3787</v>
      </c>
      <c r="H501" s="16" t="s">
        <v>12</v>
      </c>
      <c r="I501" s="16" t="s">
        <v>3788</v>
      </c>
      <c r="J501" s="16" t="s">
        <v>36</v>
      </c>
      <c r="K501" s="16" t="s">
        <v>214</v>
      </c>
      <c r="L501" s="154">
        <v>44848.0</v>
      </c>
      <c r="M501" s="16">
        <f t="shared" si="1"/>
        <v>4</v>
      </c>
      <c r="N501" s="16">
        <v>4.500000469E9</v>
      </c>
      <c r="O501" s="16" t="s">
        <v>3670</v>
      </c>
      <c r="Q501" s="152" t="s">
        <v>4308</v>
      </c>
      <c r="R501" s="115">
        <v>45821.0</v>
      </c>
      <c r="S501" s="16" t="s">
        <v>2557</v>
      </c>
      <c r="T501" s="16" t="s">
        <v>4309</v>
      </c>
      <c r="U501" s="16" t="s">
        <v>3171</v>
      </c>
      <c r="V501" s="17"/>
      <c r="W501" s="17"/>
      <c r="X501" s="16" t="s">
        <v>4309</v>
      </c>
      <c r="Y501" s="16" t="s">
        <v>3171</v>
      </c>
      <c r="Z501" s="16" t="s">
        <v>3672</v>
      </c>
      <c r="AA501" s="17"/>
      <c r="AB501" s="17"/>
    </row>
    <row r="502">
      <c r="A502" s="16">
        <f t="shared" si="2"/>
        <v>501</v>
      </c>
      <c r="B502" s="16" t="s">
        <v>1396</v>
      </c>
      <c r="C502" s="16">
        <v>6.0019755E7</v>
      </c>
      <c r="D502" s="16" t="s">
        <v>1397</v>
      </c>
      <c r="E502" s="16" t="s">
        <v>3106</v>
      </c>
      <c r="F502" s="16" t="s">
        <v>10</v>
      </c>
      <c r="G502" s="16" t="s">
        <v>3787</v>
      </c>
      <c r="H502" s="16" t="s">
        <v>12</v>
      </c>
      <c r="I502" s="16" t="s">
        <v>3788</v>
      </c>
      <c r="J502" s="16" t="s">
        <v>36</v>
      </c>
      <c r="K502" s="16" t="s">
        <v>214</v>
      </c>
      <c r="L502" s="154">
        <v>44848.0</v>
      </c>
      <c r="M502" s="16">
        <f t="shared" si="1"/>
        <v>4</v>
      </c>
      <c r="N502" s="16">
        <v>4.500000469E9</v>
      </c>
      <c r="O502" s="16" t="s">
        <v>2557</v>
      </c>
      <c r="Q502" s="152" t="s">
        <v>4310</v>
      </c>
      <c r="R502" s="17"/>
      <c r="S502" s="16" t="s">
        <v>3671</v>
      </c>
      <c r="T502" s="17"/>
      <c r="U502" s="16" t="s">
        <v>4311</v>
      </c>
      <c r="V502" s="16" t="s">
        <v>4237</v>
      </c>
      <c r="W502" s="17"/>
      <c r="X502" s="17"/>
      <c r="Y502" s="16" t="s">
        <v>4311</v>
      </c>
      <c r="Z502" s="16" t="s">
        <v>4237</v>
      </c>
      <c r="AA502" s="17"/>
      <c r="AB502" s="17"/>
    </row>
    <row r="503">
      <c r="A503" s="16">
        <f t="shared" si="2"/>
        <v>502</v>
      </c>
      <c r="B503" s="16" t="s">
        <v>1398</v>
      </c>
      <c r="C503" s="16">
        <v>6.0019756E7</v>
      </c>
      <c r="D503" s="16" t="s">
        <v>1399</v>
      </c>
      <c r="E503" s="16" t="s">
        <v>3106</v>
      </c>
      <c r="F503" s="16" t="s">
        <v>10</v>
      </c>
      <c r="G503" s="16" t="s">
        <v>3787</v>
      </c>
      <c r="H503" s="16" t="s">
        <v>12</v>
      </c>
      <c r="I503" s="16" t="s">
        <v>3788</v>
      </c>
      <c r="J503" s="16" t="s">
        <v>36</v>
      </c>
      <c r="K503" s="16" t="s">
        <v>214</v>
      </c>
      <c r="L503" s="154">
        <v>44848.0</v>
      </c>
      <c r="M503" s="16">
        <f t="shared" si="1"/>
        <v>4</v>
      </c>
      <c r="N503" s="16">
        <v>4.500000469E9</v>
      </c>
      <c r="O503" s="16" t="s">
        <v>4163</v>
      </c>
      <c r="Q503" s="152" t="s">
        <v>4312</v>
      </c>
      <c r="R503" s="17"/>
      <c r="S503" s="16" t="s">
        <v>3671</v>
      </c>
      <c r="T503" s="17"/>
      <c r="U503" s="16" t="s">
        <v>3171</v>
      </c>
      <c r="V503" s="17"/>
      <c r="W503" s="17"/>
      <c r="X503" s="17"/>
      <c r="Y503" s="16" t="s">
        <v>3171</v>
      </c>
      <c r="Z503" s="16" t="s">
        <v>3672</v>
      </c>
      <c r="AA503" s="17"/>
      <c r="AB503" s="17"/>
    </row>
    <row r="504">
      <c r="A504" s="16">
        <f t="shared" si="2"/>
        <v>503</v>
      </c>
      <c r="B504" s="16" t="s">
        <v>1400</v>
      </c>
      <c r="C504" s="16">
        <v>6.0019757E7</v>
      </c>
      <c r="D504" s="16" t="s">
        <v>1401</v>
      </c>
      <c r="E504" s="16" t="s">
        <v>3106</v>
      </c>
      <c r="F504" s="16" t="s">
        <v>10</v>
      </c>
      <c r="G504" s="16" t="s">
        <v>3787</v>
      </c>
      <c r="H504" s="16" t="s">
        <v>12</v>
      </c>
      <c r="I504" s="16" t="s">
        <v>3788</v>
      </c>
      <c r="J504" s="16" t="s">
        <v>36</v>
      </c>
      <c r="K504" s="16" t="s">
        <v>214</v>
      </c>
      <c r="L504" s="154">
        <v>44848.0</v>
      </c>
      <c r="M504" s="16">
        <f t="shared" si="1"/>
        <v>4</v>
      </c>
      <c r="N504" s="16">
        <v>4.500000469E9</v>
      </c>
      <c r="O504" s="16" t="s">
        <v>4164</v>
      </c>
      <c r="Q504" s="152" t="s">
        <v>4313</v>
      </c>
      <c r="R504" s="17"/>
      <c r="S504" s="16" t="s">
        <v>3671</v>
      </c>
      <c r="T504" s="17"/>
      <c r="U504" s="16" t="s">
        <v>3171</v>
      </c>
      <c r="V504" s="17"/>
      <c r="W504" s="17"/>
      <c r="X504" s="17"/>
      <c r="Y504" s="16" t="s">
        <v>3171</v>
      </c>
      <c r="Z504" s="16" t="s">
        <v>3672</v>
      </c>
      <c r="AA504" s="17"/>
      <c r="AB504" s="17"/>
    </row>
    <row r="505">
      <c r="A505" s="16">
        <f t="shared" si="2"/>
        <v>504</v>
      </c>
      <c r="B505" s="16" t="s">
        <v>1402</v>
      </c>
      <c r="C505" s="16">
        <v>6.0019758E7</v>
      </c>
      <c r="D505" s="16" t="s">
        <v>1403</v>
      </c>
      <c r="E505" s="16" t="s">
        <v>3106</v>
      </c>
      <c r="F505" s="16" t="s">
        <v>10</v>
      </c>
      <c r="G505" s="16" t="s">
        <v>3787</v>
      </c>
      <c r="H505" s="16" t="s">
        <v>12</v>
      </c>
      <c r="I505" s="16" t="s">
        <v>3788</v>
      </c>
      <c r="J505" s="16" t="s">
        <v>36</v>
      </c>
      <c r="K505" s="16" t="s">
        <v>214</v>
      </c>
      <c r="L505" s="154">
        <v>44848.0</v>
      </c>
      <c r="M505" s="16">
        <f t="shared" si="1"/>
        <v>4</v>
      </c>
      <c r="N505" s="16">
        <v>4.500000469E9</v>
      </c>
      <c r="O505" s="16" t="s">
        <v>3771</v>
      </c>
      <c r="Q505" s="152" t="s">
        <v>4314</v>
      </c>
      <c r="R505" s="17"/>
      <c r="S505" s="16" t="s">
        <v>3671</v>
      </c>
      <c r="T505" s="17"/>
      <c r="U505" s="16" t="s">
        <v>3171</v>
      </c>
      <c r="V505" s="17"/>
      <c r="W505" s="17"/>
      <c r="X505" s="17"/>
      <c r="Y505" s="16" t="s">
        <v>3171</v>
      </c>
      <c r="Z505" s="16" t="s">
        <v>3672</v>
      </c>
      <c r="AA505" s="17"/>
      <c r="AB505" s="17"/>
    </row>
    <row r="506">
      <c r="A506" s="16">
        <f t="shared" si="2"/>
        <v>505</v>
      </c>
      <c r="B506" s="16" t="s">
        <v>1404</v>
      </c>
      <c r="C506" s="16">
        <v>6.0019759E7</v>
      </c>
      <c r="D506" s="16" t="s">
        <v>1405</v>
      </c>
      <c r="E506" s="16" t="s">
        <v>3106</v>
      </c>
      <c r="F506" s="16" t="s">
        <v>10</v>
      </c>
      <c r="G506" s="16" t="s">
        <v>3787</v>
      </c>
      <c r="H506" s="16" t="s">
        <v>12</v>
      </c>
      <c r="I506" s="16" t="s">
        <v>3788</v>
      </c>
      <c r="J506" s="16" t="s">
        <v>36</v>
      </c>
      <c r="K506" s="16" t="s">
        <v>214</v>
      </c>
      <c r="L506" s="154">
        <v>44848.0</v>
      </c>
      <c r="M506" s="16">
        <f t="shared" si="1"/>
        <v>4</v>
      </c>
      <c r="N506" s="16">
        <v>4.500000469E9</v>
      </c>
      <c r="O506" s="16" t="s">
        <v>3768</v>
      </c>
      <c r="Q506" s="152" t="s">
        <v>4315</v>
      </c>
      <c r="R506" s="17"/>
      <c r="S506" s="16" t="s">
        <v>3671</v>
      </c>
      <c r="T506" s="17"/>
      <c r="U506" s="16" t="s">
        <v>3171</v>
      </c>
      <c r="V506" s="17"/>
      <c r="W506" s="17"/>
      <c r="X506" s="17"/>
      <c r="Y506" s="16" t="s">
        <v>3171</v>
      </c>
      <c r="Z506" s="16" t="s">
        <v>3672</v>
      </c>
      <c r="AA506" s="17"/>
      <c r="AB506" s="17"/>
    </row>
    <row r="507">
      <c r="A507" s="16">
        <f t="shared" si="2"/>
        <v>506</v>
      </c>
      <c r="B507" s="16" t="s">
        <v>1406</v>
      </c>
      <c r="C507" s="16">
        <v>6.001976E7</v>
      </c>
      <c r="D507" s="16" t="s">
        <v>1407</v>
      </c>
      <c r="E507" s="16" t="s">
        <v>3106</v>
      </c>
      <c r="F507" s="16" t="s">
        <v>10</v>
      </c>
      <c r="G507" s="16" t="s">
        <v>3787</v>
      </c>
      <c r="H507" s="16" t="s">
        <v>12</v>
      </c>
      <c r="I507" s="16" t="s">
        <v>3788</v>
      </c>
      <c r="J507" s="16" t="s">
        <v>36</v>
      </c>
      <c r="K507" s="16" t="s">
        <v>214</v>
      </c>
      <c r="L507" s="154">
        <v>44848.0</v>
      </c>
      <c r="M507" s="16">
        <f t="shared" si="1"/>
        <v>4</v>
      </c>
      <c r="N507" s="16">
        <v>4.500000469E9</v>
      </c>
      <c r="O507" s="16" t="s">
        <v>3770</v>
      </c>
      <c r="Q507" s="152" t="s">
        <v>4316</v>
      </c>
      <c r="R507" s="17"/>
      <c r="S507" s="16" t="s">
        <v>3671</v>
      </c>
      <c r="T507" s="17"/>
      <c r="U507" s="16" t="s">
        <v>3171</v>
      </c>
      <c r="V507" s="17"/>
      <c r="W507" s="17"/>
      <c r="X507" s="17"/>
      <c r="Y507" s="16" t="s">
        <v>3171</v>
      </c>
      <c r="Z507" s="16" t="s">
        <v>3672</v>
      </c>
      <c r="AA507" s="17"/>
      <c r="AB507" s="17"/>
    </row>
    <row r="508">
      <c r="A508" s="16">
        <f t="shared" si="2"/>
        <v>507</v>
      </c>
      <c r="B508" s="16" t="s">
        <v>1408</v>
      </c>
      <c r="C508" s="16">
        <v>6.0019761E7</v>
      </c>
      <c r="D508" s="16" t="s">
        <v>1409</v>
      </c>
      <c r="E508" s="16" t="s">
        <v>3106</v>
      </c>
      <c r="F508" s="16" t="s">
        <v>10</v>
      </c>
      <c r="G508" s="16" t="s">
        <v>3787</v>
      </c>
      <c r="H508" s="16" t="s">
        <v>12</v>
      </c>
      <c r="I508" s="16" t="s">
        <v>3788</v>
      </c>
      <c r="J508" s="16" t="s">
        <v>36</v>
      </c>
      <c r="K508" s="16" t="s">
        <v>214</v>
      </c>
      <c r="L508" s="154">
        <v>44848.0</v>
      </c>
      <c r="M508" s="16">
        <f t="shared" si="1"/>
        <v>4</v>
      </c>
      <c r="N508" s="16">
        <v>4.500000469E9</v>
      </c>
      <c r="O508" s="16" t="s">
        <v>3923</v>
      </c>
      <c r="Q508" s="152" t="s">
        <v>4317</v>
      </c>
      <c r="R508" s="17"/>
      <c r="S508" s="16" t="s">
        <v>3671</v>
      </c>
      <c r="T508" s="17"/>
      <c r="U508" s="16" t="s">
        <v>3171</v>
      </c>
      <c r="V508" s="17"/>
      <c r="W508" s="17"/>
      <c r="X508" s="17"/>
      <c r="Y508" s="16" t="s">
        <v>3171</v>
      </c>
      <c r="Z508" s="16" t="s">
        <v>3672</v>
      </c>
      <c r="AA508" s="17"/>
      <c r="AB508" s="17"/>
    </row>
    <row r="509">
      <c r="A509" s="16">
        <f t="shared" si="2"/>
        <v>508</v>
      </c>
      <c r="B509" s="16" t="s">
        <v>1410</v>
      </c>
      <c r="C509" s="16">
        <v>6.0019762E7</v>
      </c>
      <c r="D509" s="16" t="s">
        <v>1411</v>
      </c>
      <c r="E509" s="16" t="s">
        <v>3106</v>
      </c>
      <c r="F509" s="16" t="s">
        <v>10</v>
      </c>
      <c r="G509" s="16" t="s">
        <v>3787</v>
      </c>
      <c r="H509" s="16" t="s">
        <v>12</v>
      </c>
      <c r="I509" s="16" t="s">
        <v>3788</v>
      </c>
      <c r="J509" s="16" t="s">
        <v>36</v>
      </c>
      <c r="K509" s="16" t="s">
        <v>214</v>
      </c>
      <c r="L509" s="154">
        <v>44848.0</v>
      </c>
      <c r="M509" s="16">
        <f t="shared" si="1"/>
        <v>4</v>
      </c>
      <c r="N509" s="16">
        <v>4.500000469E9</v>
      </c>
      <c r="O509" s="16" t="s">
        <v>3993</v>
      </c>
      <c r="Q509" s="152" t="s">
        <v>4318</v>
      </c>
      <c r="R509" s="17"/>
      <c r="S509" s="16" t="s">
        <v>3671</v>
      </c>
      <c r="T509" s="17"/>
      <c r="U509" s="16" t="s">
        <v>3171</v>
      </c>
      <c r="V509" s="17"/>
      <c r="W509" s="17"/>
      <c r="X509" s="17"/>
      <c r="Y509" s="16" t="s">
        <v>3171</v>
      </c>
      <c r="Z509" s="16" t="s">
        <v>3672</v>
      </c>
      <c r="AA509" s="17"/>
      <c r="AB509" s="17"/>
    </row>
    <row r="510">
      <c r="A510" s="16">
        <f t="shared" si="2"/>
        <v>509</v>
      </c>
      <c r="B510" s="16" t="s">
        <v>1412</v>
      </c>
      <c r="C510" s="16">
        <v>6.0019763E7</v>
      </c>
      <c r="D510" s="16" t="s">
        <v>1413</v>
      </c>
      <c r="E510" s="16" t="s">
        <v>3106</v>
      </c>
      <c r="F510" s="16" t="s">
        <v>10</v>
      </c>
      <c r="G510" s="16" t="s">
        <v>3787</v>
      </c>
      <c r="H510" s="16" t="s">
        <v>12</v>
      </c>
      <c r="I510" s="16" t="s">
        <v>3788</v>
      </c>
      <c r="J510" s="16" t="s">
        <v>36</v>
      </c>
      <c r="K510" s="16" t="s">
        <v>214</v>
      </c>
      <c r="L510" s="154">
        <v>44848.0</v>
      </c>
      <c r="M510" s="16">
        <f t="shared" si="1"/>
        <v>4</v>
      </c>
      <c r="N510" s="16">
        <v>4.500000469E9</v>
      </c>
      <c r="O510" s="16" t="s">
        <v>3906</v>
      </c>
      <c r="Q510" s="152" t="s">
        <v>4319</v>
      </c>
      <c r="R510" s="17"/>
      <c r="S510" s="16" t="s">
        <v>3671</v>
      </c>
      <c r="T510" s="17"/>
      <c r="U510" s="16" t="s">
        <v>3171</v>
      </c>
      <c r="V510" s="17"/>
      <c r="W510" s="17"/>
      <c r="X510" s="17"/>
      <c r="Y510" s="16" t="s">
        <v>3171</v>
      </c>
      <c r="Z510" s="16" t="s">
        <v>3672</v>
      </c>
      <c r="AA510" s="17"/>
      <c r="AB510" s="17"/>
    </row>
    <row r="511">
      <c r="A511" s="16">
        <f t="shared" si="2"/>
        <v>510</v>
      </c>
      <c r="B511" s="16" t="s">
        <v>1414</v>
      </c>
      <c r="C511" s="16">
        <v>6.0019764E7</v>
      </c>
      <c r="D511" s="16" t="s">
        <v>1415</v>
      </c>
      <c r="E511" s="16" t="s">
        <v>3106</v>
      </c>
      <c r="F511" s="16" t="s">
        <v>10</v>
      </c>
      <c r="G511" s="16" t="s">
        <v>3787</v>
      </c>
      <c r="H511" s="16" t="s">
        <v>12</v>
      </c>
      <c r="I511" s="16" t="s">
        <v>3788</v>
      </c>
      <c r="J511" s="16" t="s">
        <v>36</v>
      </c>
      <c r="K511" s="16" t="s">
        <v>214</v>
      </c>
      <c r="L511" s="154">
        <v>44848.0</v>
      </c>
      <c r="M511" s="16">
        <f t="shared" si="1"/>
        <v>4</v>
      </c>
      <c r="N511" s="16">
        <v>4.500000469E9</v>
      </c>
      <c r="O511" s="17"/>
      <c r="Q511" s="152" t="s">
        <v>4320</v>
      </c>
      <c r="R511" s="17"/>
      <c r="S511" s="16" t="s">
        <v>3671</v>
      </c>
      <c r="T511" s="17"/>
      <c r="U511" s="16" t="s">
        <v>3171</v>
      </c>
      <c r="V511" s="17"/>
      <c r="W511" s="17"/>
      <c r="X511" s="17"/>
      <c r="Y511" s="16" t="s">
        <v>3171</v>
      </c>
      <c r="Z511" s="16" t="s">
        <v>3672</v>
      </c>
      <c r="AA511" s="17"/>
      <c r="AB511" s="17"/>
    </row>
    <row r="512">
      <c r="A512" s="16">
        <f t="shared" si="2"/>
        <v>511</v>
      </c>
      <c r="B512" s="16" t="s">
        <v>1416</v>
      </c>
      <c r="C512" s="16">
        <v>6.0019765E7</v>
      </c>
      <c r="D512" s="16" t="s">
        <v>1417</v>
      </c>
      <c r="E512" s="16" t="s">
        <v>3106</v>
      </c>
      <c r="F512" s="16" t="s">
        <v>10</v>
      </c>
      <c r="G512" s="16" t="s">
        <v>3787</v>
      </c>
      <c r="H512" s="16" t="s">
        <v>12</v>
      </c>
      <c r="I512" s="16" t="s">
        <v>3788</v>
      </c>
      <c r="J512" s="16" t="s">
        <v>36</v>
      </c>
      <c r="K512" s="16" t="s">
        <v>214</v>
      </c>
      <c r="L512" s="154">
        <v>44848.0</v>
      </c>
      <c r="M512" s="16">
        <f t="shared" si="1"/>
        <v>4</v>
      </c>
      <c r="N512" s="16">
        <v>4.500000469E9</v>
      </c>
      <c r="O512" s="17"/>
      <c r="Q512" s="152" t="s">
        <v>4321</v>
      </c>
      <c r="R512" s="17"/>
      <c r="S512" s="16" t="s">
        <v>3671</v>
      </c>
      <c r="T512" s="17"/>
      <c r="U512" s="16" t="s">
        <v>3171</v>
      </c>
      <c r="V512" s="17"/>
      <c r="W512" s="17"/>
      <c r="X512" s="17"/>
      <c r="Y512" s="16" t="s">
        <v>3171</v>
      </c>
      <c r="Z512" s="16" t="s">
        <v>3672</v>
      </c>
      <c r="AA512" s="17"/>
      <c r="AB512" s="17"/>
    </row>
    <row r="513">
      <c r="A513" s="16">
        <f t="shared" si="2"/>
        <v>512</v>
      </c>
      <c r="B513" s="16" t="s">
        <v>1418</v>
      </c>
      <c r="C513" s="16">
        <v>6.0019771E7</v>
      </c>
      <c r="D513" s="16" t="s">
        <v>1419</v>
      </c>
      <c r="E513" s="16" t="s">
        <v>3106</v>
      </c>
      <c r="F513" s="16" t="s">
        <v>10</v>
      </c>
      <c r="G513" s="16" t="s">
        <v>3787</v>
      </c>
      <c r="H513" s="16" t="s">
        <v>12</v>
      </c>
      <c r="I513" s="16" t="s">
        <v>3788</v>
      </c>
      <c r="J513" s="16" t="s">
        <v>36</v>
      </c>
      <c r="K513" s="16" t="s">
        <v>214</v>
      </c>
      <c r="L513" s="154">
        <v>44848.0</v>
      </c>
      <c r="M513" s="16">
        <f t="shared" si="1"/>
        <v>4</v>
      </c>
      <c r="N513" s="16">
        <v>4.500000469E9</v>
      </c>
      <c r="O513" s="17"/>
      <c r="Q513" s="152" t="s">
        <v>4322</v>
      </c>
      <c r="R513" s="17"/>
      <c r="S513" s="16" t="s">
        <v>3671</v>
      </c>
      <c r="T513" s="17"/>
      <c r="U513" s="16" t="s">
        <v>4323</v>
      </c>
      <c r="V513" s="16" t="s">
        <v>4237</v>
      </c>
      <c r="W513" s="17"/>
      <c r="X513" s="17"/>
      <c r="Y513" s="16" t="s">
        <v>4323</v>
      </c>
      <c r="Z513" s="16" t="s">
        <v>4237</v>
      </c>
      <c r="AA513" s="17"/>
      <c r="AB513" s="17"/>
    </row>
    <row r="514">
      <c r="A514" s="16">
        <f t="shared" si="2"/>
        <v>513</v>
      </c>
      <c r="B514" s="16" t="s">
        <v>1420</v>
      </c>
      <c r="C514" s="16" t="s">
        <v>1421</v>
      </c>
      <c r="D514" s="16" t="s">
        <v>1422</v>
      </c>
      <c r="E514" s="16" t="s">
        <v>3106</v>
      </c>
      <c r="F514" s="16" t="s">
        <v>10</v>
      </c>
      <c r="G514" s="16" t="s">
        <v>3682</v>
      </c>
      <c r="H514" s="16" t="s">
        <v>12</v>
      </c>
      <c r="I514" s="17"/>
      <c r="J514" s="16" t="s">
        <v>36</v>
      </c>
      <c r="K514" s="16" t="s">
        <v>40</v>
      </c>
      <c r="L514" s="154">
        <v>43156.0</v>
      </c>
      <c r="M514" s="16">
        <f t="shared" si="1"/>
        <v>8</v>
      </c>
      <c r="N514" s="17"/>
      <c r="O514" s="16" t="s">
        <v>4165</v>
      </c>
      <c r="Q514" s="152" t="s">
        <v>4324</v>
      </c>
      <c r="R514" s="17"/>
      <c r="S514" s="16" t="s">
        <v>3671</v>
      </c>
      <c r="T514" s="17"/>
      <c r="U514" s="16" t="s">
        <v>3141</v>
      </c>
      <c r="V514" s="16" t="s">
        <v>3681</v>
      </c>
      <c r="W514" s="17"/>
      <c r="X514" s="17"/>
      <c r="Y514" s="16" t="s">
        <v>3141</v>
      </c>
      <c r="Z514" s="16" t="s">
        <v>3681</v>
      </c>
      <c r="AA514" s="17"/>
      <c r="AB514" s="16" t="s">
        <v>3987</v>
      </c>
    </row>
    <row r="515">
      <c r="A515" s="16">
        <f t="shared" si="2"/>
        <v>514</v>
      </c>
      <c r="B515" s="16" t="s">
        <v>1423</v>
      </c>
      <c r="C515" s="16" t="s">
        <v>1424</v>
      </c>
      <c r="D515" s="16" t="s">
        <v>1425</v>
      </c>
      <c r="E515" s="16" t="s">
        <v>3106</v>
      </c>
      <c r="F515" s="16" t="s">
        <v>10</v>
      </c>
      <c r="G515" s="16" t="s">
        <v>3669</v>
      </c>
      <c r="H515" s="16" t="s">
        <v>12</v>
      </c>
      <c r="I515" s="17"/>
      <c r="J515" s="16" t="s">
        <v>13</v>
      </c>
      <c r="K515" s="16" t="s">
        <v>11</v>
      </c>
      <c r="L515" s="154">
        <v>44182.0</v>
      </c>
      <c r="M515" s="16">
        <f t="shared" si="1"/>
        <v>6</v>
      </c>
      <c r="N515" s="16">
        <v>5.0003664E7</v>
      </c>
      <c r="O515" s="16" t="s">
        <v>3992</v>
      </c>
      <c r="Q515" s="152" t="s">
        <v>4325</v>
      </c>
      <c r="R515" s="122">
        <v>45962.0</v>
      </c>
      <c r="S515" s="16" t="s">
        <v>3671</v>
      </c>
      <c r="T515" s="17"/>
      <c r="U515" s="16" t="s">
        <v>3283</v>
      </c>
      <c r="V515" s="16" t="s">
        <v>3672</v>
      </c>
      <c r="W515" s="17"/>
      <c r="X515" s="17"/>
      <c r="Y515" s="16" t="s">
        <v>3283</v>
      </c>
      <c r="Z515" s="16" t="s">
        <v>3672</v>
      </c>
      <c r="AA515" s="17"/>
      <c r="AB515" s="17"/>
    </row>
    <row r="516">
      <c r="A516" s="16">
        <f t="shared" si="2"/>
        <v>515</v>
      </c>
      <c r="B516" s="16" t="s">
        <v>1426</v>
      </c>
      <c r="C516" s="16" t="s">
        <v>1427</v>
      </c>
      <c r="D516" s="16" t="s">
        <v>1428</v>
      </c>
      <c r="E516" s="16" t="s">
        <v>3106</v>
      </c>
      <c r="F516" s="16" t="s">
        <v>10</v>
      </c>
      <c r="G516" s="16" t="s">
        <v>3678</v>
      </c>
      <c r="H516" s="16" t="s">
        <v>17</v>
      </c>
      <c r="I516" s="17"/>
      <c r="J516" s="16" t="s">
        <v>36</v>
      </c>
      <c r="K516" s="16" t="s">
        <v>35</v>
      </c>
      <c r="L516" s="154">
        <v>43153.0</v>
      </c>
      <c r="M516" s="16">
        <f t="shared" si="1"/>
        <v>8</v>
      </c>
      <c r="N516" s="17"/>
      <c r="O516" s="16" t="s">
        <v>4326</v>
      </c>
      <c r="Q516" s="152" t="s">
        <v>4327</v>
      </c>
      <c r="R516" s="115">
        <v>45104.0</v>
      </c>
      <c r="S516" s="16" t="s">
        <v>3671</v>
      </c>
      <c r="T516" s="17"/>
      <c r="U516" s="16" t="s">
        <v>3141</v>
      </c>
      <c r="V516" s="16" t="s">
        <v>3681</v>
      </c>
      <c r="W516" s="17"/>
      <c r="X516" s="17"/>
      <c r="Y516" s="16" t="s">
        <v>3141</v>
      </c>
      <c r="Z516" s="16" t="s">
        <v>3681</v>
      </c>
      <c r="AA516" s="17"/>
      <c r="AB516" s="17"/>
    </row>
    <row r="517">
      <c r="A517" s="16">
        <f t="shared" si="2"/>
        <v>516</v>
      </c>
      <c r="B517" s="16" t="s">
        <v>1429</v>
      </c>
      <c r="C517" s="16" t="s">
        <v>1430</v>
      </c>
      <c r="D517" s="16" t="s">
        <v>1431</v>
      </c>
      <c r="E517" s="16" t="s">
        <v>3106</v>
      </c>
      <c r="F517" s="16" t="s">
        <v>10</v>
      </c>
      <c r="G517" s="16" t="s">
        <v>3678</v>
      </c>
      <c r="H517" s="16" t="s">
        <v>12</v>
      </c>
      <c r="I517" s="17"/>
      <c r="J517" s="16" t="s">
        <v>36</v>
      </c>
      <c r="K517" s="16" t="s">
        <v>35</v>
      </c>
      <c r="L517" s="154">
        <v>43167.0</v>
      </c>
      <c r="M517" s="16">
        <f t="shared" si="1"/>
        <v>8</v>
      </c>
      <c r="N517" s="17"/>
      <c r="O517" s="16" t="s">
        <v>3772</v>
      </c>
      <c r="Q517" s="152" t="s">
        <v>4328</v>
      </c>
      <c r="R517" s="17"/>
      <c r="S517" s="16" t="s">
        <v>3671</v>
      </c>
      <c r="T517" s="17"/>
      <c r="U517" s="16" t="s">
        <v>3989</v>
      </c>
      <c r="V517" s="17"/>
      <c r="W517" s="17"/>
      <c r="X517" s="17"/>
      <c r="Y517" s="16" t="s">
        <v>3989</v>
      </c>
      <c r="Z517" s="16" t="s">
        <v>3760</v>
      </c>
      <c r="AA517" s="17"/>
      <c r="AB517" s="17"/>
    </row>
    <row r="518">
      <c r="A518" s="16">
        <f t="shared" si="2"/>
        <v>517</v>
      </c>
      <c r="B518" s="16" t="s">
        <v>1432</v>
      </c>
      <c r="C518" s="16" t="s">
        <v>1433</v>
      </c>
      <c r="D518" s="16" t="s">
        <v>1434</v>
      </c>
      <c r="E518" s="16" t="s">
        <v>3106</v>
      </c>
      <c r="F518" s="16" t="s">
        <v>10</v>
      </c>
      <c r="G518" s="16" t="s">
        <v>3678</v>
      </c>
      <c r="H518" s="16" t="s">
        <v>12</v>
      </c>
      <c r="I518" s="17"/>
      <c r="J518" s="16" t="s">
        <v>36</v>
      </c>
      <c r="K518" s="16" t="s">
        <v>35</v>
      </c>
      <c r="L518" s="154">
        <v>43167.0</v>
      </c>
      <c r="M518" s="16">
        <f t="shared" si="1"/>
        <v>8</v>
      </c>
      <c r="N518" s="17"/>
      <c r="O518" s="16" t="s">
        <v>3797</v>
      </c>
      <c r="Q518" s="152" t="s">
        <v>4329</v>
      </c>
      <c r="R518" s="17"/>
      <c r="S518" s="16" t="s">
        <v>3671</v>
      </c>
      <c r="T518" s="17"/>
      <c r="U518" s="16" t="s">
        <v>3989</v>
      </c>
      <c r="V518" s="17"/>
      <c r="W518" s="17"/>
      <c r="X518" s="17"/>
      <c r="Y518" s="16" t="s">
        <v>3989</v>
      </c>
      <c r="Z518" s="16" t="s">
        <v>3760</v>
      </c>
      <c r="AA518" s="17"/>
      <c r="AB518" s="17"/>
    </row>
    <row r="519">
      <c r="A519" s="16">
        <f t="shared" si="2"/>
        <v>518</v>
      </c>
      <c r="B519" s="16" t="s">
        <v>1435</v>
      </c>
      <c r="C519" s="16" t="s">
        <v>1436</v>
      </c>
      <c r="D519" s="16" t="s">
        <v>1437</v>
      </c>
      <c r="E519" s="16" t="s">
        <v>3106</v>
      </c>
      <c r="F519" s="16" t="s">
        <v>10</v>
      </c>
      <c r="G519" s="16" t="s">
        <v>3678</v>
      </c>
      <c r="H519" s="16" t="s">
        <v>12</v>
      </c>
      <c r="I519" s="17"/>
      <c r="J519" s="16" t="s">
        <v>36</v>
      </c>
      <c r="K519" s="16" t="s">
        <v>35</v>
      </c>
      <c r="L519" s="154">
        <v>43173.0</v>
      </c>
      <c r="M519" s="16">
        <f t="shared" si="1"/>
        <v>8</v>
      </c>
      <c r="N519" s="17"/>
      <c r="O519" s="16" t="s">
        <v>3822</v>
      </c>
      <c r="Q519" s="152" t="s">
        <v>4330</v>
      </c>
      <c r="R519" s="17"/>
      <c r="S519" s="16" t="s">
        <v>3671</v>
      </c>
      <c r="T519" s="17"/>
      <c r="U519" s="16" t="s">
        <v>3989</v>
      </c>
      <c r="V519" s="17"/>
      <c r="W519" s="17"/>
      <c r="X519" s="17"/>
      <c r="Y519" s="16" t="s">
        <v>3989</v>
      </c>
      <c r="Z519" s="16" t="s">
        <v>3760</v>
      </c>
      <c r="AA519" s="17"/>
      <c r="AB519" s="17"/>
    </row>
    <row r="520">
      <c r="A520" s="16">
        <f t="shared" si="2"/>
        <v>519</v>
      </c>
      <c r="B520" s="16" t="s">
        <v>1438</v>
      </c>
      <c r="C520" s="16" t="s">
        <v>1439</v>
      </c>
      <c r="D520" s="16" t="s">
        <v>1440</v>
      </c>
      <c r="E520" s="16" t="s">
        <v>3106</v>
      </c>
      <c r="F520" s="16" t="s">
        <v>10</v>
      </c>
      <c r="G520" s="16" t="s">
        <v>3678</v>
      </c>
      <c r="H520" s="16" t="s">
        <v>12</v>
      </c>
      <c r="I520" s="17"/>
      <c r="J520" s="16" t="s">
        <v>36</v>
      </c>
      <c r="K520" s="16" t="s">
        <v>35</v>
      </c>
      <c r="L520" s="154">
        <v>43153.0</v>
      </c>
      <c r="M520" s="16">
        <f t="shared" si="1"/>
        <v>8</v>
      </c>
      <c r="N520" s="17"/>
      <c r="O520" s="16" t="s">
        <v>3805</v>
      </c>
      <c r="Q520" s="152" t="s">
        <v>3858</v>
      </c>
      <c r="R520" s="115">
        <v>45088.0</v>
      </c>
      <c r="S520" s="16" t="s">
        <v>3671</v>
      </c>
      <c r="T520" s="17"/>
      <c r="U520" s="16" t="s">
        <v>2999</v>
      </c>
      <c r="V520" s="16" t="s">
        <v>3729</v>
      </c>
      <c r="W520" s="17"/>
      <c r="X520" s="17"/>
      <c r="Y520" s="16" t="s">
        <v>3988</v>
      </c>
      <c r="Z520" s="16" t="s">
        <v>3729</v>
      </c>
      <c r="AA520" s="17"/>
      <c r="AB520" s="17"/>
    </row>
    <row r="521">
      <c r="A521" s="16">
        <f t="shared" si="2"/>
        <v>520</v>
      </c>
      <c r="B521" s="16" t="s">
        <v>1441</v>
      </c>
      <c r="C521" s="16" t="s">
        <v>1442</v>
      </c>
      <c r="D521" s="16" t="s">
        <v>1443</v>
      </c>
      <c r="E521" s="16" t="s">
        <v>3106</v>
      </c>
      <c r="F521" s="16" t="s">
        <v>10</v>
      </c>
      <c r="G521" s="16" t="s">
        <v>3678</v>
      </c>
      <c r="H521" s="16" t="s">
        <v>12</v>
      </c>
      <c r="I521" s="17"/>
      <c r="J521" s="16" t="s">
        <v>36</v>
      </c>
      <c r="K521" s="16" t="s">
        <v>35</v>
      </c>
      <c r="L521" s="154">
        <v>43321.0</v>
      </c>
      <c r="M521" s="16">
        <f t="shared" si="1"/>
        <v>8</v>
      </c>
      <c r="N521" s="17"/>
      <c r="O521" s="16" t="s">
        <v>3807</v>
      </c>
      <c r="Q521" s="152" t="s">
        <v>3891</v>
      </c>
      <c r="R521" s="17"/>
      <c r="S521" s="16" t="s">
        <v>3671</v>
      </c>
      <c r="T521" s="17"/>
      <c r="U521" s="16" t="s">
        <v>2999</v>
      </c>
      <c r="V521" s="16" t="s">
        <v>3729</v>
      </c>
      <c r="W521" s="17"/>
      <c r="X521" s="17"/>
      <c r="Y521" s="16" t="s">
        <v>3988</v>
      </c>
      <c r="Z521" s="16" t="s">
        <v>3729</v>
      </c>
      <c r="AA521" s="17"/>
      <c r="AB521" s="17"/>
    </row>
    <row r="522">
      <c r="A522" s="16">
        <f t="shared" si="2"/>
        <v>521</v>
      </c>
      <c r="B522" s="16" t="s">
        <v>1444</v>
      </c>
      <c r="C522" s="16" t="s">
        <v>1445</v>
      </c>
      <c r="D522" s="16" t="s">
        <v>1446</v>
      </c>
      <c r="E522" s="16" t="s">
        <v>3106</v>
      </c>
      <c r="F522" s="16" t="s">
        <v>10</v>
      </c>
      <c r="G522" s="16" t="s">
        <v>3678</v>
      </c>
      <c r="H522" s="16" t="s">
        <v>12</v>
      </c>
      <c r="I522" s="17"/>
      <c r="J522" s="16" t="s">
        <v>36</v>
      </c>
      <c r="K522" s="16" t="s">
        <v>35</v>
      </c>
      <c r="L522" s="154">
        <v>43325.0</v>
      </c>
      <c r="M522" s="16">
        <f t="shared" si="1"/>
        <v>8</v>
      </c>
      <c r="N522" s="17"/>
      <c r="O522" s="16" t="s">
        <v>3809</v>
      </c>
      <c r="Q522" s="152" t="s">
        <v>3893</v>
      </c>
      <c r="R522" s="17"/>
      <c r="S522" s="16" t="s">
        <v>3671</v>
      </c>
      <c r="T522" s="17"/>
      <c r="U522" s="16" t="s">
        <v>2999</v>
      </c>
      <c r="V522" s="16" t="s">
        <v>3729</v>
      </c>
      <c r="W522" s="17"/>
      <c r="X522" s="17"/>
      <c r="Y522" s="16" t="s">
        <v>3988</v>
      </c>
      <c r="Z522" s="16" t="s">
        <v>3729</v>
      </c>
      <c r="AA522" s="17"/>
      <c r="AB522" s="17"/>
    </row>
    <row r="523">
      <c r="A523" s="16">
        <f t="shared" si="2"/>
        <v>522</v>
      </c>
      <c r="B523" s="16" t="s">
        <v>1447</v>
      </c>
      <c r="C523" s="16" t="s">
        <v>1448</v>
      </c>
      <c r="D523" s="16" t="s">
        <v>1449</v>
      </c>
      <c r="E523" s="16" t="s">
        <v>3106</v>
      </c>
      <c r="F523" s="16" t="s">
        <v>10</v>
      </c>
      <c r="G523" s="16" t="s">
        <v>3678</v>
      </c>
      <c r="H523" s="16" t="s">
        <v>12</v>
      </c>
      <c r="I523" s="17"/>
      <c r="J523" s="16" t="s">
        <v>36</v>
      </c>
      <c r="K523" s="16" t="s">
        <v>35</v>
      </c>
      <c r="L523" s="154">
        <v>43361.0</v>
      </c>
      <c r="M523" s="16">
        <f t="shared" si="1"/>
        <v>8</v>
      </c>
      <c r="N523" s="17"/>
      <c r="O523" s="16" t="s">
        <v>3792</v>
      </c>
      <c r="Q523" s="152" t="s">
        <v>3895</v>
      </c>
      <c r="R523" s="17"/>
      <c r="S523" s="16" t="s">
        <v>3671</v>
      </c>
      <c r="T523" s="17"/>
      <c r="U523" s="16" t="s">
        <v>2999</v>
      </c>
      <c r="V523" s="16" t="s">
        <v>3729</v>
      </c>
      <c r="W523" s="17"/>
      <c r="X523" s="17"/>
      <c r="Y523" s="16" t="s">
        <v>3988</v>
      </c>
      <c r="Z523" s="16" t="s">
        <v>3729</v>
      </c>
      <c r="AA523" s="17"/>
      <c r="AB523" s="17"/>
    </row>
    <row r="524">
      <c r="A524" s="16">
        <f t="shared" si="2"/>
        <v>523</v>
      </c>
      <c r="B524" s="16" t="s">
        <v>1450</v>
      </c>
      <c r="C524" s="16" t="s">
        <v>1451</v>
      </c>
      <c r="D524" s="16" t="s">
        <v>1452</v>
      </c>
      <c r="E524" s="16" t="s">
        <v>3106</v>
      </c>
      <c r="F524" s="16" t="s">
        <v>10</v>
      </c>
      <c r="G524" s="16" t="s">
        <v>3678</v>
      </c>
      <c r="H524" s="16" t="s">
        <v>12</v>
      </c>
      <c r="I524" s="17"/>
      <c r="J524" s="16" t="s">
        <v>36</v>
      </c>
      <c r="K524" s="16" t="s">
        <v>35</v>
      </c>
      <c r="L524" s="154">
        <v>43557.0</v>
      </c>
      <c r="M524" s="16">
        <f t="shared" si="1"/>
        <v>7</v>
      </c>
      <c r="N524" s="17"/>
      <c r="O524" s="16" t="s">
        <v>4331</v>
      </c>
      <c r="Q524" s="152" t="s">
        <v>4332</v>
      </c>
      <c r="R524" s="17"/>
      <c r="S524" s="16" t="s">
        <v>3671</v>
      </c>
      <c r="T524" s="17"/>
      <c r="U524" s="16" t="s">
        <v>2999</v>
      </c>
      <c r="V524" s="16" t="s">
        <v>3729</v>
      </c>
      <c r="W524" s="17"/>
      <c r="X524" s="17"/>
      <c r="Y524" s="16" t="s">
        <v>3988</v>
      </c>
      <c r="Z524" s="16" t="s">
        <v>3729</v>
      </c>
      <c r="AA524" s="17"/>
      <c r="AB524" s="17"/>
    </row>
    <row r="525">
      <c r="A525" s="16">
        <f t="shared" si="2"/>
        <v>524</v>
      </c>
      <c r="B525" s="16" t="s">
        <v>1453</v>
      </c>
      <c r="C525" s="16" t="s">
        <v>1454</v>
      </c>
      <c r="D525" s="16" t="s">
        <v>1455</v>
      </c>
      <c r="E525" s="16" t="s">
        <v>3106</v>
      </c>
      <c r="F525" s="16" t="s">
        <v>10</v>
      </c>
      <c r="G525" s="16" t="s">
        <v>3678</v>
      </c>
      <c r="H525" s="16" t="s">
        <v>12</v>
      </c>
      <c r="I525" s="17"/>
      <c r="J525" s="16" t="s">
        <v>36</v>
      </c>
      <c r="K525" s="16" t="s">
        <v>35</v>
      </c>
      <c r="L525" s="154">
        <v>43633.0</v>
      </c>
      <c r="M525" s="16">
        <f t="shared" si="1"/>
        <v>7</v>
      </c>
      <c r="N525" s="17"/>
      <c r="O525" s="16" t="s">
        <v>4331</v>
      </c>
      <c r="Q525" s="152" t="s">
        <v>4333</v>
      </c>
      <c r="R525" s="17"/>
      <c r="S525" s="16" t="s">
        <v>3671</v>
      </c>
      <c r="T525" s="17"/>
      <c r="U525" s="16" t="s">
        <v>2999</v>
      </c>
      <c r="V525" s="16" t="s">
        <v>3729</v>
      </c>
      <c r="W525" s="17"/>
      <c r="X525" s="17"/>
      <c r="Y525" s="16" t="s">
        <v>3988</v>
      </c>
      <c r="Z525" s="16" t="s">
        <v>3729</v>
      </c>
      <c r="AA525" s="17"/>
      <c r="AB525" s="17"/>
    </row>
    <row r="526">
      <c r="A526" s="16">
        <f t="shared" si="2"/>
        <v>525</v>
      </c>
      <c r="B526" s="16" t="s">
        <v>1456</v>
      </c>
      <c r="C526" s="16" t="s">
        <v>1457</v>
      </c>
      <c r="D526" s="16" t="s">
        <v>1458</v>
      </c>
      <c r="E526" s="16" t="s">
        <v>3106</v>
      </c>
      <c r="F526" s="16" t="s">
        <v>10</v>
      </c>
      <c r="G526" s="16" t="s">
        <v>4049</v>
      </c>
      <c r="H526" s="16" t="s">
        <v>12</v>
      </c>
      <c r="I526" s="17"/>
      <c r="J526" s="16" t="s">
        <v>36</v>
      </c>
      <c r="K526" s="16" t="s">
        <v>756</v>
      </c>
      <c r="L526" s="154">
        <v>43951.0</v>
      </c>
      <c r="M526" s="16">
        <f t="shared" si="1"/>
        <v>6</v>
      </c>
      <c r="N526" s="17"/>
      <c r="O526" s="16" t="s">
        <v>2557</v>
      </c>
      <c r="Q526" s="152" t="s">
        <v>4334</v>
      </c>
      <c r="R526" s="115">
        <v>45094.0</v>
      </c>
      <c r="S526" s="16" t="s">
        <v>3671</v>
      </c>
      <c r="T526" s="17"/>
      <c r="U526" s="16" t="s">
        <v>2943</v>
      </c>
      <c r="V526" s="16" t="s">
        <v>3681</v>
      </c>
      <c r="W526" s="17"/>
      <c r="X526" s="17"/>
      <c r="Y526" s="16" t="s">
        <v>2943</v>
      </c>
      <c r="Z526" s="16" t="s">
        <v>3681</v>
      </c>
      <c r="AA526" s="17"/>
      <c r="AB526" s="17"/>
    </row>
    <row r="527">
      <c r="A527" s="16">
        <f t="shared" si="2"/>
        <v>526</v>
      </c>
      <c r="B527" s="16" t="s">
        <v>1459</v>
      </c>
      <c r="C527" s="16" t="s">
        <v>1460</v>
      </c>
      <c r="D527" s="16" t="s">
        <v>1461</v>
      </c>
      <c r="E527" s="16" t="s">
        <v>3106</v>
      </c>
      <c r="F527" s="16" t="s">
        <v>10</v>
      </c>
      <c r="G527" s="16" t="s">
        <v>4049</v>
      </c>
      <c r="H527" s="16" t="s">
        <v>12</v>
      </c>
      <c r="I527" s="17"/>
      <c r="J527" s="16" t="s">
        <v>36</v>
      </c>
      <c r="K527" s="16" t="s">
        <v>756</v>
      </c>
      <c r="L527" s="154">
        <v>43951.0</v>
      </c>
      <c r="M527" s="16">
        <f t="shared" si="1"/>
        <v>6</v>
      </c>
      <c r="N527" s="17"/>
      <c r="O527" s="16" t="s">
        <v>2557</v>
      </c>
      <c r="Q527" s="152" t="s">
        <v>4335</v>
      </c>
      <c r="R527" s="115">
        <v>45094.0</v>
      </c>
      <c r="S527" s="16" t="s">
        <v>3671</v>
      </c>
      <c r="T527" s="17"/>
      <c r="U527" s="16" t="s">
        <v>4336</v>
      </c>
      <c r="V527" s="16" t="s">
        <v>3681</v>
      </c>
      <c r="W527" s="17"/>
      <c r="X527" s="17"/>
      <c r="Y527" s="119" t="s">
        <v>4336</v>
      </c>
      <c r="Z527" s="16" t="s">
        <v>3681</v>
      </c>
      <c r="AA527" s="17"/>
      <c r="AB527" s="17"/>
    </row>
    <row r="528">
      <c r="A528" s="16">
        <f t="shared" si="2"/>
        <v>527</v>
      </c>
      <c r="B528" s="16" t="s">
        <v>1462</v>
      </c>
      <c r="C528" s="16" t="s">
        <v>1463</v>
      </c>
      <c r="D528" s="16" t="s">
        <v>1464</v>
      </c>
      <c r="E528" s="16" t="s">
        <v>3106</v>
      </c>
      <c r="F528" s="16" t="s">
        <v>10</v>
      </c>
      <c r="G528" s="16" t="s">
        <v>4049</v>
      </c>
      <c r="H528" s="16" t="s">
        <v>12</v>
      </c>
      <c r="I528" s="17"/>
      <c r="J528" s="16" t="s">
        <v>36</v>
      </c>
      <c r="K528" s="16" t="s">
        <v>756</v>
      </c>
      <c r="L528" s="154">
        <v>43951.0</v>
      </c>
      <c r="M528" s="16">
        <f t="shared" si="1"/>
        <v>6</v>
      </c>
      <c r="N528" s="17"/>
      <c r="O528" s="16" t="s">
        <v>2557</v>
      </c>
      <c r="Q528" s="152" t="s">
        <v>4337</v>
      </c>
      <c r="R528" s="115">
        <v>45094.0</v>
      </c>
      <c r="S528" s="16" t="s">
        <v>3671</v>
      </c>
      <c r="T528" s="17"/>
      <c r="U528" s="16" t="s">
        <v>4336</v>
      </c>
      <c r="V528" s="16" t="s">
        <v>3681</v>
      </c>
      <c r="W528" s="17"/>
      <c r="X528" s="17"/>
      <c r="Y528" s="119" t="s">
        <v>4336</v>
      </c>
      <c r="Z528" s="16" t="s">
        <v>3681</v>
      </c>
      <c r="AA528" s="17"/>
      <c r="AB528" s="17"/>
    </row>
    <row r="529">
      <c r="A529" s="16">
        <f t="shared" si="2"/>
        <v>528</v>
      </c>
      <c r="B529" s="16" t="s">
        <v>1465</v>
      </c>
      <c r="C529" s="16" t="s">
        <v>1466</v>
      </c>
      <c r="D529" s="16" t="s">
        <v>1467</v>
      </c>
      <c r="E529" s="16" t="s">
        <v>3106</v>
      </c>
      <c r="F529" s="16" t="s">
        <v>10</v>
      </c>
      <c r="G529" s="16" t="s">
        <v>4049</v>
      </c>
      <c r="H529" s="16" t="s">
        <v>12</v>
      </c>
      <c r="I529" s="17"/>
      <c r="J529" s="16" t="s">
        <v>36</v>
      </c>
      <c r="K529" s="16" t="s">
        <v>756</v>
      </c>
      <c r="L529" s="154">
        <v>43951.0</v>
      </c>
      <c r="M529" s="16">
        <f t="shared" si="1"/>
        <v>6</v>
      </c>
      <c r="N529" s="17"/>
      <c r="O529" s="16" t="s">
        <v>2557</v>
      </c>
      <c r="Q529" s="152" t="s">
        <v>4338</v>
      </c>
      <c r="R529" s="115">
        <v>45094.0</v>
      </c>
      <c r="S529" s="16" t="s">
        <v>3671</v>
      </c>
      <c r="T529" s="17"/>
      <c r="U529" s="16" t="s">
        <v>4336</v>
      </c>
      <c r="V529" s="16" t="s">
        <v>3681</v>
      </c>
      <c r="W529" s="17"/>
      <c r="X529" s="17"/>
      <c r="Y529" s="119" t="s">
        <v>4336</v>
      </c>
      <c r="Z529" s="16" t="s">
        <v>3681</v>
      </c>
      <c r="AA529" s="17"/>
      <c r="AB529" s="17"/>
    </row>
    <row r="530">
      <c r="A530" s="16">
        <f t="shared" si="2"/>
        <v>529</v>
      </c>
      <c r="B530" s="16" t="s">
        <v>1468</v>
      </c>
      <c r="C530" s="16" t="s">
        <v>1469</v>
      </c>
      <c r="D530" s="16" t="s">
        <v>1470</v>
      </c>
      <c r="E530" s="16" t="s">
        <v>3106</v>
      </c>
      <c r="F530" s="16" t="s">
        <v>10</v>
      </c>
      <c r="G530" s="16" t="s">
        <v>4049</v>
      </c>
      <c r="H530" s="16" t="s">
        <v>12</v>
      </c>
      <c r="I530" s="17"/>
      <c r="J530" s="16" t="s">
        <v>36</v>
      </c>
      <c r="K530" s="16" t="s">
        <v>756</v>
      </c>
      <c r="L530" s="154">
        <v>43951.0</v>
      </c>
      <c r="M530" s="16">
        <f t="shared" si="1"/>
        <v>6</v>
      </c>
      <c r="N530" s="17"/>
      <c r="O530" s="16" t="s">
        <v>2557</v>
      </c>
      <c r="Q530" s="152" t="s">
        <v>4339</v>
      </c>
      <c r="R530" s="115">
        <v>45094.0</v>
      </c>
      <c r="S530" s="16" t="s">
        <v>3671</v>
      </c>
      <c r="T530" s="17"/>
      <c r="U530" s="16" t="s">
        <v>2943</v>
      </c>
      <c r="V530" s="16" t="s">
        <v>3681</v>
      </c>
      <c r="W530" s="17"/>
      <c r="X530" s="17"/>
      <c r="Y530" s="16" t="s">
        <v>2943</v>
      </c>
      <c r="Z530" s="16" t="s">
        <v>3681</v>
      </c>
      <c r="AA530" s="17"/>
      <c r="AB530" s="17"/>
    </row>
    <row r="531">
      <c r="A531" s="16">
        <f t="shared" si="2"/>
        <v>530</v>
      </c>
      <c r="B531" s="16" t="s">
        <v>1471</v>
      </c>
      <c r="C531" s="16" t="s">
        <v>1472</v>
      </c>
      <c r="D531" s="16" t="s">
        <v>1473</v>
      </c>
      <c r="E531" s="16" t="s">
        <v>3106</v>
      </c>
      <c r="F531" s="16" t="s">
        <v>10</v>
      </c>
      <c r="G531" s="16" t="s">
        <v>4049</v>
      </c>
      <c r="H531" s="16" t="s">
        <v>12</v>
      </c>
      <c r="I531" s="17"/>
      <c r="J531" s="16" t="s">
        <v>36</v>
      </c>
      <c r="K531" s="16" t="s">
        <v>756</v>
      </c>
      <c r="L531" s="154">
        <v>43951.0</v>
      </c>
      <c r="M531" s="16">
        <f t="shared" si="1"/>
        <v>6</v>
      </c>
      <c r="N531" s="16">
        <v>5.0003441E7</v>
      </c>
      <c r="O531" s="16" t="s">
        <v>3542</v>
      </c>
      <c r="Q531" s="152" t="s">
        <v>4340</v>
      </c>
      <c r="R531" s="115">
        <v>45096.0</v>
      </c>
      <c r="S531" s="16" t="s">
        <v>3671</v>
      </c>
      <c r="T531" s="17"/>
      <c r="U531" s="16" t="s">
        <v>4336</v>
      </c>
      <c r="V531" s="16" t="s">
        <v>3681</v>
      </c>
      <c r="W531" s="17"/>
      <c r="X531" s="17"/>
      <c r="Y531" s="119" t="s">
        <v>4336</v>
      </c>
      <c r="Z531" s="16" t="s">
        <v>3681</v>
      </c>
      <c r="AA531" s="17"/>
      <c r="AB531" s="17"/>
    </row>
    <row r="532">
      <c r="A532" s="16">
        <f t="shared" si="2"/>
        <v>531</v>
      </c>
      <c r="B532" s="17"/>
      <c r="C532" s="16" t="s">
        <v>1474</v>
      </c>
      <c r="D532" s="16" t="s">
        <v>1475</v>
      </c>
      <c r="E532" s="16" t="s">
        <v>3106</v>
      </c>
      <c r="F532" s="16" t="s">
        <v>10</v>
      </c>
      <c r="G532" s="16" t="s">
        <v>3678</v>
      </c>
      <c r="H532" s="16" t="s">
        <v>1476</v>
      </c>
      <c r="I532" s="17"/>
      <c r="J532" s="16" t="s">
        <v>36</v>
      </c>
      <c r="K532" s="16" t="s">
        <v>35</v>
      </c>
      <c r="L532" s="154">
        <v>43668.0</v>
      </c>
      <c r="M532" s="16">
        <f t="shared" si="1"/>
        <v>7</v>
      </c>
      <c r="N532" s="17"/>
      <c r="O532" s="16" t="s">
        <v>3542</v>
      </c>
      <c r="Q532" s="152" t="s">
        <v>4341</v>
      </c>
      <c r="R532" s="115">
        <v>45113.0</v>
      </c>
      <c r="S532" s="16" t="s">
        <v>3671</v>
      </c>
      <c r="T532" s="17"/>
      <c r="U532" s="17"/>
      <c r="V532" s="17"/>
      <c r="W532" s="17"/>
      <c r="X532" s="17"/>
      <c r="Y532" s="17"/>
      <c r="Z532" s="17"/>
      <c r="AA532" s="17"/>
      <c r="AB532" s="17"/>
    </row>
    <row r="533">
      <c r="A533" s="16">
        <f t="shared" si="2"/>
        <v>532</v>
      </c>
      <c r="B533" s="16" t="s">
        <v>1477</v>
      </c>
      <c r="C533" s="16" t="s">
        <v>1478</v>
      </c>
      <c r="D533" s="16" t="s">
        <v>1479</v>
      </c>
      <c r="E533" s="16" t="s">
        <v>3106</v>
      </c>
      <c r="F533" s="16" t="s">
        <v>10</v>
      </c>
      <c r="G533" s="16" t="s">
        <v>3715</v>
      </c>
      <c r="H533" s="16" t="s">
        <v>12</v>
      </c>
      <c r="I533" s="17"/>
      <c r="J533" s="16" t="s">
        <v>13</v>
      </c>
      <c r="K533" s="16" t="s">
        <v>93</v>
      </c>
      <c r="L533" s="154">
        <v>44105.0</v>
      </c>
      <c r="M533" s="16">
        <f t="shared" si="1"/>
        <v>6</v>
      </c>
      <c r="N533" s="17"/>
      <c r="O533" s="16" t="s">
        <v>4039</v>
      </c>
      <c r="Q533" s="152" t="s">
        <v>4342</v>
      </c>
      <c r="R533" s="17"/>
      <c r="S533" s="16" t="s">
        <v>3673</v>
      </c>
      <c r="T533" s="16" t="s">
        <v>4343</v>
      </c>
      <c r="U533" s="16" t="s">
        <v>3141</v>
      </c>
      <c r="V533" s="16" t="s">
        <v>3681</v>
      </c>
      <c r="W533" s="17"/>
      <c r="X533" s="16" t="s">
        <v>4343</v>
      </c>
      <c r="Y533" s="16" t="s">
        <v>3141</v>
      </c>
      <c r="Z533" s="16" t="s">
        <v>3681</v>
      </c>
      <c r="AA533" s="17"/>
      <c r="AB533" s="17"/>
    </row>
    <row r="534">
      <c r="A534" s="16">
        <f t="shared" si="2"/>
        <v>533</v>
      </c>
      <c r="B534" s="16" t="s">
        <v>1480</v>
      </c>
      <c r="C534" s="16" t="s">
        <v>1481</v>
      </c>
      <c r="D534" s="16" t="s">
        <v>1482</v>
      </c>
      <c r="E534" s="16" t="s">
        <v>3106</v>
      </c>
      <c r="F534" s="16" t="s">
        <v>10</v>
      </c>
      <c r="G534" s="16" t="s">
        <v>3715</v>
      </c>
      <c r="H534" s="16" t="s">
        <v>12</v>
      </c>
      <c r="I534" s="17"/>
      <c r="J534" s="16" t="s">
        <v>13</v>
      </c>
      <c r="K534" s="16" t="s">
        <v>93</v>
      </c>
      <c r="L534" s="154">
        <v>43840.0</v>
      </c>
      <c r="M534" s="16">
        <f t="shared" si="1"/>
        <v>6</v>
      </c>
      <c r="N534" s="17"/>
      <c r="O534" s="16" t="s">
        <v>4023</v>
      </c>
      <c r="Q534" s="152" t="s">
        <v>4344</v>
      </c>
      <c r="R534" s="115">
        <v>45405.0</v>
      </c>
      <c r="S534" s="16" t="s">
        <v>3673</v>
      </c>
      <c r="T534" s="16" t="s">
        <v>4345</v>
      </c>
      <c r="U534" s="16" t="s">
        <v>3141</v>
      </c>
      <c r="V534" s="16" t="s">
        <v>3681</v>
      </c>
      <c r="W534" s="17"/>
      <c r="X534" s="16" t="s">
        <v>4345</v>
      </c>
      <c r="Y534" s="16" t="s">
        <v>3141</v>
      </c>
      <c r="Z534" s="16" t="s">
        <v>3681</v>
      </c>
      <c r="AA534" s="17"/>
      <c r="AB534" s="17"/>
    </row>
    <row r="535">
      <c r="A535" s="16">
        <f t="shared" si="2"/>
        <v>534</v>
      </c>
      <c r="B535" s="16" t="s">
        <v>1483</v>
      </c>
      <c r="C535" s="16" t="s">
        <v>1484</v>
      </c>
      <c r="D535" s="16" t="s">
        <v>1485</v>
      </c>
      <c r="E535" s="16" t="s">
        <v>3106</v>
      </c>
      <c r="F535" s="16" t="s">
        <v>10</v>
      </c>
      <c r="G535" s="16" t="s">
        <v>3715</v>
      </c>
      <c r="H535" s="16" t="s">
        <v>12</v>
      </c>
      <c r="I535" s="17"/>
      <c r="J535" s="16" t="s">
        <v>13</v>
      </c>
      <c r="K535" s="16" t="s">
        <v>93</v>
      </c>
      <c r="L535" s="154">
        <v>44152.0</v>
      </c>
      <c r="M535" s="16">
        <f t="shared" si="1"/>
        <v>6</v>
      </c>
      <c r="N535" s="17"/>
      <c r="O535" s="16" t="s">
        <v>4009</v>
      </c>
      <c r="Q535" s="152" t="s">
        <v>4346</v>
      </c>
      <c r="R535" s="115">
        <v>45326.0</v>
      </c>
      <c r="S535" s="16" t="s">
        <v>3673</v>
      </c>
      <c r="T535" s="16" t="s">
        <v>4347</v>
      </c>
      <c r="U535" s="16" t="s">
        <v>3141</v>
      </c>
      <c r="V535" s="16" t="s">
        <v>3681</v>
      </c>
      <c r="W535" s="17"/>
      <c r="X535" s="16" t="s">
        <v>4347</v>
      </c>
      <c r="Y535" s="16" t="s">
        <v>3141</v>
      </c>
      <c r="Z535" s="16" t="s">
        <v>3681</v>
      </c>
      <c r="AA535" s="17"/>
      <c r="AB535" s="17"/>
    </row>
    <row r="536">
      <c r="A536" s="16">
        <f t="shared" si="2"/>
        <v>535</v>
      </c>
      <c r="B536" s="16" t="s">
        <v>1486</v>
      </c>
      <c r="C536" s="16" t="s">
        <v>1487</v>
      </c>
      <c r="D536" s="16" t="s">
        <v>1488</v>
      </c>
      <c r="E536" s="16" t="s">
        <v>3106</v>
      </c>
      <c r="F536" s="16" t="s">
        <v>10</v>
      </c>
      <c r="G536" s="16" t="s">
        <v>3748</v>
      </c>
      <c r="H536" s="16" t="s">
        <v>12</v>
      </c>
      <c r="I536" s="17"/>
      <c r="J536" s="16" t="s">
        <v>36</v>
      </c>
      <c r="K536" s="16" t="s">
        <v>131</v>
      </c>
      <c r="L536" s="154">
        <v>42811.0</v>
      </c>
      <c r="M536" s="16">
        <f t="shared" si="1"/>
        <v>9</v>
      </c>
      <c r="N536" s="17"/>
      <c r="O536" s="16" t="s">
        <v>2557</v>
      </c>
      <c r="Q536" s="152" t="s">
        <v>4348</v>
      </c>
      <c r="R536" s="115">
        <v>45168.0</v>
      </c>
      <c r="S536" s="16" t="s">
        <v>3673</v>
      </c>
      <c r="T536" s="16" t="s">
        <v>4349</v>
      </c>
      <c r="U536" s="16" t="s">
        <v>3988</v>
      </c>
      <c r="V536" s="16" t="s">
        <v>3729</v>
      </c>
      <c r="W536" s="17"/>
      <c r="X536" s="16" t="s">
        <v>4349</v>
      </c>
      <c r="Y536" s="16" t="s">
        <v>3988</v>
      </c>
      <c r="Z536" s="16" t="s">
        <v>3729</v>
      </c>
      <c r="AA536" s="17"/>
      <c r="AB536" s="17"/>
    </row>
    <row r="537">
      <c r="A537" s="16">
        <f t="shared" si="2"/>
        <v>536</v>
      </c>
      <c r="B537" s="16" t="s">
        <v>1489</v>
      </c>
      <c r="C537" s="16" t="s">
        <v>1490</v>
      </c>
      <c r="D537" s="16" t="s">
        <v>1491</v>
      </c>
      <c r="E537" s="16" t="s">
        <v>3106</v>
      </c>
      <c r="F537" s="16" t="s">
        <v>10</v>
      </c>
      <c r="G537" s="16" t="s">
        <v>3748</v>
      </c>
      <c r="H537" s="16" t="s">
        <v>12</v>
      </c>
      <c r="I537" s="17"/>
      <c r="J537" s="16" t="s">
        <v>36</v>
      </c>
      <c r="K537" s="16" t="s">
        <v>131</v>
      </c>
      <c r="L537" s="154">
        <v>42811.0</v>
      </c>
      <c r="M537" s="16">
        <f t="shared" si="1"/>
        <v>9</v>
      </c>
      <c r="N537" s="17"/>
      <c r="O537" s="16" t="s">
        <v>2557</v>
      </c>
      <c r="Q537" s="152" t="s">
        <v>4350</v>
      </c>
      <c r="R537" s="115">
        <v>45168.0</v>
      </c>
      <c r="S537" s="16" t="s">
        <v>3673</v>
      </c>
      <c r="T537" s="16" t="s">
        <v>4351</v>
      </c>
      <c r="U537" s="16" t="s">
        <v>3988</v>
      </c>
      <c r="V537" s="16" t="s">
        <v>3729</v>
      </c>
      <c r="W537" s="17"/>
      <c r="X537" s="16" t="s">
        <v>4351</v>
      </c>
      <c r="Y537" s="16" t="s">
        <v>3988</v>
      </c>
      <c r="Z537" s="16" t="s">
        <v>3729</v>
      </c>
      <c r="AA537" s="17"/>
      <c r="AB537" s="17"/>
    </row>
    <row r="538">
      <c r="A538" s="16">
        <f t="shared" si="2"/>
        <v>537</v>
      </c>
      <c r="B538" s="16" t="s">
        <v>1492</v>
      </c>
      <c r="C538" s="16" t="s">
        <v>1493</v>
      </c>
      <c r="D538" s="16" t="s">
        <v>1494</v>
      </c>
      <c r="E538" s="16" t="s">
        <v>3106</v>
      </c>
      <c r="F538" s="16" t="s">
        <v>10</v>
      </c>
      <c r="G538" s="16" t="s">
        <v>3753</v>
      </c>
      <c r="H538" s="16" t="s">
        <v>17</v>
      </c>
      <c r="I538" s="17"/>
      <c r="J538" s="16" t="s">
        <v>13</v>
      </c>
      <c r="K538" s="16" t="s">
        <v>54</v>
      </c>
      <c r="L538" s="154">
        <v>40850.0</v>
      </c>
      <c r="M538" s="16">
        <f t="shared" si="1"/>
        <v>15</v>
      </c>
      <c r="N538" s="17"/>
      <c r="O538" s="17"/>
      <c r="Q538" s="152" t="s">
        <v>4352</v>
      </c>
      <c r="R538" s="17"/>
      <c r="S538" s="16" t="s">
        <v>3673</v>
      </c>
      <c r="T538" s="17"/>
      <c r="U538" s="16" t="s">
        <v>3988</v>
      </c>
      <c r="V538" s="16" t="s">
        <v>3729</v>
      </c>
      <c r="W538" s="17"/>
      <c r="X538" s="16" t="s">
        <v>4353</v>
      </c>
      <c r="Y538" s="16" t="s">
        <v>3988</v>
      </c>
      <c r="Z538" s="16" t="s">
        <v>3729</v>
      </c>
      <c r="AA538" s="16" t="s">
        <v>3687</v>
      </c>
      <c r="AB538" s="16" t="s">
        <v>17</v>
      </c>
    </row>
    <row r="539">
      <c r="A539" s="16">
        <f t="shared" si="2"/>
        <v>538</v>
      </c>
      <c r="B539" s="16" t="s">
        <v>1495</v>
      </c>
      <c r="C539" s="16" t="s">
        <v>1496</v>
      </c>
      <c r="D539" s="16" t="s">
        <v>1497</v>
      </c>
      <c r="E539" s="16" t="s">
        <v>3106</v>
      </c>
      <c r="F539" s="16" t="s">
        <v>10</v>
      </c>
      <c r="G539" s="16" t="s">
        <v>3678</v>
      </c>
      <c r="H539" s="16" t="s">
        <v>12</v>
      </c>
      <c r="I539" s="17"/>
      <c r="J539" s="16" t="s">
        <v>36</v>
      </c>
      <c r="K539" s="16" t="s">
        <v>35</v>
      </c>
      <c r="L539" s="154">
        <v>43454.0</v>
      </c>
      <c r="M539" s="16">
        <f t="shared" si="1"/>
        <v>8</v>
      </c>
      <c r="N539" s="17"/>
      <c r="O539" s="17"/>
      <c r="Q539" s="152" t="s">
        <v>4354</v>
      </c>
      <c r="R539" s="17"/>
      <c r="S539" s="16" t="s">
        <v>3673</v>
      </c>
      <c r="T539" s="16" t="s">
        <v>4355</v>
      </c>
      <c r="U539" s="16" t="s">
        <v>2943</v>
      </c>
      <c r="V539" s="16" t="s">
        <v>3681</v>
      </c>
      <c r="W539" s="17"/>
      <c r="X539" s="16" t="s">
        <v>4355</v>
      </c>
      <c r="Y539" s="16" t="s">
        <v>2943</v>
      </c>
      <c r="Z539" s="16" t="s">
        <v>3681</v>
      </c>
      <c r="AA539" s="17"/>
      <c r="AB539" s="17"/>
    </row>
    <row r="540">
      <c r="A540" s="16">
        <f t="shared" si="2"/>
        <v>539</v>
      </c>
      <c r="B540" s="16" t="s">
        <v>1498</v>
      </c>
      <c r="C540" s="16" t="s">
        <v>1499</v>
      </c>
      <c r="D540" s="16" t="s">
        <v>1500</v>
      </c>
      <c r="E540" s="16" t="s">
        <v>3106</v>
      </c>
      <c r="F540" s="16" t="s">
        <v>10</v>
      </c>
      <c r="G540" s="16" t="s">
        <v>3712</v>
      </c>
      <c r="H540" s="16" t="s">
        <v>12</v>
      </c>
      <c r="I540" s="17"/>
      <c r="J540" s="16" t="s">
        <v>36</v>
      </c>
      <c r="K540" s="16" t="s">
        <v>89</v>
      </c>
      <c r="L540" s="154">
        <v>43808.0</v>
      </c>
      <c r="M540" s="16">
        <f t="shared" si="1"/>
        <v>7</v>
      </c>
      <c r="N540" s="17"/>
      <c r="O540" s="17"/>
      <c r="Q540" s="152" t="s">
        <v>4356</v>
      </c>
      <c r="R540" s="17"/>
      <c r="S540" s="16" t="s">
        <v>3673</v>
      </c>
      <c r="T540" s="16" t="s">
        <v>4357</v>
      </c>
      <c r="U540" s="16" t="s">
        <v>4358</v>
      </c>
      <c r="V540" s="16" t="s">
        <v>3681</v>
      </c>
      <c r="W540" s="17"/>
      <c r="X540" s="16" t="s">
        <v>4357</v>
      </c>
      <c r="Y540" s="119" t="s">
        <v>4358</v>
      </c>
      <c r="Z540" s="16" t="s">
        <v>3681</v>
      </c>
      <c r="AA540" s="17"/>
      <c r="AB540" s="17"/>
    </row>
    <row r="541">
      <c r="A541" s="16">
        <f t="shared" si="2"/>
        <v>540</v>
      </c>
      <c r="B541" s="16" t="s">
        <v>1501</v>
      </c>
      <c r="C541" s="16" t="s">
        <v>1502</v>
      </c>
      <c r="D541" s="16" t="s">
        <v>1503</v>
      </c>
      <c r="E541" s="16" t="s">
        <v>3106</v>
      </c>
      <c r="F541" s="16" t="s">
        <v>10</v>
      </c>
      <c r="G541" s="130" t="s">
        <v>3669</v>
      </c>
      <c r="H541" s="16" t="s">
        <v>12</v>
      </c>
      <c r="I541" s="17"/>
      <c r="J541" s="16" t="s">
        <v>13</v>
      </c>
      <c r="K541" s="16" t="s">
        <v>224</v>
      </c>
      <c r="L541" s="154">
        <v>42956.0</v>
      </c>
      <c r="M541" s="16">
        <f t="shared" si="1"/>
        <v>9</v>
      </c>
      <c r="N541" s="17"/>
      <c r="O541" s="16" t="s">
        <v>4359</v>
      </c>
      <c r="Q541" s="152" t="s">
        <v>4360</v>
      </c>
      <c r="R541" s="17"/>
      <c r="S541" s="16" t="s">
        <v>3671</v>
      </c>
      <c r="T541" s="17"/>
      <c r="U541" s="16" t="s">
        <v>3983</v>
      </c>
      <c r="V541" s="16" t="s">
        <v>3681</v>
      </c>
      <c r="W541" s="17"/>
      <c r="X541" s="17"/>
      <c r="Y541" s="16" t="s">
        <v>3983</v>
      </c>
      <c r="Z541" s="16" t="s">
        <v>3681</v>
      </c>
      <c r="AA541" s="17"/>
      <c r="AB541" s="17"/>
    </row>
    <row r="542">
      <c r="A542" s="16">
        <f t="shared" si="2"/>
        <v>541</v>
      </c>
      <c r="B542" s="16" t="s">
        <v>1504</v>
      </c>
      <c r="C542" s="16" t="s">
        <v>1505</v>
      </c>
      <c r="D542" s="16" t="s">
        <v>1506</v>
      </c>
      <c r="E542" s="16" t="s">
        <v>3106</v>
      </c>
      <c r="F542" s="16" t="s">
        <v>10</v>
      </c>
      <c r="G542" s="16" t="s">
        <v>3715</v>
      </c>
      <c r="H542" s="16" t="s">
        <v>12</v>
      </c>
      <c r="I542" s="17"/>
      <c r="J542" s="16" t="s">
        <v>13</v>
      </c>
      <c r="K542" s="16" t="s">
        <v>93</v>
      </c>
      <c r="L542" s="154">
        <v>44152.0</v>
      </c>
      <c r="M542" s="16">
        <f t="shared" si="1"/>
        <v>6</v>
      </c>
      <c r="N542" s="17"/>
      <c r="O542" s="16" t="s">
        <v>4361</v>
      </c>
      <c r="Q542" s="152" t="s">
        <v>4362</v>
      </c>
      <c r="R542" s="115">
        <v>45250.0</v>
      </c>
      <c r="S542" s="16" t="s">
        <v>3671</v>
      </c>
      <c r="T542" s="17"/>
      <c r="U542" s="16" t="s">
        <v>3983</v>
      </c>
      <c r="V542" s="16" t="s">
        <v>3681</v>
      </c>
      <c r="W542" s="17"/>
      <c r="X542" s="17"/>
      <c r="Y542" s="16" t="s">
        <v>3983</v>
      </c>
      <c r="Z542" s="16" t="s">
        <v>3681</v>
      </c>
      <c r="AA542" s="17"/>
      <c r="AB542" s="17"/>
    </row>
    <row r="543">
      <c r="A543" s="16">
        <f t="shared" si="2"/>
        <v>542</v>
      </c>
      <c r="B543" s="16" t="s">
        <v>1507</v>
      </c>
      <c r="C543" s="16" t="s">
        <v>1508</v>
      </c>
      <c r="D543" s="16" t="s">
        <v>1509</v>
      </c>
      <c r="E543" s="16" t="s">
        <v>3106</v>
      </c>
      <c r="F543" s="16" t="s">
        <v>10</v>
      </c>
      <c r="G543" s="16" t="s">
        <v>3715</v>
      </c>
      <c r="H543" s="16" t="s">
        <v>12</v>
      </c>
      <c r="I543" s="17"/>
      <c r="J543" s="16" t="s">
        <v>13</v>
      </c>
      <c r="K543" s="16" t="s">
        <v>11</v>
      </c>
      <c r="L543" s="154">
        <v>44544.0</v>
      </c>
      <c r="M543" s="16">
        <f t="shared" si="1"/>
        <v>5</v>
      </c>
      <c r="N543" s="17"/>
      <c r="O543" s="16" t="s">
        <v>4023</v>
      </c>
      <c r="Q543" s="152" t="s">
        <v>4363</v>
      </c>
      <c r="R543" s="16" t="s">
        <v>3508</v>
      </c>
      <c r="S543" s="16" t="s">
        <v>3673</v>
      </c>
      <c r="T543" s="16" t="s">
        <v>4364</v>
      </c>
      <c r="U543" s="16" t="s">
        <v>3983</v>
      </c>
      <c r="V543" s="16" t="s">
        <v>3681</v>
      </c>
      <c r="W543" s="17"/>
      <c r="X543" s="16" t="s">
        <v>4364</v>
      </c>
      <c r="Y543" s="16" t="s">
        <v>3983</v>
      </c>
      <c r="Z543" s="16" t="s">
        <v>3681</v>
      </c>
      <c r="AA543" s="17"/>
      <c r="AB543" s="17"/>
    </row>
    <row r="544">
      <c r="A544" s="16">
        <f t="shared" si="2"/>
        <v>543</v>
      </c>
      <c r="B544" s="16" t="s">
        <v>1510</v>
      </c>
      <c r="C544" s="16" t="s">
        <v>1511</v>
      </c>
      <c r="D544" s="16" t="s">
        <v>1512</v>
      </c>
      <c r="E544" s="16" t="s">
        <v>3106</v>
      </c>
      <c r="F544" s="16" t="s">
        <v>10</v>
      </c>
      <c r="G544" s="16" t="s">
        <v>3715</v>
      </c>
      <c r="H544" s="16" t="s">
        <v>12</v>
      </c>
      <c r="I544" s="17"/>
      <c r="J544" s="16" t="s">
        <v>13</v>
      </c>
      <c r="K544" s="16" t="s">
        <v>11</v>
      </c>
      <c r="L544" s="154">
        <v>43982.0</v>
      </c>
      <c r="M544" s="16">
        <f t="shared" si="1"/>
        <v>6</v>
      </c>
      <c r="N544" s="17"/>
      <c r="O544" s="16" t="s">
        <v>4058</v>
      </c>
      <c r="Q544" s="152" t="s">
        <v>4365</v>
      </c>
      <c r="R544" s="17"/>
      <c r="S544" s="16" t="s">
        <v>3671</v>
      </c>
      <c r="T544" s="17"/>
      <c r="U544" s="16" t="s">
        <v>4064</v>
      </c>
      <c r="V544" s="17"/>
      <c r="W544" s="17"/>
      <c r="X544" s="17"/>
      <c r="Y544" s="16" t="s">
        <v>4064</v>
      </c>
      <c r="Z544" s="16" t="s">
        <v>4065</v>
      </c>
      <c r="AA544" s="17"/>
      <c r="AB544" s="17"/>
    </row>
    <row r="545">
      <c r="A545" s="16">
        <f t="shared" si="2"/>
        <v>544</v>
      </c>
      <c r="B545" s="16" t="s">
        <v>1513</v>
      </c>
      <c r="C545" s="16" t="s">
        <v>1514</v>
      </c>
      <c r="D545" s="16" t="s">
        <v>1515</v>
      </c>
      <c r="E545" s="16" t="s">
        <v>3106</v>
      </c>
      <c r="F545" s="16" t="s">
        <v>10</v>
      </c>
      <c r="G545" s="16" t="s">
        <v>4366</v>
      </c>
      <c r="H545" s="16" t="s">
        <v>12</v>
      </c>
      <c r="I545" s="16" t="s">
        <v>4062</v>
      </c>
      <c r="J545" s="16" t="s">
        <v>79</v>
      </c>
      <c r="K545" s="16" t="s">
        <v>1516</v>
      </c>
      <c r="L545" s="154">
        <v>44312.0</v>
      </c>
      <c r="M545" s="16">
        <f t="shared" si="1"/>
        <v>5</v>
      </c>
      <c r="N545" s="135">
        <v>5.0003988E7</v>
      </c>
      <c r="O545" s="16" t="s">
        <v>3979</v>
      </c>
      <c r="Q545" s="152" t="s">
        <v>4367</v>
      </c>
      <c r="R545" s="17"/>
      <c r="S545" s="16" t="s">
        <v>3671</v>
      </c>
      <c r="T545" s="17"/>
      <c r="U545" s="16" t="s">
        <v>3983</v>
      </c>
      <c r="V545" s="16" t="s">
        <v>3681</v>
      </c>
      <c r="W545" s="17"/>
      <c r="X545" s="17"/>
      <c r="Y545" s="16" t="s">
        <v>3983</v>
      </c>
      <c r="Z545" s="16" t="s">
        <v>3681</v>
      </c>
      <c r="AA545" s="17"/>
      <c r="AB545" s="17"/>
    </row>
    <row r="546">
      <c r="A546" s="16">
        <f t="shared" si="2"/>
        <v>545</v>
      </c>
      <c r="B546" s="16" t="s">
        <v>1517</v>
      </c>
      <c r="C546" s="16" t="s">
        <v>1518</v>
      </c>
      <c r="D546" s="16" t="s">
        <v>1519</v>
      </c>
      <c r="E546" s="16" t="s">
        <v>3106</v>
      </c>
      <c r="F546" s="16" t="s">
        <v>10</v>
      </c>
      <c r="G546" s="16" t="s">
        <v>3669</v>
      </c>
      <c r="H546" s="16" t="s">
        <v>17</v>
      </c>
      <c r="I546" s="16" t="s">
        <v>3396</v>
      </c>
      <c r="J546" s="16" t="s">
        <v>13</v>
      </c>
      <c r="K546" s="16" t="s">
        <v>11</v>
      </c>
      <c r="L546" s="154">
        <v>43982.0</v>
      </c>
      <c r="M546" s="16">
        <f t="shared" si="1"/>
        <v>6</v>
      </c>
      <c r="N546" s="135">
        <v>5.0004077E7</v>
      </c>
      <c r="O546" s="16" t="s">
        <v>4361</v>
      </c>
      <c r="Q546" s="152" t="s">
        <v>4368</v>
      </c>
      <c r="R546" s="115">
        <v>45627.0</v>
      </c>
      <c r="S546" s="16" t="s">
        <v>3671</v>
      </c>
      <c r="T546" s="17"/>
      <c r="U546" s="16" t="s">
        <v>3983</v>
      </c>
      <c r="V546" s="16" t="s">
        <v>3681</v>
      </c>
      <c r="W546" s="17"/>
      <c r="X546" s="17"/>
      <c r="Y546" s="16" t="s">
        <v>3983</v>
      </c>
      <c r="Z546" s="16" t="s">
        <v>3681</v>
      </c>
      <c r="AA546" s="17"/>
      <c r="AB546" s="17"/>
    </row>
    <row r="547">
      <c r="A547" s="16">
        <f t="shared" si="2"/>
        <v>546</v>
      </c>
      <c r="B547" s="16" t="s">
        <v>1520</v>
      </c>
      <c r="C547" s="16" t="s">
        <v>1521</v>
      </c>
      <c r="D547" s="16" t="s">
        <v>1522</v>
      </c>
      <c r="E547" s="16" t="s">
        <v>3106</v>
      </c>
      <c r="F547" s="16" t="s">
        <v>10</v>
      </c>
      <c r="G547" s="16" t="s">
        <v>3678</v>
      </c>
      <c r="H547" s="16" t="s">
        <v>12</v>
      </c>
      <c r="I547" s="17"/>
      <c r="J547" s="16" t="s">
        <v>36</v>
      </c>
      <c r="K547" s="16" t="s">
        <v>35</v>
      </c>
      <c r="L547" s="154">
        <v>43153.0</v>
      </c>
      <c r="M547" s="16">
        <f t="shared" si="1"/>
        <v>8</v>
      </c>
      <c r="N547" s="17"/>
      <c r="O547" s="16" t="s">
        <v>4285</v>
      </c>
      <c r="Q547" s="152" t="s">
        <v>4369</v>
      </c>
      <c r="R547" s="17"/>
      <c r="S547" s="16" t="s">
        <v>3671</v>
      </c>
      <c r="T547" s="17"/>
      <c r="U547" s="16" t="s">
        <v>3983</v>
      </c>
      <c r="V547" s="16" t="s">
        <v>3681</v>
      </c>
      <c r="W547" s="17"/>
      <c r="X547" s="17"/>
      <c r="Y547" s="16" t="s">
        <v>3983</v>
      </c>
      <c r="Z547" s="16" t="s">
        <v>3681</v>
      </c>
      <c r="AA547" s="17"/>
      <c r="AB547" s="16" t="s">
        <v>3987</v>
      </c>
    </row>
    <row r="548">
      <c r="A548" s="16">
        <f t="shared" si="2"/>
        <v>547</v>
      </c>
      <c r="B548" s="16" t="s">
        <v>1523</v>
      </c>
      <c r="C548" s="130" t="s">
        <v>1524</v>
      </c>
      <c r="D548" s="130" t="s">
        <v>1525</v>
      </c>
      <c r="E548" s="16" t="s">
        <v>3106</v>
      </c>
      <c r="F548" s="16" t="s">
        <v>10</v>
      </c>
      <c r="G548" s="16" t="s">
        <v>3678</v>
      </c>
      <c r="H548" s="16" t="s">
        <v>12</v>
      </c>
      <c r="I548" s="17"/>
      <c r="J548" s="16" t="s">
        <v>36</v>
      </c>
      <c r="K548" s="16" t="s">
        <v>35</v>
      </c>
      <c r="L548" s="154">
        <v>43153.0</v>
      </c>
      <c r="M548" s="16">
        <f t="shared" si="1"/>
        <v>8</v>
      </c>
      <c r="N548" s="17"/>
      <c r="O548" s="16" t="s">
        <v>3976</v>
      </c>
      <c r="Q548" s="152" t="s">
        <v>4370</v>
      </c>
      <c r="R548" s="17"/>
      <c r="S548" s="16" t="s">
        <v>3671</v>
      </c>
      <c r="T548" s="17"/>
      <c r="U548" s="16" t="s">
        <v>3983</v>
      </c>
      <c r="V548" s="16" t="s">
        <v>3681</v>
      </c>
      <c r="W548" s="17"/>
      <c r="X548" s="17"/>
      <c r="Y548" s="16" t="s">
        <v>3983</v>
      </c>
      <c r="Z548" s="16" t="s">
        <v>3681</v>
      </c>
      <c r="AA548" s="17"/>
      <c r="AB548" s="17"/>
    </row>
    <row r="549">
      <c r="A549" s="16">
        <f t="shared" si="2"/>
        <v>548</v>
      </c>
      <c r="B549" s="16" t="s">
        <v>1526</v>
      </c>
      <c r="C549" s="16">
        <v>6.0020648E7</v>
      </c>
      <c r="D549" s="16" t="s">
        <v>1527</v>
      </c>
      <c r="E549" s="16" t="s">
        <v>3106</v>
      </c>
      <c r="F549" s="16" t="s">
        <v>10</v>
      </c>
      <c r="G549" s="16" t="s">
        <v>3669</v>
      </c>
      <c r="H549" s="16" t="s">
        <v>12</v>
      </c>
      <c r="I549" s="16" t="s">
        <v>3396</v>
      </c>
      <c r="J549" s="16" t="s">
        <v>13</v>
      </c>
      <c r="K549" s="16" t="s">
        <v>1528</v>
      </c>
      <c r="L549" s="154">
        <v>45169.0</v>
      </c>
      <c r="M549" s="16">
        <f t="shared" si="1"/>
        <v>3</v>
      </c>
      <c r="N549" s="16">
        <v>4.500013245E9</v>
      </c>
      <c r="O549" s="16" t="s">
        <v>2557</v>
      </c>
      <c r="Q549" s="152" t="s">
        <v>4371</v>
      </c>
      <c r="R549" s="16" t="s">
        <v>4372</v>
      </c>
      <c r="S549" s="16" t="s">
        <v>3673</v>
      </c>
      <c r="T549" s="16" t="s">
        <v>4373</v>
      </c>
      <c r="U549" s="16" t="s">
        <v>3411</v>
      </c>
      <c r="V549" s="16" t="s">
        <v>3681</v>
      </c>
      <c r="W549" s="17"/>
      <c r="X549" s="16" t="s">
        <v>4373</v>
      </c>
      <c r="Y549" s="16" t="s">
        <v>3411</v>
      </c>
      <c r="Z549" s="16" t="s">
        <v>3681</v>
      </c>
      <c r="AA549" s="17"/>
      <c r="AB549" s="17"/>
    </row>
    <row r="550">
      <c r="A550" s="16">
        <f t="shared" si="2"/>
        <v>549</v>
      </c>
      <c r="B550" s="16" t="s">
        <v>1529</v>
      </c>
      <c r="C550" s="16">
        <v>6.002065E7</v>
      </c>
      <c r="D550" s="16" t="s">
        <v>1530</v>
      </c>
      <c r="E550" s="16" t="s">
        <v>3106</v>
      </c>
      <c r="F550" s="16" t="s">
        <v>10</v>
      </c>
      <c r="G550" s="16" t="s">
        <v>3669</v>
      </c>
      <c r="H550" s="16" t="s">
        <v>12</v>
      </c>
      <c r="I550" s="16" t="s">
        <v>3396</v>
      </c>
      <c r="J550" s="16" t="s">
        <v>13</v>
      </c>
      <c r="K550" s="16" t="s">
        <v>1528</v>
      </c>
      <c r="L550" s="154">
        <v>45169.0</v>
      </c>
      <c r="M550" s="16">
        <f t="shared" si="1"/>
        <v>3</v>
      </c>
      <c r="N550" s="16">
        <v>4.500013245E9</v>
      </c>
      <c r="O550" s="16" t="s">
        <v>2557</v>
      </c>
      <c r="Q550" s="152" t="s">
        <v>4374</v>
      </c>
      <c r="R550" s="17"/>
      <c r="S550" s="16" t="s">
        <v>3673</v>
      </c>
      <c r="T550" s="16" t="s">
        <v>4375</v>
      </c>
      <c r="U550" s="16" t="s">
        <v>3411</v>
      </c>
      <c r="V550" s="16" t="s">
        <v>3681</v>
      </c>
      <c r="W550" s="17"/>
      <c r="X550" s="16" t="s">
        <v>4375</v>
      </c>
      <c r="Y550" s="16" t="s">
        <v>3411</v>
      </c>
      <c r="Z550" s="16" t="s">
        <v>3681</v>
      </c>
      <c r="AA550" s="17"/>
      <c r="AB550" s="17"/>
    </row>
    <row r="551">
      <c r="A551" s="16">
        <f t="shared" si="2"/>
        <v>550</v>
      </c>
      <c r="B551" s="16" t="s">
        <v>1531</v>
      </c>
      <c r="C551" s="16">
        <v>6.0020651E7</v>
      </c>
      <c r="D551" s="16" t="s">
        <v>1532</v>
      </c>
      <c r="E551" s="16" t="s">
        <v>3106</v>
      </c>
      <c r="F551" s="16" t="s">
        <v>10</v>
      </c>
      <c r="G551" s="16" t="s">
        <v>3669</v>
      </c>
      <c r="H551" s="16" t="s">
        <v>12</v>
      </c>
      <c r="I551" s="16" t="s">
        <v>3396</v>
      </c>
      <c r="J551" s="16" t="s">
        <v>13</v>
      </c>
      <c r="K551" s="16" t="s">
        <v>1528</v>
      </c>
      <c r="L551" s="154">
        <v>45169.0</v>
      </c>
      <c r="M551" s="16">
        <f t="shared" si="1"/>
        <v>3</v>
      </c>
      <c r="N551" s="16">
        <v>4.500013245E9</v>
      </c>
      <c r="O551" s="16" t="s">
        <v>3542</v>
      </c>
      <c r="Q551" s="152" t="s">
        <v>4376</v>
      </c>
      <c r="R551" s="16" t="s">
        <v>3495</v>
      </c>
      <c r="S551" s="16" t="s">
        <v>3671</v>
      </c>
      <c r="T551" s="17"/>
      <c r="U551" s="16" t="s">
        <v>3411</v>
      </c>
      <c r="V551" s="16" t="s">
        <v>3681</v>
      </c>
      <c r="W551" s="17"/>
      <c r="X551" s="17"/>
      <c r="Y551" s="16" t="s">
        <v>3411</v>
      </c>
      <c r="Z551" s="16" t="s">
        <v>3681</v>
      </c>
      <c r="AA551" s="17"/>
      <c r="AB551" s="17"/>
    </row>
    <row r="552">
      <c r="A552" s="16">
        <f t="shared" si="2"/>
        <v>551</v>
      </c>
      <c r="B552" s="16" t="s">
        <v>1533</v>
      </c>
      <c r="C552" s="16">
        <v>6.0020652E7</v>
      </c>
      <c r="D552" s="16" t="s">
        <v>1534</v>
      </c>
      <c r="E552" s="16" t="s">
        <v>3106</v>
      </c>
      <c r="F552" s="16" t="s">
        <v>10</v>
      </c>
      <c r="G552" s="16" t="s">
        <v>3669</v>
      </c>
      <c r="H552" s="16" t="s">
        <v>12</v>
      </c>
      <c r="I552" s="16" t="s">
        <v>3396</v>
      </c>
      <c r="J552" s="16" t="s">
        <v>13</v>
      </c>
      <c r="K552" s="16" t="s">
        <v>1528</v>
      </c>
      <c r="L552" s="154">
        <v>45169.0</v>
      </c>
      <c r="M552" s="16">
        <f t="shared" si="1"/>
        <v>3</v>
      </c>
      <c r="N552" s="16">
        <v>4.500013245E9</v>
      </c>
      <c r="O552" s="16" t="s">
        <v>2557</v>
      </c>
      <c r="Q552" s="152" t="s">
        <v>4377</v>
      </c>
      <c r="R552" s="17"/>
      <c r="S552" s="16" t="s">
        <v>3673</v>
      </c>
      <c r="T552" s="16" t="s">
        <v>4378</v>
      </c>
      <c r="U552" s="16" t="s">
        <v>3411</v>
      </c>
      <c r="V552" s="16" t="s">
        <v>3681</v>
      </c>
      <c r="W552" s="17"/>
      <c r="X552" s="16" t="s">
        <v>4378</v>
      </c>
      <c r="Y552" s="16" t="s">
        <v>3411</v>
      </c>
      <c r="Z552" s="16" t="s">
        <v>3681</v>
      </c>
      <c r="AA552" s="17"/>
      <c r="AB552" s="17"/>
    </row>
    <row r="553">
      <c r="A553" s="16">
        <f t="shared" si="2"/>
        <v>552</v>
      </c>
      <c r="B553" s="16" t="s">
        <v>1535</v>
      </c>
      <c r="C553" s="16">
        <v>6.0020653E7</v>
      </c>
      <c r="D553" s="16" t="s">
        <v>1536</v>
      </c>
      <c r="E553" s="16" t="s">
        <v>3106</v>
      </c>
      <c r="F553" s="16" t="s">
        <v>10</v>
      </c>
      <c r="G553" s="16" t="s">
        <v>3669</v>
      </c>
      <c r="H553" s="16" t="s">
        <v>12</v>
      </c>
      <c r="I553" s="16" t="s">
        <v>3396</v>
      </c>
      <c r="J553" s="16" t="s">
        <v>13</v>
      </c>
      <c r="K553" s="16" t="s">
        <v>1528</v>
      </c>
      <c r="L553" s="154">
        <v>45169.0</v>
      </c>
      <c r="M553" s="16">
        <f t="shared" si="1"/>
        <v>3</v>
      </c>
      <c r="N553" s="16">
        <v>4.500013245E9</v>
      </c>
      <c r="O553" s="16" t="s">
        <v>2557</v>
      </c>
      <c r="Q553" s="152" t="s">
        <v>4379</v>
      </c>
      <c r="R553" s="17"/>
      <c r="S553" s="16" t="s">
        <v>3673</v>
      </c>
      <c r="T553" s="16" t="s">
        <v>4380</v>
      </c>
      <c r="U553" s="16" t="s">
        <v>3411</v>
      </c>
      <c r="V553" s="16" t="s">
        <v>3681</v>
      </c>
      <c r="W553" s="17"/>
      <c r="X553" s="16" t="s">
        <v>4380</v>
      </c>
      <c r="Y553" s="16" t="s">
        <v>3411</v>
      </c>
      <c r="Z553" s="16" t="s">
        <v>3681</v>
      </c>
      <c r="AA553" s="17"/>
      <c r="AB553" s="17"/>
    </row>
    <row r="554">
      <c r="A554" s="16">
        <f t="shared" si="2"/>
        <v>553</v>
      </c>
      <c r="B554" s="16" t="s">
        <v>1537</v>
      </c>
      <c r="C554" s="16">
        <v>6.0020654E7</v>
      </c>
      <c r="D554" s="16" t="s">
        <v>1538</v>
      </c>
      <c r="E554" s="16" t="s">
        <v>3106</v>
      </c>
      <c r="F554" s="16" t="s">
        <v>10</v>
      </c>
      <c r="G554" s="16" t="s">
        <v>3669</v>
      </c>
      <c r="H554" s="16" t="s">
        <v>12</v>
      </c>
      <c r="I554" s="16" t="s">
        <v>3396</v>
      </c>
      <c r="J554" s="16" t="s">
        <v>13</v>
      </c>
      <c r="K554" s="16" t="s">
        <v>1528</v>
      </c>
      <c r="L554" s="154">
        <v>45169.0</v>
      </c>
      <c r="M554" s="16">
        <f t="shared" si="1"/>
        <v>3</v>
      </c>
      <c r="N554" s="16">
        <v>4.500013245E9</v>
      </c>
      <c r="O554" s="16" t="s">
        <v>2557</v>
      </c>
      <c r="Q554" s="152" t="s">
        <v>4381</v>
      </c>
      <c r="R554" s="17"/>
      <c r="S554" s="16" t="s">
        <v>3673</v>
      </c>
      <c r="T554" s="16" t="s">
        <v>4382</v>
      </c>
      <c r="U554" s="16" t="s">
        <v>3411</v>
      </c>
      <c r="V554" s="16" t="s">
        <v>3681</v>
      </c>
      <c r="W554" s="17"/>
      <c r="X554" s="16" t="s">
        <v>4382</v>
      </c>
      <c r="Y554" s="16" t="s">
        <v>3411</v>
      </c>
      <c r="Z554" s="16" t="s">
        <v>3681</v>
      </c>
      <c r="AA554" s="17"/>
      <c r="AB554" s="17"/>
    </row>
    <row r="555">
      <c r="A555" s="16">
        <f t="shared" si="2"/>
        <v>554</v>
      </c>
      <c r="B555" s="16" t="s">
        <v>1539</v>
      </c>
      <c r="C555" s="16">
        <v>6.0020655E7</v>
      </c>
      <c r="D555" s="16" t="s">
        <v>1540</v>
      </c>
      <c r="E555" s="16" t="s">
        <v>3106</v>
      </c>
      <c r="F555" s="16" t="s">
        <v>10</v>
      </c>
      <c r="G555" s="16" t="s">
        <v>3669</v>
      </c>
      <c r="H555" s="16" t="s">
        <v>12</v>
      </c>
      <c r="I555" s="16" t="s">
        <v>3396</v>
      </c>
      <c r="J555" s="16" t="s">
        <v>13</v>
      </c>
      <c r="K555" s="16" t="s">
        <v>1528</v>
      </c>
      <c r="L555" s="154">
        <v>45169.0</v>
      </c>
      <c r="M555" s="16">
        <f t="shared" si="1"/>
        <v>3</v>
      </c>
      <c r="N555" s="16">
        <v>4.500013245E9</v>
      </c>
      <c r="O555" s="16" t="s">
        <v>3670</v>
      </c>
      <c r="Q555" s="152" t="s">
        <v>4383</v>
      </c>
      <c r="R555" s="16" t="s">
        <v>4384</v>
      </c>
      <c r="S555" s="16" t="s">
        <v>3673</v>
      </c>
      <c r="T555" s="17"/>
      <c r="U555" s="16" t="s">
        <v>3411</v>
      </c>
      <c r="V555" s="16" t="s">
        <v>3681</v>
      </c>
      <c r="W555" s="17"/>
      <c r="X555" s="17"/>
      <c r="Y555" s="16" t="s">
        <v>3411</v>
      </c>
      <c r="Z555" s="16" t="s">
        <v>3681</v>
      </c>
      <c r="AA555" s="17"/>
      <c r="AB555" s="17"/>
    </row>
    <row r="556">
      <c r="A556" s="16">
        <f t="shared" si="2"/>
        <v>555</v>
      </c>
      <c r="B556" s="16" t="s">
        <v>1541</v>
      </c>
      <c r="C556" s="16">
        <v>6.0020656E7</v>
      </c>
      <c r="D556" s="16" t="s">
        <v>1542</v>
      </c>
      <c r="E556" s="16" t="s">
        <v>3106</v>
      </c>
      <c r="F556" s="16" t="s">
        <v>10</v>
      </c>
      <c r="G556" s="16" t="s">
        <v>3669</v>
      </c>
      <c r="H556" s="16" t="s">
        <v>12</v>
      </c>
      <c r="I556" s="16" t="s">
        <v>3396</v>
      </c>
      <c r="J556" s="16" t="s">
        <v>13</v>
      </c>
      <c r="K556" s="16" t="s">
        <v>1528</v>
      </c>
      <c r="L556" s="154">
        <v>45169.0</v>
      </c>
      <c r="M556" s="16">
        <f t="shared" si="1"/>
        <v>3</v>
      </c>
      <c r="N556" s="16">
        <v>4.500013245E9</v>
      </c>
      <c r="O556" s="16" t="s">
        <v>2557</v>
      </c>
      <c r="Q556" s="152" t="s">
        <v>4385</v>
      </c>
      <c r="R556" s="16" t="s">
        <v>4372</v>
      </c>
      <c r="S556" s="16" t="s">
        <v>3673</v>
      </c>
      <c r="T556" s="16" t="s">
        <v>4386</v>
      </c>
      <c r="U556" s="16" t="s">
        <v>3411</v>
      </c>
      <c r="V556" s="16" t="s">
        <v>3681</v>
      </c>
      <c r="W556" s="17"/>
      <c r="X556" s="16" t="s">
        <v>4386</v>
      </c>
      <c r="Y556" s="16" t="s">
        <v>3411</v>
      </c>
      <c r="Z556" s="16" t="s">
        <v>3681</v>
      </c>
      <c r="AA556" s="17"/>
      <c r="AB556" s="17"/>
    </row>
    <row r="557">
      <c r="A557" s="16">
        <f t="shared" si="2"/>
        <v>556</v>
      </c>
      <c r="B557" s="16" t="s">
        <v>1543</v>
      </c>
      <c r="C557" s="16">
        <v>6.002066E7</v>
      </c>
      <c r="D557" s="16" t="s">
        <v>1544</v>
      </c>
      <c r="E557" s="16" t="s">
        <v>3106</v>
      </c>
      <c r="F557" s="16" t="s">
        <v>10</v>
      </c>
      <c r="G557" s="16" t="s">
        <v>3669</v>
      </c>
      <c r="H557" s="16" t="s">
        <v>12</v>
      </c>
      <c r="I557" s="16" t="s">
        <v>3396</v>
      </c>
      <c r="J557" s="16" t="s">
        <v>13</v>
      </c>
      <c r="K557" s="16" t="s">
        <v>1528</v>
      </c>
      <c r="L557" s="154">
        <v>45169.0</v>
      </c>
      <c r="M557" s="16">
        <f t="shared" si="1"/>
        <v>3</v>
      </c>
      <c r="N557" s="16">
        <v>4.500013245E9</v>
      </c>
      <c r="O557" s="16" t="s">
        <v>2557</v>
      </c>
      <c r="Q557" s="152" t="s">
        <v>4387</v>
      </c>
      <c r="R557" s="16" t="s">
        <v>4388</v>
      </c>
      <c r="S557" s="16" t="s">
        <v>3671</v>
      </c>
      <c r="T557" s="17"/>
      <c r="U557" s="16" t="s">
        <v>3411</v>
      </c>
      <c r="V557" s="16" t="s">
        <v>3681</v>
      </c>
      <c r="W557" s="17"/>
      <c r="X557" s="17"/>
      <c r="Y557" s="16" t="s">
        <v>3411</v>
      </c>
      <c r="Z557" s="16" t="s">
        <v>3681</v>
      </c>
      <c r="AA557" s="17"/>
      <c r="AB557" s="17"/>
    </row>
    <row r="558">
      <c r="A558" s="16">
        <f t="shared" si="2"/>
        <v>557</v>
      </c>
      <c r="B558" s="16" t="s">
        <v>1545</v>
      </c>
      <c r="C558" s="16">
        <v>6.0020661E7</v>
      </c>
      <c r="D558" s="16" t="s">
        <v>1546</v>
      </c>
      <c r="E558" s="16" t="s">
        <v>3106</v>
      </c>
      <c r="F558" s="16" t="s">
        <v>10</v>
      </c>
      <c r="G558" s="16" t="s">
        <v>3669</v>
      </c>
      <c r="H558" s="16" t="s">
        <v>12</v>
      </c>
      <c r="I558" s="16" t="s">
        <v>3396</v>
      </c>
      <c r="J558" s="16" t="s">
        <v>13</v>
      </c>
      <c r="K558" s="16" t="s">
        <v>1528</v>
      </c>
      <c r="L558" s="154">
        <v>45169.0</v>
      </c>
      <c r="M558" s="16">
        <f t="shared" si="1"/>
        <v>3</v>
      </c>
      <c r="N558" s="16">
        <v>4.500013245E9</v>
      </c>
      <c r="O558" s="16" t="s">
        <v>4338</v>
      </c>
      <c r="Q558" s="152" t="s">
        <v>4389</v>
      </c>
      <c r="R558" s="16" t="s">
        <v>4388</v>
      </c>
      <c r="S558" s="16" t="s">
        <v>3671</v>
      </c>
      <c r="T558" s="17"/>
      <c r="U558" s="16" t="s">
        <v>3411</v>
      </c>
      <c r="V558" s="16" t="s">
        <v>3681</v>
      </c>
      <c r="W558" s="17"/>
      <c r="X558" s="17"/>
      <c r="Y558" s="16" t="s">
        <v>3411</v>
      </c>
      <c r="Z558" s="16" t="s">
        <v>3681</v>
      </c>
      <c r="AA558" s="17"/>
      <c r="AB558" s="17"/>
    </row>
    <row r="559">
      <c r="A559" s="16">
        <f t="shared" si="2"/>
        <v>558</v>
      </c>
      <c r="B559" s="16" t="s">
        <v>1547</v>
      </c>
      <c r="C559" s="16">
        <v>6.0020662E7</v>
      </c>
      <c r="D559" s="16" t="s">
        <v>1548</v>
      </c>
      <c r="E559" s="16" t="s">
        <v>3106</v>
      </c>
      <c r="F559" s="16" t="s">
        <v>10</v>
      </c>
      <c r="G559" s="16" t="s">
        <v>3669</v>
      </c>
      <c r="H559" s="16" t="s">
        <v>12</v>
      </c>
      <c r="I559" s="16" t="s">
        <v>3396</v>
      </c>
      <c r="J559" s="16" t="s">
        <v>13</v>
      </c>
      <c r="K559" s="16" t="s">
        <v>1528</v>
      </c>
      <c r="L559" s="154">
        <v>45169.0</v>
      </c>
      <c r="M559" s="16">
        <f t="shared" si="1"/>
        <v>3</v>
      </c>
      <c r="N559" s="16">
        <v>4.500013245E9</v>
      </c>
      <c r="O559" s="16" t="s">
        <v>4339</v>
      </c>
      <c r="Q559" s="152" t="s">
        <v>4390</v>
      </c>
      <c r="R559" s="16" t="s">
        <v>3495</v>
      </c>
      <c r="S559" s="16" t="s">
        <v>3671</v>
      </c>
      <c r="T559" s="17"/>
      <c r="U559" s="16" t="s">
        <v>3411</v>
      </c>
      <c r="V559" s="16" t="s">
        <v>3681</v>
      </c>
      <c r="W559" s="17"/>
      <c r="X559" s="17"/>
      <c r="Y559" s="16" t="s">
        <v>3411</v>
      </c>
      <c r="Z559" s="16" t="s">
        <v>3681</v>
      </c>
      <c r="AA559" s="17"/>
      <c r="AB559" s="17"/>
    </row>
    <row r="560">
      <c r="A560" s="16">
        <f t="shared" si="2"/>
        <v>559</v>
      </c>
      <c r="B560" s="16" t="s">
        <v>1549</v>
      </c>
      <c r="C560" s="16">
        <v>6.0020663E7</v>
      </c>
      <c r="D560" s="16" t="s">
        <v>1550</v>
      </c>
      <c r="E560" s="16" t="s">
        <v>3106</v>
      </c>
      <c r="F560" s="16" t="s">
        <v>10</v>
      </c>
      <c r="G560" s="16" t="s">
        <v>3669</v>
      </c>
      <c r="H560" s="16" t="s">
        <v>12</v>
      </c>
      <c r="I560" s="16" t="s">
        <v>3396</v>
      </c>
      <c r="J560" s="16" t="s">
        <v>13</v>
      </c>
      <c r="K560" s="16" t="s">
        <v>1528</v>
      </c>
      <c r="L560" s="154">
        <v>45169.0</v>
      </c>
      <c r="M560" s="16">
        <f t="shared" si="1"/>
        <v>3</v>
      </c>
      <c r="N560" s="16">
        <v>4.500013245E9</v>
      </c>
      <c r="O560" s="16" t="s">
        <v>4391</v>
      </c>
      <c r="Q560" s="152" t="s">
        <v>4392</v>
      </c>
      <c r="R560" s="16" t="s">
        <v>4393</v>
      </c>
      <c r="S560" s="16" t="s">
        <v>3671</v>
      </c>
      <c r="T560" s="17"/>
      <c r="U560" s="16" t="s">
        <v>3411</v>
      </c>
      <c r="V560" s="16" t="s">
        <v>3681</v>
      </c>
      <c r="W560" s="17"/>
      <c r="X560" s="17"/>
      <c r="Y560" s="16" t="s">
        <v>3411</v>
      </c>
      <c r="Z560" s="16" t="s">
        <v>3681</v>
      </c>
      <c r="AA560" s="17"/>
      <c r="AB560" s="17"/>
    </row>
    <row r="561">
      <c r="A561" s="16">
        <f t="shared" si="2"/>
        <v>560</v>
      </c>
      <c r="B561" s="16" t="s">
        <v>1551</v>
      </c>
      <c r="C561" s="16">
        <v>6.0020664E7</v>
      </c>
      <c r="D561" s="16" t="s">
        <v>1552</v>
      </c>
      <c r="E561" s="16" t="s">
        <v>3106</v>
      </c>
      <c r="F561" s="16" t="s">
        <v>10</v>
      </c>
      <c r="G561" s="16" t="s">
        <v>3669</v>
      </c>
      <c r="H561" s="16" t="s">
        <v>12</v>
      </c>
      <c r="I561" s="16" t="s">
        <v>3396</v>
      </c>
      <c r="J561" s="16" t="s">
        <v>13</v>
      </c>
      <c r="K561" s="16" t="s">
        <v>1528</v>
      </c>
      <c r="L561" s="154">
        <v>45169.0</v>
      </c>
      <c r="M561" s="16">
        <f t="shared" si="1"/>
        <v>3</v>
      </c>
      <c r="N561" s="16">
        <v>4.500013245E9</v>
      </c>
      <c r="O561" s="16" t="s">
        <v>2557</v>
      </c>
      <c r="Q561" s="152" t="s">
        <v>4394</v>
      </c>
      <c r="R561" s="16" t="s">
        <v>4388</v>
      </c>
      <c r="S561" s="16" t="s">
        <v>3671</v>
      </c>
      <c r="T561" s="17"/>
      <c r="U561" s="16" t="s">
        <v>3411</v>
      </c>
      <c r="V561" s="16" t="s">
        <v>3681</v>
      </c>
      <c r="W561" s="17"/>
      <c r="X561" s="17"/>
      <c r="Y561" s="16" t="s">
        <v>3411</v>
      </c>
      <c r="Z561" s="16" t="s">
        <v>3681</v>
      </c>
      <c r="AA561" s="17"/>
      <c r="AB561" s="17"/>
    </row>
    <row r="562">
      <c r="A562" s="16">
        <f t="shared" si="2"/>
        <v>561</v>
      </c>
      <c r="B562" s="16" t="s">
        <v>1553</v>
      </c>
      <c r="C562" s="16">
        <v>6.0020665E7</v>
      </c>
      <c r="D562" s="16" t="s">
        <v>1554</v>
      </c>
      <c r="E562" s="16" t="s">
        <v>3106</v>
      </c>
      <c r="F562" s="16" t="s">
        <v>10</v>
      </c>
      <c r="G562" s="16" t="s">
        <v>3669</v>
      </c>
      <c r="H562" s="16" t="s">
        <v>12</v>
      </c>
      <c r="I562" s="16" t="s">
        <v>3396</v>
      </c>
      <c r="J562" s="16" t="s">
        <v>13</v>
      </c>
      <c r="K562" s="16" t="s">
        <v>1528</v>
      </c>
      <c r="L562" s="154">
        <v>45169.0</v>
      </c>
      <c r="M562" s="16">
        <f t="shared" si="1"/>
        <v>3</v>
      </c>
      <c r="N562" s="16">
        <v>4.500013245E9</v>
      </c>
      <c r="O562" s="16" t="s">
        <v>4280</v>
      </c>
      <c r="Q562" s="152" t="s">
        <v>4395</v>
      </c>
      <c r="R562" s="16" t="s">
        <v>4393</v>
      </c>
      <c r="S562" s="16" t="s">
        <v>3671</v>
      </c>
      <c r="T562" s="17"/>
      <c r="U562" s="16" t="s">
        <v>3411</v>
      </c>
      <c r="V562" s="16" t="s">
        <v>3681</v>
      </c>
      <c r="W562" s="17"/>
      <c r="X562" s="17"/>
      <c r="Y562" s="16" t="s">
        <v>3411</v>
      </c>
      <c r="Z562" s="16" t="s">
        <v>3681</v>
      </c>
      <c r="AA562" s="17"/>
      <c r="AB562" s="17"/>
    </row>
    <row r="563">
      <c r="A563" s="16">
        <f t="shared" si="2"/>
        <v>562</v>
      </c>
      <c r="B563" s="16" t="s">
        <v>1555</v>
      </c>
      <c r="C563" s="16">
        <v>6.0020667E7</v>
      </c>
      <c r="D563" s="16" t="s">
        <v>1556</v>
      </c>
      <c r="E563" s="16" t="s">
        <v>3106</v>
      </c>
      <c r="F563" s="16" t="s">
        <v>10</v>
      </c>
      <c r="G563" s="16" t="s">
        <v>3669</v>
      </c>
      <c r="H563" s="16" t="s">
        <v>12</v>
      </c>
      <c r="I563" s="16" t="s">
        <v>3396</v>
      </c>
      <c r="J563" s="16" t="s">
        <v>13</v>
      </c>
      <c r="K563" s="16" t="s">
        <v>1528</v>
      </c>
      <c r="L563" s="154">
        <v>45169.0</v>
      </c>
      <c r="M563" s="16">
        <f t="shared" si="1"/>
        <v>3</v>
      </c>
      <c r="N563" s="16">
        <v>4.500013245E9</v>
      </c>
      <c r="O563" s="16" t="s">
        <v>2557</v>
      </c>
      <c r="Q563" s="152" t="s">
        <v>4396</v>
      </c>
      <c r="R563" s="115">
        <v>45181.0</v>
      </c>
      <c r="S563" s="16" t="s">
        <v>3671</v>
      </c>
      <c r="T563" s="17"/>
      <c r="U563" s="16" t="s">
        <v>3180</v>
      </c>
      <c r="V563" s="16" t="s">
        <v>3681</v>
      </c>
      <c r="W563" s="17"/>
      <c r="X563" s="17"/>
      <c r="Y563" s="16" t="s">
        <v>3180</v>
      </c>
      <c r="Z563" s="16" t="s">
        <v>3681</v>
      </c>
      <c r="AA563" s="17"/>
      <c r="AB563" s="17"/>
    </row>
    <row r="564">
      <c r="A564" s="16">
        <f t="shared" si="2"/>
        <v>563</v>
      </c>
      <c r="B564" s="16" t="s">
        <v>1557</v>
      </c>
      <c r="C564" s="16">
        <v>6.0020668E7</v>
      </c>
      <c r="D564" s="16" t="s">
        <v>1558</v>
      </c>
      <c r="E564" s="16" t="s">
        <v>3106</v>
      </c>
      <c r="F564" s="16" t="s">
        <v>10</v>
      </c>
      <c r="G564" s="16" t="s">
        <v>3669</v>
      </c>
      <c r="H564" s="16" t="s">
        <v>12</v>
      </c>
      <c r="I564" s="16" t="s">
        <v>3396</v>
      </c>
      <c r="J564" s="16" t="s">
        <v>13</v>
      </c>
      <c r="K564" s="16" t="s">
        <v>1528</v>
      </c>
      <c r="L564" s="154">
        <v>45169.0</v>
      </c>
      <c r="M564" s="16">
        <f t="shared" si="1"/>
        <v>3</v>
      </c>
      <c r="N564" s="16">
        <v>4.500013245E9</v>
      </c>
      <c r="O564" s="16" t="s">
        <v>3891</v>
      </c>
      <c r="Q564" s="152" t="s">
        <v>4397</v>
      </c>
      <c r="R564" s="115">
        <v>45181.0</v>
      </c>
      <c r="S564" s="16" t="s">
        <v>3673</v>
      </c>
      <c r="T564" s="16" t="s">
        <v>4398</v>
      </c>
      <c r="U564" s="16" t="s">
        <v>3180</v>
      </c>
      <c r="V564" s="16" t="s">
        <v>3681</v>
      </c>
      <c r="W564" s="17"/>
      <c r="X564" s="16" t="s">
        <v>4398</v>
      </c>
      <c r="Y564" s="16" t="s">
        <v>3180</v>
      </c>
      <c r="Z564" s="16" t="s">
        <v>3681</v>
      </c>
      <c r="AA564" s="17"/>
      <c r="AB564" s="17"/>
    </row>
    <row r="565">
      <c r="A565" s="16">
        <f t="shared" si="2"/>
        <v>564</v>
      </c>
      <c r="B565" s="16" t="s">
        <v>1559</v>
      </c>
      <c r="C565" s="16">
        <v>6.0020669E7</v>
      </c>
      <c r="D565" s="16" t="s">
        <v>1560</v>
      </c>
      <c r="E565" s="16" t="s">
        <v>3106</v>
      </c>
      <c r="F565" s="16" t="s">
        <v>10</v>
      </c>
      <c r="G565" s="16" t="s">
        <v>3669</v>
      </c>
      <c r="H565" s="16" t="s">
        <v>12</v>
      </c>
      <c r="I565" s="16" t="s">
        <v>3396</v>
      </c>
      <c r="J565" s="16" t="s">
        <v>13</v>
      </c>
      <c r="K565" s="16" t="s">
        <v>1528</v>
      </c>
      <c r="L565" s="154">
        <v>45169.0</v>
      </c>
      <c r="M565" s="16">
        <f t="shared" si="1"/>
        <v>3</v>
      </c>
      <c r="N565" s="16">
        <v>4.500013245E9</v>
      </c>
      <c r="O565" s="16" t="s">
        <v>3893</v>
      </c>
      <c r="Q565" s="152" t="s">
        <v>4399</v>
      </c>
      <c r="R565" s="115">
        <v>45181.0</v>
      </c>
      <c r="S565" s="16" t="s">
        <v>3673</v>
      </c>
      <c r="T565" s="16" t="s">
        <v>4400</v>
      </c>
      <c r="U565" s="16" t="s">
        <v>3180</v>
      </c>
      <c r="V565" s="16" t="s">
        <v>3681</v>
      </c>
      <c r="W565" s="17"/>
      <c r="X565" s="16" t="s">
        <v>4400</v>
      </c>
      <c r="Y565" s="16" t="s">
        <v>3180</v>
      </c>
      <c r="Z565" s="16" t="s">
        <v>3681</v>
      </c>
      <c r="AA565" s="17"/>
      <c r="AB565" s="17"/>
    </row>
    <row r="566">
      <c r="A566" s="16">
        <f t="shared" si="2"/>
        <v>565</v>
      </c>
      <c r="B566" s="16" t="s">
        <v>1561</v>
      </c>
      <c r="C566" s="16">
        <v>6.002067E7</v>
      </c>
      <c r="D566" s="16" t="s">
        <v>1562</v>
      </c>
      <c r="E566" s="16" t="s">
        <v>3106</v>
      </c>
      <c r="F566" s="16" t="s">
        <v>10</v>
      </c>
      <c r="G566" s="16" t="s">
        <v>3669</v>
      </c>
      <c r="H566" s="16" t="s">
        <v>12</v>
      </c>
      <c r="I566" s="16" t="s">
        <v>3396</v>
      </c>
      <c r="J566" s="16" t="s">
        <v>13</v>
      </c>
      <c r="K566" s="16" t="s">
        <v>1528</v>
      </c>
      <c r="L566" s="154">
        <v>45169.0</v>
      </c>
      <c r="M566" s="16">
        <f t="shared" si="1"/>
        <v>3</v>
      </c>
      <c r="N566" s="16">
        <v>4.500013245E9</v>
      </c>
      <c r="O566" s="16" t="s">
        <v>3895</v>
      </c>
      <c r="Q566" s="152" t="s">
        <v>4401</v>
      </c>
      <c r="R566" s="17"/>
      <c r="S566" s="16" t="s">
        <v>3673</v>
      </c>
      <c r="T566" s="16" t="s">
        <v>4402</v>
      </c>
      <c r="U566" s="16" t="s">
        <v>3180</v>
      </c>
      <c r="V566" s="16" t="s">
        <v>3681</v>
      </c>
      <c r="W566" s="17"/>
      <c r="X566" s="16" t="s">
        <v>4402</v>
      </c>
      <c r="Y566" s="16" t="s">
        <v>3180</v>
      </c>
      <c r="Z566" s="16" t="s">
        <v>3681</v>
      </c>
      <c r="AA566" s="17"/>
      <c r="AB566" s="17"/>
    </row>
    <row r="567">
      <c r="A567" s="16">
        <f t="shared" si="2"/>
        <v>566</v>
      </c>
      <c r="B567" s="16" t="s">
        <v>1563</v>
      </c>
      <c r="C567" s="16">
        <v>6.0020671E7</v>
      </c>
      <c r="D567" s="16" t="s">
        <v>1564</v>
      </c>
      <c r="E567" s="16" t="s">
        <v>3106</v>
      </c>
      <c r="F567" s="16" t="s">
        <v>10</v>
      </c>
      <c r="G567" s="16" t="s">
        <v>3669</v>
      </c>
      <c r="H567" s="16" t="s">
        <v>12</v>
      </c>
      <c r="I567" s="16" t="s">
        <v>3396</v>
      </c>
      <c r="J567" s="16" t="s">
        <v>13</v>
      </c>
      <c r="K567" s="16" t="s">
        <v>1528</v>
      </c>
      <c r="L567" s="154">
        <v>45169.0</v>
      </c>
      <c r="M567" s="16">
        <f t="shared" si="1"/>
        <v>3</v>
      </c>
      <c r="N567" s="16">
        <v>4.500013245E9</v>
      </c>
      <c r="O567" s="16" t="s">
        <v>2557</v>
      </c>
      <c r="Q567" s="152" t="s">
        <v>4403</v>
      </c>
      <c r="R567" s="115">
        <v>45181.0</v>
      </c>
      <c r="S567" s="16" t="s">
        <v>3671</v>
      </c>
      <c r="T567" s="17"/>
      <c r="U567" s="16" t="s">
        <v>3180</v>
      </c>
      <c r="V567" s="16" t="s">
        <v>3681</v>
      </c>
      <c r="W567" s="17"/>
      <c r="X567" s="17"/>
      <c r="Y567" s="16" t="s">
        <v>3180</v>
      </c>
      <c r="Z567" s="16" t="s">
        <v>3681</v>
      </c>
      <c r="AA567" s="17"/>
      <c r="AB567" s="17"/>
    </row>
    <row r="568">
      <c r="A568" s="16">
        <f t="shared" si="2"/>
        <v>567</v>
      </c>
      <c r="B568" s="16" t="s">
        <v>1565</v>
      </c>
      <c r="C568" s="16">
        <v>6.0020431E7</v>
      </c>
      <c r="D568" s="16" t="s">
        <v>1566</v>
      </c>
      <c r="E568" s="16" t="s">
        <v>3106</v>
      </c>
      <c r="F568" s="16" t="s">
        <v>10</v>
      </c>
      <c r="G568" s="16" t="s">
        <v>3669</v>
      </c>
      <c r="H568" s="16" t="s">
        <v>12</v>
      </c>
      <c r="I568" s="16" t="s">
        <v>3396</v>
      </c>
      <c r="J568" s="16" t="s">
        <v>13</v>
      </c>
      <c r="K568" s="16" t="s">
        <v>1528</v>
      </c>
      <c r="L568" s="154">
        <v>44988.0</v>
      </c>
      <c r="M568" s="16">
        <f t="shared" si="1"/>
        <v>3</v>
      </c>
      <c r="N568" s="16">
        <v>4.5000013233E10</v>
      </c>
      <c r="O568" s="16" t="s">
        <v>2557</v>
      </c>
      <c r="Q568" s="152" t="s">
        <v>4404</v>
      </c>
      <c r="R568" s="17"/>
      <c r="S568" s="16" t="s">
        <v>3671</v>
      </c>
      <c r="T568" s="17"/>
      <c r="U568" s="16" t="s">
        <v>4260</v>
      </c>
      <c r="V568" s="17"/>
      <c r="W568" s="17"/>
      <c r="X568" s="17"/>
      <c r="Y568" s="16" t="s">
        <v>4260</v>
      </c>
      <c r="Z568" s="17"/>
      <c r="AA568" s="17"/>
      <c r="AB568" s="17"/>
    </row>
    <row r="569">
      <c r="A569" s="16">
        <f t="shared" si="2"/>
        <v>568</v>
      </c>
      <c r="B569" s="16" t="s">
        <v>1567</v>
      </c>
      <c r="C569" s="16">
        <v>6.0020432E7</v>
      </c>
      <c r="D569" s="16" t="s">
        <v>1568</v>
      </c>
      <c r="E569" s="16" t="s">
        <v>3106</v>
      </c>
      <c r="F569" s="16" t="s">
        <v>10</v>
      </c>
      <c r="G569" s="16" t="s">
        <v>3669</v>
      </c>
      <c r="H569" s="16" t="s">
        <v>12</v>
      </c>
      <c r="I569" s="16" t="s">
        <v>3396</v>
      </c>
      <c r="J569" s="16" t="s">
        <v>13</v>
      </c>
      <c r="K569" s="16" t="s">
        <v>1528</v>
      </c>
      <c r="L569" s="154">
        <v>44988.0</v>
      </c>
      <c r="M569" s="16">
        <f t="shared" si="1"/>
        <v>3</v>
      </c>
      <c r="N569" s="16">
        <v>4.5000013241E10</v>
      </c>
      <c r="O569" s="16" t="s">
        <v>2557</v>
      </c>
      <c r="Q569" s="152" t="s">
        <v>4405</v>
      </c>
      <c r="R569" s="17"/>
      <c r="S569" s="16" t="s">
        <v>3671</v>
      </c>
      <c r="T569" s="17"/>
      <c r="U569" s="16" t="s">
        <v>4260</v>
      </c>
      <c r="V569" s="17"/>
      <c r="W569" s="17"/>
      <c r="X569" s="17"/>
      <c r="Y569" s="16" t="s">
        <v>4260</v>
      </c>
      <c r="Z569" s="17"/>
      <c r="AA569" s="17"/>
      <c r="AB569" s="17"/>
    </row>
    <row r="570">
      <c r="A570" s="16">
        <f t="shared" si="2"/>
        <v>569</v>
      </c>
      <c r="B570" s="16" t="s">
        <v>1569</v>
      </c>
      <c r="C570" s="16">
        <v>6.0020657E7</v>
      </c>
      <c r="D570" s="16" t="s">
        <v>1570</v>
      </c>
      <c r="E570" s="16" t="s">
        <v>3106</v>
      </c>
      <c r="F570" s="16" t="s">
        <v>10</v>
      </c>
      <c r="G570" s="16" t="s">
        <v>3669</v>
      </c>
      <c r="H570" s="16" t="s">
        <v>12</v>
      </c>
      <c r="I570" s="16" t="s">
        <v>3396</v>
      </c>
      <c r="J570" s="16" t="s">
        <v>13</v>
      </c>
      <c r="K570" s="16" t="s">
        <v>1528</v>
      </c>
      <c r="L570" s="154">
        <v>45169.0</v>
      </c>
      <c r="M570" s="16">
        <f t="shared" si="1"/>
        <v>3</v>
      </c>
      <c r="N570" s="16">
        <v>4.500013245E9</v>
      </c>
      <c r="O570" s="16" t="s">
        <v>2557</v>
      </c>
      <c r="Q570" s="152" t="s">
        <v>4406</v>
      </c>
      <c r="R570" s="115">
        <v>45506.0</v>
      </c>
      <c r="S570" s="16" t="s">
        <v>3673</v>
      </c>
      <c r="T570" s="16" t="s">
        <v>4407</v>
      </c>
      <c r="U570" s="16" t="s">
        <v>4408</v>
      </c>
      <c r="V570" s="16" t="s">
        <v>3681</v>
      </c>
      <c r="W570" s="17"/>
      <c r="X570" s="16" t="s">
        <v>4407</v>
      </c>
      <c r="Y570" s="16" t="s">
        <v>4408</v>
      </c>
      <c r="Z570" s="16" t="s">
        <v>3681</v>
      </c>
      <c r="AA570" s="17"/>
      <c r="AB570" s="17"/>
    </row>
    <row r="571">
      <c r="A571" s="16">
        <f t="shared" si="2"/>
        <v>570</v>
      </c>
      <c r="B571" s="16" t="s">
        <v>1571</v>
      </c>
      <c r="C571" s="16">
        <v>6.0020658E7</v>
      </c>
      <c r="D571" s="16" t="s">
        <v>1572</v>
      </c>
      <c r="E571" s="16" t="s">
        <v>3106</v>
      </c>
      <c r="F571" s="16" t="s">
        <v>10</v>
      </c>
      <c r="G571" s="16" t="s">
        <v>3669</v>
      </c>
      <c r="H571" s="16" t="s">
        <v>12</v>
      </c>
      <c r="I571" s="16" t="s">
        <v>3396</v>
      </c>
      <c r="J571" s="16" t="s">
        <v>13</v>
      </c>
      <c r="K571" s="16" t="s">
        <v>1528</v>
      </c>
      <c r="L571" s="154">
        <v>45169.0</v>
      </c>
      <c r="M571" s="16">
        <f t="shared" si="1"/>
        <v>3</v>
      </c>
      <c r="N571" s="16">
        <v>4.500013245E9</v>
      </c>
      <c r="O571" s="16" t="s">
        <v>3670</v>
      </c>
      <c r="Q571" s="152" t="s">
        <v>4409</v>
      </c>
      <c r="R571" s="115">
        <v>45833.0</v>
      </c>
      <c r="S571" s="16" t="s">
        <v>2557</v>
      </c>
      <c r="T571" s="16" t="s">
        <v>4410</v>
      </c>
      <c r="U571" s="16" t="s">
        <v>4408</v>
      </c>
      <c r="V571" s="16" t="s">
        <v>3681</v>
      </c>
      <c r="W571" s="17"/>
      <c r="X571" s="16" t="s">
        <v>4410</v>
      </c>
      <c r="Y571" s="16" t="s">
        <v>4408</v>
      </c>
      <c r="Z571" s="16" t="s">
        <v>3681</v>
      </c>
      <c r="AA571" s="17"/>
      <c r="AB571" s="17"/>
    </row>
    <row r="572">
      <c r="A572" s="16">
        <f t="shared" si="2"/>
        <v>571</v>
      </c>
      <c r="B572" s="16" t="s">
        <v>1573</v>
      </c>
      <c r="C572" s="16">
        <v>6.0020659E7</v>
      </c>
      <c r="D572" s="16" t="s">
        <v>1574</v>
      </c>
      <c r="E572" s="16" t="s">
        <v>3106</v>
      </c>
      <c r="F572" s="16" t="s">
        <v>10</v>
      </c>
      <c r="G572" s="16" t="s">
        <v>3669</v>
      </c>
      <c r="H572" s="16" t="s">
        <v>12</v>
      </c>
      <c r="I572" s="16" t="s">
        <v>3396</v>
      </c>
      <c r="J572" s="16" t="s">
        <v>13</v>
      </c>
      <c r="K572" s="16" t="s">
        <v>1528</v>
      </c>
      <c r="L572" s="154">
        <v>45169.0</v>
      </c>
      <c r="M572" s="16">
        <f t="shared" si="1"/>
        <v>3</v>
      </c>
      <c r="N572" s="16">
        <v>4.500013245E9</v>
      </c>
      <c r="O572" s="16" t="s">
        <v>2557</v>
      </c>
      <c r="Q572" s="152" t="s">
        <v>4411</v>
      </c>
      <c r="R572" s="115">
        <v>45506.0</v>
      </c>
      <c r="S572" s="16" t="s">
        <v>3673</v>
      </c>
      <c r="T572" s="16" t="s">
        <v>4412</v>
      </c>
      <c r="U572" s="16" t="s">
        <v>4408</v>
      </c>
      <c r="V572" s="16" t="s">
        <v>3681</v>
      </c>
      <c r="W572" s="17"/>
      <c r="X572" s="16" t="s">
        <v>4412</v>
      </c>
      <c r="Y572" s="16" t="s">
        <v>4408</v>
      </c>
      <c r="Z572" s="16" t="s">
        <v>3681</v>
      </c>
      <c r="AA572" s="17"/>
      <c r="AB572" s="17"/>
    </row>
    <row r="573">
      <c r="A573" s="16">
        <f t="shared" si="2"/>
        <v>572</v>
      </c>
      <c r="B573" s="16" t="s">
        <v>1575</v>
      </c>
      <c r="C573" s="16">
        <v>6.0020911E7</v>
      </c>
      <c r="D573" s="16" t="s">
        <v>1576</v>
      </c>
      <c r="E573" s="16" t="s">
        <v>3106</v>
      </c>
      <c r="F573" s="16" t="s">
        <v>10</v>
      </c>
      <c r="G573" s="16" t="s">
        <v>3669</v>
      </c>
      <c r="H573" s="16" t="s">
        <v>12</v>
      </c>
      <c r="I573" s="16" t="s">
        <v>3396</v>
      </c>
      <c r="J573" s="16" t="s">
        <v>13</v>
      </c>
      <c r="K573" s="16" t="s">
        <v>1528</v>
      </c>
      <c r="L573" s="154">
        <v>45089.0</v>
      </c>
      <c r="M573" s="16">
        <f t="shared" si="1"/>
        <v>3</v>
      </c>
      <c r="N573" s="16">
        <v>4.500013875E9</v>
      </c>
      <c r="O573" s="16" t="s">
        <v>2557</v>
      </c>
      <c r="Q573" s="152" t="s">
        <v>4413</v>
      </c>
      <c r="R573" s="115">
        <v>45506.0</v>
      </c>
      <c r="S573" s="16" t="s">
        <v>3673</v>
      </c>
      <c r="T573" s="16" t="s">
        <v>4414</v>
      </c>
      <c r="U573" s="16" t="s">
        <v>3150</v>
      </c>
      <c r="V573" s="16" t="s">
        <v>3729</v>
      </c>
      <c r="W573" s="17"/>
      <c r="X573" s="16" t="s">
        <v>4414</v>
      </c>
      <c r="Y573" s="16" t="s">
        <v>3150</v>
      </c>
      <c r="Z573" s="16" t="s">
        <v>3729</v>
      </c>
      <c r="AA573" s="17"/>
      <c r="AB573" s="17"/>
    </row>
    <row r="574">
      <c r="A574" s="16">
        <f t="shared" si="2"/>
        <v>573</v>
      </c>
      <c r="B574" s="16" t="s">
        <v>1577</v>
      </c>
      <c r="C574" s="16">
        <v>6.0020912E7</v>
      </c>
      <c r="D574" s="16" t="s">
        <v>1578</v>
      </c>
      <c r="E574" s="16" t="s">
        <v>3106</v>
      </c>
      <c r="F574" s="16" t="s">
        <v>10</v>
      </c>
      <c r="G574" s="16" t="s">
        <v>3669</v>
      </c>
      <c r="H574" s="16" t="s">
        <v>12</v>
      </c>
      <c r="I574" s="16" t="s">
        <v>3396</v>
      </c>
      <c r="J574" s="16" t="s">
        <v>13</v>
      </c>
      <c r="K574" s="16" t="s">
        <v>1528</v>
      </c>
      <c r="L574" s="154">
        <v>45089.0</v>
      </c>
      <c r="M574" s="16">
        <f t="shared" si="1"/>
        <v>3</v>
      </c>
      <c r="N574" s="16">
        <v>4.500013875E9</v>
      </c>
      <c r="O574" s="16" t="s">
        <v>2557</v>
      </c>
      <c r="Q574" s="152" t="s">
        <v>4415</v>
      </c>
      <c r="R574" s="115">
        <v>45506.0</v>
      </c>
      <c r="S574" s="16" t="s">
        <v>3673</v>
      </c>
      <c r="T574" s="16" t="s">
        <v>4416</v>
      </c>
      <c r="U574" s="16" t="s">
        <v>3150</v>
      </c>
      <c r="V574" s="16" t="s">
        <v>3729</v>
      </c>
      <c r="W574" s="17"/>
      <c r="X574" s="16" t="s">
        <v>4416</v>
      </c>
      <c r="Y574" s="16" t="s">
        <v>3150</v>
      </c>
      <c r="Z574" s="16" t="s">
        <v>3729</v>
      </c>
      <c r="AA574" s="17"/>
      <c r="AB574" s="17"/>
    </row>
    <row r="575">
      <c r="A575" s="16">
        <f t="shared" si="2"/>
        <v>574</v>
      </c>
      <c r="B575" s="16" t="s">
        <v>1579</v>
      </c>
      <c r="C575" s="16">
        <v>6.0020913E7</v>
      </c>
      <c r="D575" s="16" t="s">
        <v>1580</v>
      </c>
      <c r="E575" s="16" t="s">
        <v>3106</v>
      </c>
      <c r="F575" s="16" t="s">
        <v>10</v>
      </c>
      <c r="G575" s="16" t="s">
        <v>3669</v>
      </c>
      <c r="H575" s="16" t="s">
        <v>12</v>
      </c>
      <c r="I575" s="16" t="s">
        <v>3396</v>
      </c>
      <c r="J575" s="16" t="s">
        <v>13</v>
      </c>
      <c r="K575" s="16" t="s">
        <v>1528</v>
      </c>
      <c r="L575" s="154">
        <v>45089.0</v>
      </c>
      <c r="M575" s="16">
        <f t="shared" si="1"/>
        <v>3</v>
      </c>
      <c r="N575" s="16">
        <v>4.500013875E9</v>
      </c>
      <c r="O575" s="16" t="s">
        <v>2557</v>
      </c>
      <c r="Q575" s="152" t="s">
        <v>4417</v>
      </c>
      <c r="R575" s="115">
        <v>45506.0</v>
      </c>
      <c r="S575" s="16" t="s">
        <v>3673</v>
      </c>
      <c r="T575" s="16" t="s">
        <v>4418</v>
      </c>
      <c r="U575" s="16" t="s">
        <v>3150</v>
      </c>
      <c r="V575" s="16" t="s">
        <v>3729</v>
      </c>
      <c r="W575" s="17"/>
      <c r="X575" s="16" t="s">
        <v>4418</v>
      </c>
      <c r="Y575" s="16" t="s">
        <v>3150</v>
      </c>
      <c r="Z575" s="16" t="s">
        <v>3729</v>
      </c>
      <c r="AA575" s="17"/>
      <c r="AB575" s="17"/>
    </row>
    <row r="576">
      <c r="A576" s="16">
        <f t="shared" si="2"/>
        <v>575</v>
      </c>
      <c r="B576" s="16" t="s">
        <v>1581</v>
      </c>
      <c r="C576" s="16" t="s">
        <v>1582</v>
      </c>
      <c r="D576" s="16" t="s">
        <v>1583</v>
      </c>
      <c r="E576" s="16" t="s">
        <v>3106</v>
      </c>
      <c r="F576" s="16" t="s">
        <v>10</v>
      </c>
      <c r="G576" s="16" t="s">
        <v>775</v>
      </c>
      <c r="H576" s="16" t="s">
        <v>12</v>
      </c>
      <c r="I576" s="16" t="s">
        <v>4062</v>
      </c>
      <c r="J576" s="16" t="s">
        <v>79</v>
      </c>
      <c r="K576" s="16" t="s">
        <v>775</v>
      </c>
      <c r="L576" s="154">
        <v>44312.0</v>
      </c>
      <c r="M576" s="16">
        <f t="shared" si="1"/>
        <v>5</v>
      </c>
      <c r="N576" s="135">
        <v>5.0003988E7</v>
      </c>
      <c r="O576" s="17"/>
      <c r="Q576" s="152" t="s">
        <v>4419</v>
      </c>
      <c r="R576" s="17"/>
      <c r="S576" s="16" t="s">
        <v>3673</v>
      </c>
      <c r="T576" s="16" t="s">
        <v>4420</v>
      </c>
      <c r="U576" s="16" t="s">
        <v>4421</v>
      </c>
      <c r="V576" s="16" t="s">
        <v>3681</v>
      </c>
      <c r="W576" s="17"/>
      <c r="X576" s="16" t="s">
        <v>4420</v>
      </c>
      <c r="Y576" s="16" t="s">
        <v>3165</v>
      </c>
      <c r="Z576" s="16" t="s">
        <v>3681</v>
      </c>
      <c r="AA576" s="17"/>
      <c r="AB576" s="17"/>
    </row>
    <row r="577">
      <c r="A577" s="16">
        <f t="shared" si="2"/>
        <v>576</v>
      </c>
      <c r="B577" s="16" t="s">
        <v>1584</v>
      </c>
      <c r="C577" s="16" t="s">
        <v>1585</v>
      </c>
      <c r="D577" s="16" t="s">
        <v>1586</v>
      </c>
      <c r="E577" s="16" t="s">
        <v>3106</v>
      </c>
      <c r="F577" s="16" t="s">
        <v>10</v>
      </c>
      <c r="G577" s="16" t="s">
        <v>3685</v>
      </c>
      <c r="H577" s="16" t="s">
        <v>12</v>
      </c>
      <c r="I577" s="17"/>
      <c r="J577" s="16" t="s">
        <v>13</v>
      </c>
      <c r="K577" s="16" t="s">
        <v>47</v>
      </c>
      <c r="L577" s="154">
        <v>41559.0</v>
      </c>
      <c r="M577" s="16">
        <f t="shared" si="1"/>
        <v>13</v>
      </c>
      <c r="N577" s="16">
        <v>5.5000178E7</v>
      </c>
      <c r="O577" s="17"/>
      <c r="Q577" s="152" t="s">
        <v>4422</v>
      </c>
      <c r="R577" s="17"/>
      <c r="S577" s="16" t="s">
        <v>3673</v>
      </c>
      <c r="T577" s="16" t="s">
        <v>4423</v>
      </c>
      <c r="U577" s="16" t="s">
        <v>4421</v>
      </c>
      <c r="V577" s="16" t="s">
        <v>3681</v>
      </c>
      <c r="W577" s="17"/>
      <c r="X577" s="16" t="s">
        <v>4423</v>
      </c>
      <c r="Y577" s="16" t="s">
        <v>3165</v>
      </c>
      <c r="Z577" s="16" t="s">
        <v>3681</v>
      </c>
      <c r="AA577" s="17"/>
      <c r="AB577" s="17"/>
    </row>
    <row r="578">
      <c r="A578" s="16">
        <f t="shared" si="2"/>
        <v>577</v>
      </c>
      <c r="B578" s="16" t="s">
        <v>1587</v>
      </c>
      <c r="C578" s="16">
        <v>6.0020687E7</v>
      </c>
      <c r="D578" s="16" t="s">
        <v>1588</v>
      </c>
      <c r="E578" s="16" t="s">
        <v>3106</v>
      </c>
      <c r="F578" s="16" t="s">
        <v>10</v>
      </c>
      <c r="G578" s="16" t="s">
        <v>3669</v>
      </c>
      <c r="H578" s="16" t="s">
        <v>12</v>
      </c>
      <c r="I578" s="16" t="s">
        <v>3396</v>
      </c>
      <c r="J578" s="16" t="s">
        <v>13</v>
      </c>
      <c r="K578" s="16" t="s">
        <v>1528</v>
      </c>
      <c r="L578" s="154">
        <v>45169.0</v>
      </c>
      <c r="M578" s="16">
        <f t="shared" si="1"/>
        <v>3</v>
      </c>
      <c r="N578" s="16">
        <v>4.500013245E9</v>
      </c>
      <c r="O578" s="16" t="s">
        <v>2557</v>
      </c>
      <c r="Q578" s="152" t="s">
        <v>4424</v>
      </c>
      <c r="R578" s="16" t="s">
        <v>4425</v>
      </c>
      <c r="S578" s="16" t="s">
        <v>3671</v>
      </c>
      <c r="T578" s="17"/>
      <c r="U578" s="16" t="s">
        <v>3762</v>
      </c>
      <c r="V578" s="16" t="s">
        <v>3681</v>
      </c>
      <c r="W578" s="17"/>
      <c r="X578" s="17"/>
      <c r="Y578" s="16" t="s">
        <v>3762</v>
      </c>
      <c r="Z578" s="16" t="s">
        <v>3681</v>
      </c>
      <c r="AA578" s="17"/>
      <c r="AB578" s="17"/>
    </row>
    <row r="579">
      <c r="A579" s="16">
        <f t="shared" si="2"/>
        <v>578</v>
      </c>
      <c r="B579" s="16" t="s">
        <v>1589</v>
      </c>
      <c r="C579" s="16">
        <v>6.0020688E7</v>
      </c>
      <c r="D579" s="16" t="s">
        <v>1590</v>
      </c>
      <c r="E579" s="16" t="s">
        <v>3106</v>
      </c>
      <c r="F579" s="16" t="s">
        <v>10</v>
      </c>
      <c r="G579" s="16" t="s">
        <v>3669</v>
      </c>
      <c r="H579" s="16" t="s">
        <v>12</v>
      </c>
      <c r="I579" s="16" t="s">
        <v>3396</v>
      </c>
      <c r="J579" s="16" t="s">
        <v>13</v>
      </c>
      <c r="K579" s="16" t="s">
        <v>1528</v>
      </c>
      <c r="L579" s="154">
        <v>45169.0</v>
      </c>
      <c r="M579" s="16">
        <f t="shared" si="1"/>
        <v>3</v>
      </c>
      <c r="N579" s="16">
        <v>4.500013245E9</v>
      </c>
      <c r="O579" s="16" t="s">
        <v>2557</v>
      </c>
      <c r="Q579" s="152" t="s">
        <v>4426</v>
      </c>
      <c r="R579" s="16" t="s">
        <v>4425</v>
      </c>
      <c r="S579" s="16" t="s">
        <v>3671</v>
      </c>
      <c r="T579" s="17"/>
      <c r="U579" s="16" t="s">
        <v>3762</v>
      </c>
      <c r="V579" s="16" t="s">
        <v>3681</v>
      </c>
      <c r="W579" s="17"/>
      <c r="X579" s="17"/>
      <c r="Y579" s="16" t="s">
        <v>3762</v>
      </c>
      <c r="Z579" s="16" t="s">
        <v>3681</v>
      </c>
      <c r="AA579" s="17"/>
      <c r="AB579" s="17"/>
    </row>
    <row r="580">
      <c r="A580" s="16">
        <f t="shared" si="2"/>
        <v>579</v>
      </c>
      <c r="B580" s="16" t="s">
        <v>1591</v>
      </c>
      <c r="C580" s="16">
        <v>6.0020689E7</v>
      </c>
      <c r="D580" s="16" t="s">
        <v>1592</v>
      </c>
      <c r="E580" s="16" t="s">
        <v>3106</v>
      </c>
      <c r="F580" s="16" t="s">
        <v>10</v>
      </c>
      <c r="G580" s="16" t="s">
        <v>3669</v>
      </c>
      <c r="H580" s="16" t="s">
        <v>12</v>
      </c>
      <c r="I580" s="16" t="s">
        <v>3396</v>
      </c>
      <c r="J580" s="16" t="s">
        <v>13</v>
      </c>
      <c r="K580" s="16" t="s">
        <v>1528</v>
      </c>
      <c r="L580" s="154">
        <v>45169.0</v>
      </c>
      <c r="M580" s="16">
        <f t="shared" si="1"/>
        <v>3</v>
      </c>
      <c r="N580" s="16">
        <v>4.500013245E9</v>
      </c>
      <c r="O580" s="16" t="s">
        <v>2557</v>
      </c>
      <c r="Q580" s="152" t="s">
        <v>4427</v>
      </c>
      <c r="R580" s="16" t="s">
        <v>4425</v>
      </c>
      <c r="S580" s="16" t="s">
        <v>3671</v>
      </c>
      <c r="T580" s="17"/>
      <c r="U580" s="16" t="s">
        <v>3762</v>
      </c>
      <c r="V580" s="16" t="s">
        <v>3681</v>
      </c>
      <c r="W580" s="17"/>
      <c r="X580" s="17"/>
      <c r="Y580" s="16" t="s">
        <v>3762</v>
      </c>
      <c r="Z580" s="16" t="s">
        <v>3681</v>
      </c>
      <c r="AA580" s="17"/>
      <c r="AB580" s="17"/>
    </row>
    <row r="581">
      <c r="A581" s="16">
        <f t="shared" si="2"/>
        <v>580</v>
      </c>
      <c r="B581" s="16" t="s">
        <v>1593</v>
      </c>
      <c r="C581" s="16">
        <v>6.002069E7</v>
      </c>
      <c r="D581" s="16" t="s">
        <v>1594</v>
      </c>
      <c r="E581" s="16" t="s">
        <v>3106</v>
      </c>
      <c r="F581" s="16" t="s">
        <v>10</v>
      </c>
      <c r="G581" s="16" t="s">
        <v>3669</v>
      </c>
      <c r="H581" s="16" t="s">
        <v>12</v>
      </c>
      <c r="I581" s="16" t="s">
        <v>3396</v>
      </c>
      <c r="J581" s="16" t="s">
        <v>13</v>
      </c>
      <c r="K581" s="16" t="s">
        <v>1528</v>
      </c>
      <c r="L581" s="154">
        <v>45169.0</v>
      </c>
      <c r="M581" s="16">
        <f t="shared" si="1"/>
        <v>3</v>
      </c>
      <c r="N581" s="16">
        <v>4.500013245E9</v>
      </c>
      <c r="O581" s="16" t="s">
        <v>2557</v>
      </c>
      <c r="Q581" s="152" t="s">
        <v>4428</v>
      </c>
      <c r="R581" s="16" t="s">
        <v>4425</v>
      </c>
      <c r="S581" s="16" t="s">
        <v>3671</v>
      </c>
      <c r="T581" s="17"/>
      <c r="U581" s="16" t="s">
        <v>3762</v>
      </c>
      <c r="V581" s="16" t="s">
        <v>3681</v>
      </c>
      <c r="W581" s="17"/>
      <c r="X581" s="17"/>
      <c r="Y581" s="16" t="s">
        <v>3762</v>
      </c>
      <c r="Z581" s="16" t="s">
        <v>3681</v>
      </c>
      <c r="AA581" s="17"/>
      <c r="AB581" s="17"/>
    </row>
    <row r="582">
      <c r="A582" s="16">
        <f t="shared" si="2"/>
        <v>581</v>
      </c>
      <c r="B582" s="16" t="s">
        <v>1595</v>
      </c>
      <c r="C582" s="16">
        <v>6.0020691E7</v>
      </c>
      <c r="D582" s="16" t="s">
        <v>1596</v>
      </c>
      <c r="E582" s="16" t="s">
        <v>3106</v>
      </c>
      <c r="F582" s="16" t="s">
        <v>10</v>
      </c>
      <c r="G582" s="16" t="s">
        <v>3669</v>
      </c>
      <c r="H582" s="16" t="s">
        <v>12</v>
      </c>
      <c r="I582" s="16" t="s">
        <v>3396</v>
      </c>
      <c r="J582" s="16" t="s">
        <v>13</v>
      </c>
      <c r="K582" s="16" t="s">
        <v>1528</v>
      </c>
      <c r="L582" s="154">
        <v>45169.0</v>
      </c>
      <c r="M582" s="16">
        <f t="shared" si="1"/>
        <v>3</v>
      </c>
      <c r="N582" s="16">
        <v>4.500013245E9</v>
      </c>
      <c r="O582" s="16" t="s">
        <v>2557</v>
      </c>
      <c r="Q582" s="152" t="s">
        <v>4429</v>
      </c>
      <c r="R582" s="16" t="s">
        <v>4425</v>
      </c>
      <c r="S582" s="16" t="s">
        <v>3671</v>
      </c>
      <c r="T582" s="17"/>
      <c r="U582" s="16" t="s">
        <v>3762</v>
      </c>
      <c r="V582" s="16" t="s">
        <v>3681</v>
      </c>
      <c r="W582" s="17"/>
      <c r="X582" s="17"/>
      <c r="Y582" s="16" t="s">
        <v>3762</v>
      </c>
      <c r="Z582" s="16" t="s">
        <v>3681</v>
      </c>
      <c r="AA582" s="17"/>
      <c r="AB582" s="17"/>
    </row>
    <row r="583">
      <c r="A583" s="16">
        <f t="shared" si="2"/>
        <v>582</v>
      </c>
      <c r="B583" s="16" t="s">
        <v>1597</v>
      </c>
      <c r="C583" s="16">
        <v>6.0020692E7</v>
      </c>
      <c r="D583" s="16" t="s">
        <v>1598</v>
      </c>
      <c r="E583" s="16" t="s">
        <v>3106</v>
      </c>
      <c r="F583" s="16" t="s">
        <v>10</v>
      </c>
      <c r="G583" s="16" t="s">
        <v>3669</v>
      </c>
      <c r="H583" s="16" t="s">
        <v>12</v>
      </c>
      <c r="I583" s="16" t="s">
        <v>3396</v>
      </c>
      <c r="J583" s="16" t="s">
        <v>13</v>
      </c>
      <c r="K583" s="16" t="s">
        <v>1528</v>
      </c>
      <c r="L583" s="154">
        <v>45169.0</v>
      </c>
      <c r="M583" s="16">
        <f t="shared" si="1"/>
        <v>3</v>
      </c>
      <c r="N583" s="16">
        <v>4.500013245E9</v>
      </c>
      <c r="O583" s="16" t="s">
        <v>2557</v>
      </c>
      <c r="Q583" s="152" t="s">
        <v>4430</v>
      </c>
      <c r="R583" s="16" t="s">
        <v>4425</v>
      </c>
      <c r="S583" s="16" t="s">
        <v>3671</v>
      </c>
      <c r="T583" s="17"/>
      <c r="U583" s="16" t="s">
        <v>3762</v>
      </c>
      <c r="V583" s="16" t="s">
        <v>3681</v>
      </c>
      <c r="W583" s="17"/>
      <c r="X583" s="17"/>
      <c r="Y583" s="16" t="s">
        <v>3762</v>
      </c>
      <c r="Z583" s="16" t="s">
        <v>3681</v>
      </c>
      <c r="AA583" s="17"/>
      <c r="AB583" s="17"/>
    </row>
    <row r="584">
      <c r="A584" s="16">
        <f t="shared" si="2"/>
        <v>583</v>
      </c>
      <c r="B584" s="16" t="s">
        <v>1599</v>
      </c>
      <c r="C584" s="16">
        <v>6.0020693E7</v>
      </c>
      <c r="D584" s="16" t="s">
        <v>1600</v>
      </c>
      <c r="E584" s="16" t="s">
        <v>3106</v>
      </c>
      <c r="F584" s="16" t="s">
        <v>10</v>
      </c>
      <c r="G584" s="16" t="s">
        <v>3669</v>
      </c>
      <c r="H584" s="16" t="s">
        <v>12</v>
      </c>
      <c r="I584" s="16" t="s">
        <v>3396</v>
      </c>
      <c r="J584" s="16" t="s">
        <v>13</v>
      </c>
      <c r="K584" s="16" t="s">
        <v>1528</v>
      </c>
      <c r="L584" s="154">
        <v>45169.0</v>
      </c>
      <c r="M584" s="16">
        <f t="shared" si="1"/>
        <v>3</v>
      </c>
      <c r="N584" s="16">
        <v>4.500013245E9</v>
      </c>
      <c r="O584" s="16" t="s">
        <v>2557</v>
      </c>
      <c r="Q584" s="152" t="s">
        <v>4431</v>
      </c>
      <c r="R584" s="16" t="s">
        <v>4432</v>
      </c>
      <c r="S584" s="16" t="s">
        <v>3671</v>
      </c>
      <c r="T584" s="17"/>
      <c r="U584" s="16" t="s">
        <v>3762</v>
      </c>
      <c r="V584" s="16" t="s">
        <v>3681</v>
      </c>
      <c r="W584" s="17"/>
      <c r="X584" s="17"/>
      <c r="Y584" s="16" t="s">
        <v>3762</v>
      </c>
      <c r="Z584" s="16" t="s">
        <v>3681</v>
      </c>
      <c r="AA584" s="17"/>
      <c r="AB584" s="17"/>
    </row>
    <row r="585">
      <c r="A585" s="16">
        <f t="shared" si="2"/>
        <v>584</v>
      </c>
      <c r="B585" s="16" t="s">
        <v>1601</v>
      </c>
      <c r="C585" s="16">
        <v>6.0020694E7</v>
      </c>
      <c r="D585" s="16" t="s">
        <v>1602</v>
      </c>
      <c r="E585" s="16" t="s">
        <v>3106</v>
      </c>
      <c r="F585" s="16" t="s">
        <v>10</v>
      </c>
      <c r="G585" s="16" t="s">
        <v>3669</v>
      </c>
      <c r="H585" s="16" t="s">
        <v>12</v>
      </c>
      <c r="I585" s="16" t="s">
        <v>3396</v>
      </c>
      <c r="J585" s="16" t="s">
        <v>13</v>
      </c>
      <c r="K585" s="16" t="s">
        <v>1528</v>
      </c>
      <c r="L585" s="154">
        <v>45169.0</v>
      </c>
      <c r="M585" s="16">
        <f t="shared" si="1"/>
        <v>3</v>
      </c>
      <c r="N585" s="16">
        <v>4.500013245E9</v>
      </c>
      <c r="O585" s="16" t="s">
        <v>2557</v>
      </c>
      <c r="Q585" s="152" t="s">
        <v>4433</v>
      </c>
      <c r="R585" s="16" t="s">
        <v>4425</v>
      </c>
      <c r="S585" s="16" t="s">
        <v>3671</v>
      </c>
      <c r="T585" s="17"/>
      <c r="U585" s="16" t="s">
        <v>3762</v>
      </c>
      <c r="V585" s="16" t="s">
        <v>3681</v>
      </c>
      <c r="W585" s="17"/>
      <c r="X585" s="17"/>
      <c r="Y585" s="16" t="s">
        <v>3762</v>
      </c>
      <c r="Z585" s="16" t="s">
        <v>3681</v>
      </c>
      <c r="AA585" s="17"/>
      <c r="AB585" s="17"/>
    </row>
    <row r="586">
      <c r="A586" s="16">
        <f t="shared" si="2"/>
        <v>585</v>
      </c>
      <c r="B586" s="16" t="s">
        <v>1603</v>
      </c>
      <c r="C586" s="16">
        <v>6.0020695E7</v>
      </c>
      <c r="D586" s="16" t="s">
        <v>1604</v>
      </c>
      <c r="E586" s="16" t="s">
        <v>3106</v>
      </c>
      <c r="F586" s="16" t="s">
        <v>10</v>
      </c>
      <c r="G586" s="16" t="s">
        <v>3669</v>
      </c>
      <c r="H586" s="16" t="s">
        <v>12</v>
      </c>
      <c r="I586" s="16" t="s">
        <v>3396</v>
      </c>
      <c r="J586" s="16" t="s">
        <v>13</v>
      </c>
      <c r="K586" s="16" t="s">
        <v>1528</v>
      </c>
      <c r="L586" s="154">
        <v>45169.0</v>
      </c>
      <c r="M586" s="16">
        <f t="shared" si="1"/>
        <v>3</v>
      </c>
      <c r="N586" s="16">
        <v>4.500013245E9</v>
      </c>
      <c r="O586" s="16" t="s">
        <v>2557</v>
      </c>
      <c r="Q586" s="152" t="s">
        <v>4434</v>
      </c>
      <c r="R586" s="16" t="s">
        <v>4425</v>
      </c>
      <c r="S586" s="16" t="s">
        <v>3671</v>
      </c>
      <c r="T586" s="17"/>
      <c r="U586" s="16" t="s">
        <v>3762</v>
      </c>
      <c r="V586" s="16" t="s">
        <v>3681</v>
      </c>
      <c r="W586" s="17"/>
      <c r="X586" s="17"/>
      <c r="Y586" s="16" t="s">
        <v>3762</v>
      </c>
      <c r="Z586" s="16" t="s">
        <v>3681</v>
      </c>
      <c r="AA586" s="17"/>
      <c r="AB586" s="17"/>
    </row>
    <row r="587">
      <c r="A587" s="16">
        <f t="shared" si="2"/>
        <v>586</v>
      </c>
      <c r="B587" s="16" t="s">
        <v>1605</v>
      </c>
      <c r="C587" s="16">
        <v>6.0020696E7</v>
      </c>
      <c r="D587" s="16" t="s">
        <v>1606</v>
      </c>
      <c r="E587" s="16" t="s">
        <v>3106</v>
      </c>
      <c r="F587" s="16" t="s">
        <v>10</v>
      </c>
      <c r="G587" s="16" t="s">
        <v>3669</v>
      </c>
      <c r="H587" s="16" t="s">
        <v>12</v>
      </c>
      <c r="I587" s="16" t="s">
        <v>3396</v>
      </c>
      <c r="J587" s="16" t="s">
        <v>13</v>
      </c>
      <c r="K587" s="16" t="s">
        <v>1528</v>
      </c>
      <c r="L587" s="154">
        <v>45169.0</v>
      </c>
      <c r="M587" s="16">
        <f t="shared" si="1"/>
        <v>3</v>
      </c>
      <c r="N587" s="16">
        <v>4.500013245E9</v>
      </c>
      <c r="O587" s="16" t="s">
        <v>2557</v>
      </c>
      <c r="Q587" s="152" t="s">
        <v>4435</v>
      </c>
      <c r="R587" s="16" t="s">
        <v>4425</v>
      </c>
      <c r="S587" s="16" t="s">
        <v>3671</v>
      </c>
      <c r="T587" s="17"/>
      <c r="U587" s="16" t="s">
        <v>3762</v>
      </c>
      <c r="V587" s="16" t="s">
        <v>3681</v>
      </c>
      <c r="W587" s="17"/>
      <c r="X587" s="17"/>
      <c r="Y587" s="16" t="s">
        <v>3762</v>
      </c>
      <c r="Z587" s="16" t="s">
        <v>3681</v>
      </c>
      <c r="AA587" s="17"/>
      <c r="AB587" s="17"/>
    </row>
    <row r="588">
      <c r="A588" s="16">
        <f t="shared" si="2"/>
        <v>587</v>
      </c>
      <c r="B588" s="16" t="s">
        <v>1607</v>
      </c>
      <c r="C588" s="16">
        <v>6.0021008E7</v>
      </c>
      <c r="D588" s="16" t="s">
        <v>1608</v>
      </c>
      <c r="E588" s="16" t="s">
        <v>3106</v>
      </c>
      <c r="F588" s="16" t="s">
        <v>10</v>
      </c>
      <c r="G588" s="16" t="s">
        <v>4436</v>
      </c>
      <c r="H588" s="16" t="s">
        <v>12</v>
      </c>
      <c r="I588" s="16" t="s">
        <v>3396</v>
      </c>
      <c r="J588" s="16" t="s">
        <v>13</v>
      </c>
      <c r="K588" s="16" t="s">
        <v>1528</v>
      </c>
      <c r="L588" s="154">
        <v>45274.0</v>
      </c>
      <c r="M588" s="16">
        <f t="shared" si="1"/>
        <v>3</v>
      </c>
      <c r="N588" s="16">
        <v>4.500013908E9</v>
      </c>
      <c r="O588" s="16" t="s">
        <v>4437</v>
      </c>
      <c r="Q588" s="152" t="s">
        <v>4438</v>
      </c>
      <c r="R588" s="17"/>
      <c r="S588" s="16" t="s">
        <v>3671</v>
      </c>
      <c r="T588" s="17"/>
      <c r="U588" s="16" t="s">
        <v>4439</v>
      </c>
      <c r="V588" s="17"/>
      <c r="W588" s="17"/>
      <c r="X588" s="17"/>
      <c r="Y588" s="16" t="s">
        <v>4439</v>
      </c>
      <c r="Z588" s="17"/>
      <c r="AA588" s="17"/>
      <c r="AB588" s="17"/>
    </row>
    <row r="589">
      <c r="A589" s="16">
        <f t="shared" si="2"/>
        <v>588</v>
      </c>
      <c r="B589" s="16" t="s">
        <v>1609</v>
      </c>
      <c r="C589" s="16">
        <v>6.0021009E7</v>
      </c>
      <c r="D589" s="16" t="s">
        <v>1610</v>
      </c>
      <c r="E589" s="16" t="s">
        <v>3106</v>
      </c>
      <c r="F589" s="16" t="s">
        <v>10</v>
      </c>
      <c r="G589" s="16" t="s">
        <v>4436</v>
      </c>
      <c r="H589" s="16" t="s">
        <v>12</v>
      </c>
      <c r="I589" s="16" t="s">
        <v>3396</v>
      </c>
      <c r="J589" s="16" t="s">
        <v>13</v>
      </c>
      <c r="K589" s="16" t="s">
        <v>1528</v>
      </c>
      <c r="L589" s="154">
        <v>45274.0</v>
      </c>
      <c r="M589" s="16">
        <f t="shared" si="1"/>
        <v>3</v>
      </c>
      <c r="N589" s="16">
        <v>4.500013908E9</v>
      </c>
      <c r="O589" s="16" t="s">
        <v>4437</v>
      </c>
      <c r="Q589" s="152" t="s">
        <v>4440</v>
      </c>
      <c r="R589" s="17"/>
      <c r="S589" s="16" t="s">
        <v>3671</v>
      </c>
      <c r="T589" s="17"/>
      <c r="U589" s="16" t="s">
        <v>4439</v>
      </c>
      <c r="V589" s="17"/>
      <c r="W589" s="17"/>
      <c r="X589" s="17"/>
      <c r="Y589" s="16" t="s">
        <v>4439</v>
      </c>
      <c r="Z589" s="17"/>
      <c r="AA589" s="17"/>
      <c r="AB589" s="17"/>
    </row>
    <row r="590">
      <c r="A590" s="16">
        <f t="shared" si="2"/>
        <v>589</v>
      </c>
      <c r="B590" s="16" t="s">
        <v>1611</v>
      </c>
      <c r="C590" s="16">
        <v>6.002101E7</v>
      </c>
      <c r="D590" s="16" t="s">
        <v>1612</v>
      </c>
      <c r="E590" s="16" t="s">
        <v>3106</v>
      </c>
      <c r="F590" s="16" t="s">
        <v>10</v>
      </c>
      <c r="G590" s="16" t="s">
        <v>4436</v>
      </c>
      <c r="H590" s="16" t="s">
        <v>12</v>
      </c>
      <c r="I590" s="16" t="s">
        <v>3396</v>
      </c>
      <c r="J590" s="16" t="s">
        <v>13</v>
      </c>
      <c r="K590" s="16" t="s">
        <v>1528</v>
      </c>
      <c r="L590" s="154">
        <v>45274.0</v>
      </c>
      <c r="M590" s="16">
        <f t="shared" si="1"/>
        <v>3</v>
      </c>
      <c r="N590" s="16">
        <v>4.500013908E9</v>
      </c>
      <c r="O590" s="16" t="s">
        <v>2557</v>
      </c>
      <c r="Q590" s="152" t="s">
        <v>4441</v>
      </c>
      <c r="R590" s="17"/>
      <c r="S590" s="16" t="s">
        <v>3671</v>
      </c>
      <c r="T590" s="17"/>
      <c r="U590" s="16" t="s">
        <v>4439</v>
      </c>
      <c r="V590" s="17"/>
      <c r="W590" s="17"/>
      <c r="X590" s="17"/>
      <c r="Y590" s="16" t="s">
        <v>4439</v>
      </c>
      <c r="Z590" s="17"/>
      <c r="AA590" s="17"/>
      <c r="AB590" s="17"/>
    </row>
    <row r="591">
      <c r="A591" s="16">
        <f t="shared" si="2"/>
        <v>590</v>
      </c>
      <c r="B591" s="16" t="s">
        <v>1613</v>
      </c>
      <c r="C591" s="16">
        <v>6.0021011E7</v>
      </c>
      <c r="D591" s="16" t="s">
        <v>1614</v>
      </c>
      <c r="E591" s="16" t="s">
        <v>3106</v>
      </c>
      <c r="F591" s="16" t="s">
        <v>10</v>
      </c>
      <c r="G591" s="16" t="s">
        <v>4436</v>
      </c>
      <c r="H591" s="16" t="s">
        <v>12</v>
      </c>
      <c r="I591" s="16" t="s">
        <v>3396</v>
      </c>
      <c r="J591" s="16" t="s">
        <v>13</v>
      </c>
      <c r="K591" s="16" t="s">
        <v>1528</v>
      </c>
      <c r="L591" s="154">
        <v>45274.0</v>
      </c>
      <c r="M591" s="16">
        <f t="shared" si="1"/>
        <v>3</v>
      </c>
      <c r="N591" s="16">
        <v>4.500013908E9</v>
      </c>
      <c r="O591" s="16" t="s">
        <v>2557</v>
      </c>
      <c r="Q591" s="152" t="s">
        <v>4442</v>
      </c>
      <c r="R591" s="17"/>
      <c r="S591" s="16" t="s">
        <v>3671</v>
      </c>
      <c r="T591" s="17"/>
      <c r="U591" s="16" t="s">
        <v>4439</v>
      </c>
      <c r="V591" s="17"/>
      <c r="W591" s="17"/>
      <c r="X591" s="17"/>
      <c r="Y591" s="16" t="s">
        <v>4439</v>
      </c>
      <c r="Z591" s="17"/>
      <c r="AA591" s="17"/>
      <c r="AB591" s="17"/>
    </row>
    <row r="592">
      <c r="A592" s="16">
        <f t="shared" si="2"/>
        <v>591</v>
      </c>
      <c r="B592" s="16" t="s">
        <v>1615</v>
      </c>
      <c r="C592" s="16">
        <v>6.0021012E7</v>
      </c>
      <c r="D592" s="16" t="s">
        <v>1616</v>
      </c>
      <c r="E592" s="16" t="s">
        <v>3106</v>
      </c>
      <c r="F592" s="16" t="s">
        <v>10</v>
      </c>
      <c r="G592" s="16" t="s">
        <v>4436</v>
      </c>
      <c r="H592" s="16" t="s">
        <v>12</v>
      </c>
      <c r="I592" s="16" t="s">
        <v>3396</v>
      </c>
      <c r="J592" s="16" t="s">
        <v>13</v>
      </c>
      <c r="K592" s="16" t="s">
        <v>1528</v>
      </c>
      <c r="L592" s="154">
        <v>45274.0</v>
      </c>
      <c r="M592" s="16">
        <f t="shared" si="1"/>
        <v>3</v>
      </c>
      <c r="N592" s="16">
        <v>4.500013908E9</v>
      </c>
      <c r="O592" s="16" t="s">
        <v>3696</v>
      </c>
      <c r="Q592" s="152" t="s">
        <v>4443</v>
      </c>
      <c r="R592" s="17"/>
      <c r="S592" s="16" t="s">
        <v>3671</v>
      </c>
      <c r="T592" s="17"/>
      <c r="U592" s="16" t="s">
        <v>4439</v>
      </c>
      <c r="V592" s="17"/>
      <c r="W592" s="17"/>
      <c r="X592" s="17"/>
      <c r="Y592" s="16" t="s">
        <v>4439</v>
      </c>
      <c r="Z592" s="17"/>
      <c r="AA592" s="17"/>
      <c r="AB592" s="17"/>
    </row>
    <row r="593">
      <c r="A593" s="16">
        <f t="shared" si="2"/>
        <v>592</v>
      </c>
      <c r="B593" s="16" t="s">
        <v>1617</v>
      </c>
      <c r="C593" s="16">
        <v>6.0021013E7</v>
      </c>
      <c r="D593" s="16" t="s">
        <v>1618</v>
      </c>
      <c r="E593" s="16" t="s">
        <v>3106</v>
      </c>
      <c r="F593" s="16" t="s">
        <v>10</v>
      </c>
      <c r="G593" s="16" t="s">
        <v>4436</v>
      </c>
      <c r="H593" s="16" t="s">
        <v>12</v>
      </c>
      <c r="I593" s="16" t="s">
        <v>3396</v>
      </c>
      <c r="J593" s="16" t="s">
        <v>13</v>
      </c>
      <c r="K593" s="16" t="s">
        <v>1528</v>
      </c>
      <c r="L593" s="154">
        <v>45274.0</v>
      </c>
      <c r="M593" s="16">
        <f t="shared" si="1"/>
        <v>3</v>
      </c>
      <c r="N593" s="16">
        <v>4.500013908E9</v>
      </c>
      <c r="O593" s="16" t="s">
        <v>3691</v>
      </c>
      <c r="Q593" s="152" t="s">
        <v>4444</v>
      </c>
      <c r="R593" s="17"/>
      <c r="S593" s="16" t="s">
        <v>3671</v>
      </c>
      <c r="T593" s="17"/>
      <c r="U593" s="16" t="s">
        <v>4439</v>
      </c>
      <c r="V593" s="17"/>
      <c r="W593" s="17"/>
      <c r="X593" s="17"/>
      <c r="Y593" s="16" t="s">
        <v>4439</v>
      </c>
      <c r="Z593" s="17"/>
      <c r="AA593" s="17"/>
      <c r="AB593" s="17"/>
    </row>
    <row r="594">
      <c r="A594" s="16">
        <f t="shared" si="2"/>
        <v>593</v>
      </c>
      <c r="B594" s="16" t="s">
        <v>1619</v>
      </c>
      <c r="C594" s="16">
        <v>6.0021014E7</v>
      </c>
      <c r="D594" s="16" t="s">
        <v>1620</v>
      </c>
      <c r="E594" s="16" t="s">
        <v>3106</v>
      </c>
      <c r="F594" s="16" t="s">
        <v>10</v>
      </c>
      <c r="G594" s="16" t="s">
        <v>4436</v>
      </c>
      <c r="H594" s="16" t="s">
        <v>12</v>
      </c>
      <c r="I594" s="16" t="s">
        <v>3396</v>
      </c>
      <c r="J594" s="16" t="s">
        <v>13</v>
      </c>
      <c r="K594" s="16" t="s">
        <v>1528</v>
      </c>
      <c r="L594" s="154">
        <v>45274.0</v>
      </c>
      <c r="M594" s="16">
        <f t="shared" si="1"/>
        <v>3</v>
      </c>
      <c r="N594" s="16">
        <v>4.500013908E9</v>
      </c>
      <c r="O594" s="16" t="s">
        <v>2557</v>
      </c>
      <c r="Q594" s="152" t="s">
        <v>4445</v>
      </c>
      <c r="R594" s="17"/>
      <c r="S594" s="16" t="s">
        <v>3671</v>
      </c>
      <c r="T594" s="17"/>
      <c r="U594" s="16" t="s">
        <v>4439</v>
      </c>
      <c r="V594" s="17"/>
      <c r="W594" s="17"/>
      <c r="X594" s="17"/>
      <c r="Y594" s="16" t="s">
        <v>4439</v>
      </c>
      <c r="Z594" s="17"/>
      <c r="AA594" s="17"/>
      <c r="AB594" s="17"/>
    </row>
    <row r="595">
      <c r="A595" s="16">
        <f t="shared" si="2"/>
        <v>594</v>
      </c>
      <c r="B595" s="16" t="s">
        <v>1621</v>
      </c>
      <c r="C595" s="16">
        <v>6.0021015E7</v>
      </c>
      <c r="D595" s="16" t="s">
        <v>1622</v>
      </c>
      <c r="E595" s="16" t="s">
        <v>3106</v>
      </c>
      <c r="F595" s="16" t="s">
        <v>10</v>
      </c>
      <c r="G595" s="16" t="s">
        <v>4436</v>
      </c>
      <c r="H595" s="16" t="s">
        <v>12</v>
      </c>
      <c r="I595" s="16" t="s">
        <v>3396</v>
      </c>
      <c r="J595" s="16" t="s">
        <v>13</v>
      </c>
      <c r="K595" s="16" t="s">
        <v>1528</v>
      </c>
      <c r="L595" s="154">
        <v>45274.0</v>
      </c>
      <c r="M595" s="16">
        <f t="shared" si="1"/>
        <v>3</v>
      </c>
      <c r="N595" s="16">
        <v>4.500013908E9</v>
      </c>
      <c r="O595" s="16" t="s">
        <v>3698</v>
      </c>
      <c r="Q595" s="152" t="s">
        <v>4446</v>
      </c>
      <c r="R595" s="17"/>
      <c r="S595" s="16" t="s">
        <v>3671</v>
      </c>
      <c r="T595" s="17"/>
      <c r="U595" s="16" t="s">
        <v>4439</v>
      </c>
      <c r="V595" s="17"/>
      <c r="W595" s="17"/>
      <c r="X595" s="17"/>
      <c r="Y595" s="16" t="s">
        <v>4439</v>
      </c>
      <c r="Z595" s="17"/>
      <c r="AA595" s="17"/>
      <c r="AB595" s="17"/>
    </row>
    <row r="596">
      <c r="A596" s="16">
        <f t="shared" si="2"/>
        <v>595</v>
      </c>
      <c r="B596" s="16" t="s">
        <v>1623</v>
      </c>
      <c r="C596" s="16">
        <v>6.0021016E7</v>
      </c>
      <c r="D596" s="16" t="s">
        <v>1624</v>
      </c>
      <c r="E596" s="16" t="s">
        <v>3106</v>
      </c>
      <c r="F596" s="16" t="s">
        <v>10</v>
      </c>
      <c r="G596" s="16" t="s">
        <v>4436</v>
      </c>
      <c r="H596" s="16" t="s">
        <v>12</v>
      </c>
      <c r="I596" s="16" t="s">
        <v>3396</v>
      </c>
      <c r="J596" s="16" t="s">
        <v>13</v>
      </c>
      <c r="K596" s="16" t="s">
        <v>1528</v>
      </c>
      <c r="L596" s="154">
        <v>45274.0</v>
      </c>
      <c r="M596" s="16">
        <f t="shared" si="1"/>
        <v>3</v>
      </c>
      <c r="N596" s="16">
        <v>4.500013908E9</v>
      </c>
      <c r="O596" s="16" t="s">
        <v>2557</v>
      </c>
      <c r="Q596" s="152" t="s">
        <v>4447</v>
      </c>
      <c r="R596" s="17"/>
      <c r="S596" s="16" t="s">
        <v>3671</v>
      </c>
      <c r="T596" s="17"/>
      <c r="U596" s="16" t="s">
        <v>4439</v>
      </c>
      <c r="V596" s="17"/>
      <c r="W596" s="17"/>
      <c r="X596" s="17"/>
      <c r="Y596" s="16" t="s">
        <v>4439</v>
      </c>
      <c r="Z596" s="17"/>
      <c r="AA596" s="17"/>
      <c r="AB596" s="17"/>
    </row>
    <row r="597">
      <c r="A597" s="16">
        <f t="shared" si="2"/>
        <v>596</v>
      </c>
      <c r="B597" s="16" t="s">
        <v>1625</v>
      </c>
      <c r="C597" s="16">
        <v>6.0021017E7</v>
      </c>
      <c r="D597" s="16" t="s">
        <v>1626</v>
      </c>
      <c r="E597" s="16" t="s">
        <v>3106</v>
      </c>
      <c r="F597" s="16" t="s">
        <v>10</v>
      </c>
      <c r="G597" s="16" t="s">
        <v>4436</v>
      </c>
      <c r="H597" s="16" t="s">
        <v>12</v>
      </c>
      <c r="I597" s="16" t="s">
        <v>3396</v>
      </c>
      <c r="J597" s="16" t="s">
        <v>13</v>
      </c>
      <c r="K597" s="16" t="s">
        <v>1528</v>
      </c>
      <c r="L597" s="154">
        <v>45274.0</v>
      </c>
      <c r="M597" s="16">
        <f t="shared" si="1"/>
        <v>3</v>
      </c>
      <c r="N597" s="16">
        <v>4.500013908E9</v>
      </c>
      <c r="O597" s="16" t="s">
        <v>3713</v>
      </c>
      <c r="Q597" s="152" t="s">
        <v>4448</v>
      </c>
      <c r="R597" s="17"/>
      <c r="S597" s="16" t="s">
        <v>3671</v>
      </c>
      <c r="T597" s="17"/>
      <c r="U597" s="16" t="s">
        <v>4439</v>
      </c>
      <c r="V597" s="17"/>
      <c r="W597" s="17"/>
      <c r="X597" s="17"/>
      <c r="Y597" s="16" t="s">
        <v>4439</v>
      </c>
      <c r="Z597" s="17"/>
      <c r="AA597" s="17"/>
      <c r="AB597" s="17"/>
    </row>
    <row r="598">
      <c r="A598" s="16">
        <f t="shared" si="2"/>
        <v>597</v>
      </c>
      <c r="B598" s="16" t="s">
        <v>1627</v>
      </c>
      <c r="C598" s="16">
        <v>6.0021018E7</v>
      </c>
      <c r="D598" s="16" t="s">
        <v>1628</v>
      </c>
      <c r="E598" s="16" t="s">
        <v>3106</v>
      </c>
      <c r="F598" s="16" t="s">
        <v>10</v>
      </c>
      <c r="G598" s="16" t="s">
        <v>4436</v>
      </c>
      <c r="H598" s="16" t="s">
        <v>12</v>
      </c>
      <c r="I598" s="16" t="s">
        <v>3396</v>
      </c>
      <c r="J598" s="16" t="s">
        <v>13</v>
      </c>
      <c r="K598" s="16" t="s">
        <v>1528</v>
      </c>
      <c r="L598" s="154">
        <v>45274.0</v>
      </c>
      <c r="M598" s="16">
        <f t="shared" si="1"/>
        <v>3</v>
      </c>
      <c r="N598" s="16">
        <v>4.500013908E9</v>
      </c>
      <c r="O598" s="16" t="s">
        <v>3700</v>
      </c>
      <c r="Q598" s="152" t="s">
        <v>4449</v>
      </c>
      <c r="R598" s="17"/>
      <c r="S598" s="16" t="s">
        <v>3671</v>
      </c>
      <c r="T598" s="17"/>
      <c r="U598" s="16" t="s">
        <v>4439</v>
      </c>
      <c r="V598" s="17"/>
      <c r="W598" s="17"/>
      <c r="X598" s="17"/>
      <c r="Y598" s="16" t="s">
        <v>4439</v>
      </c>
      <c r="Z598" s="17"/>
      <c r="AA598" s="17"/>
      <c r="AB598" s="17"/>
    </row>
    <row r="599">
      <c r="A599" s="16">
        <f t="shared" si="2"/>
        <v>598</v>
      </c>
      <c r="B599" s="16" t="s">
        <v>1629</v>
      </c>
      <c r="C599" s="16">
        <v>6.0021019E7</v>
      </c>
      <c r="D599" s="16" t="s">
        <v>1630</v>
      </c>
      <c r="E599" s="16" t="s">
        <v>3106</v>
      </c>
      <c r="F599" s="16" t="s">
        <v>10</v>
      </c>
      <c r="G599" s="16" t="s">
        <v>4436</v>
      </c>
      <c r="H599" s="16" t="s">
        <v>12</v>
      </c>
      <c r="I599" s="16" t="s">
        <v>3396</v>
      </c>
      <c r="J599" s="16" t="s">
        <v>13</v>
      </c>
      <c r="K599" s="16" t="s">
        <v>1528</v>
      </c>
      <c r="L599" s="154">
        <v>45274.0</v>
      </c>
      <c r="M599" s="16">
        <f t="shared" si="1"/>
        <v>3</v>
      </c>
      <c r="N599" s="16">
        <v>4.500013908E9</v>
      </c>
      <c r="O599" s="16" t="s">
        <v>2557</v>
      </c>
      <c r="Q599" s="152" t="s">
        <v>4450</v>
      </c>
      <c r="R599" s="17"/>
      <c r="S599" s="16" t="s">
        <v>3671</v>
      </c>
      <c r="T599" s="17"/>
      <c r="U599" s="16" t="s">
        <v>4439</v>
      </c>
      <c r="V599" s="17"/>
      <c r="W599" s="17"/>
      <c r="X599" s="17"/>
      <c r="Y599" s="16" t="s">
        <v>4439</v>
      </c>
      <c r="Z599" s="17"/>
      <c r="AA599" s="17"/>
      <c r="AB599" s="17"/>
    </row>
    <row r="600">
      <c r="A600" s="16">
        <f t="shared" si="2"/>
        <v>599</v>
      </c>
      <c r="B600" s="16" t="s">
        <v>1631</v>
      </c>
      <c r="C600" s="16">
        <v>6.002102E7</v>
      </c>
      <c r="D600" s="16" t="s">
        <v>1632</v>
      </c>
      <c r="E600" s="16" t="s">
        <v>3106</v>
      </c>
      <c r="F600" s="16" t="s">
        <v>10</v>
      </c>
      <c r="G600" s="16" t="s">
        <v>4436</v>
      </c>
      <c r="H600" s="16" t="s">
        <v>12</v>
      </c>
      <c r="I600" s="16" t="s">
        <v>3396</v>
      </c>
      <c r="J600" s="16" t="s">
        <v>13</v>
      </c>
      <c r="K600" s="16" t="s">
        <v>1528</v>
      </c>
      <c r="L600" s="154">
        <v>45274.0</v>
      </c>
      <c r="M600" s="16">
        <f t="shared" si="1"/>
        <v>3</v>
      </c>
      <c r="N600" s="16">
        <v>4.500013908E9</v>
      </c>
      <c r="O600" s="16" t="s">
        <v>2557</v>
      </c>
      <c r="Q600" s="152" t="s">
        <v>4451</v>
      </c>
      <c r="R600" s="17"/>
      <c r="S600" s="16" t="s">
        <v>3671</v>
      </c>
      <c r="T600" s="17"/>
      <c r="U600" s="16" t="s">
        <v>4439</v>
      </c>
      <c r="V600" s="17"/>
      <c r="W600" s="17"/>
      <c r="X600" s="17"/>
      <c r="Y600" s="16" t="s">
        <v>4439</v>
      </c>
      <c r="Z600" s="17"/>
      <c r="AA600" s="17"/>
      <c r="AB600" s="17"/>
    </row>
    <row r="601">
      <c r="A601" s="16">
        <f t="shared" si="2"/>
        <v>600</v>
      </c>
      <c r="B601" s="16" t="s">
        <v>1633</v>
      </c>
      <c r="C601" s="16">
        <v>6.0021021E7</v>
      </c>
      <c r="D601" s="16" t="s">
        <v>1634</v>
      </c>
      <c r="E601" s="16" t="s">
        <v>3106</v>
      </c>
      <c r="F601" s="16" t="s">
        <v>10</v>
      </c>
      <c r="G601" s="16" t="s">
        <v>4436</v>
      </c>
      <c r="H601" s="16" t="s">
        <v>12</v>
      </c>
      <c r="I601" s="16" t="s">
        <v>3396</v>
      </c>
      <c r="J601" s="16" t="s">
        <v>13</v>
      </c>
      <c r="K601" s="16" t="s">
        <v>1528</v>
      </c>
      <c r="L601" s="154">
        <v>45274.0</v>
      </c>
      <c r="M601" s="16">
        <f t="shared" si="1"/>
        <v>3</v>
      </c>
      <c r="N601" s="16">
        <v>4.500013908E9</v>
      </c>
      <c r="O601" s="16" t="s">
        <v>3688</v>
      </c>
      <c r="Q601" s="152" t="s">
        <v>4452</v>
      </c>
      <c r="R601" s="17"/>
      <c r="S601" s="16" t="s">
        <v>3671</v>
      </c>
      <c r="T601" s="17"/>
      <c r="U601" s="16" t="s">
        <v>4439</v>
      </c>
      <c r="V601" s="17"/>
      <c r="W601" s="17"/>
      <c r="X601" s="17"/>
      <c r="Y601" s="16" t="s">
        <v>4439</v>
      </c>
      <c r="Z601" s="17"/>
      <c r="AA601" s="17"/>
      <c r="AB601" s="17"/>
    </row>
    <row r="602">
      <c r="A602" s="16">
        <f t="shared" si="2"/>
        <v>601</v>
      </c>
      <c r="B602" s="16" t="s">
        <v>1635</v>
      </c>
      <c r="C602" s="16">
        <v>6.0021022E7</v>
      </c>
      <c r="D602" s="16" t="s">
        <v>1636</v>
      </c>
      <c r="E602" s="16" t="s">
        <v>3106</v>
      </c>
      <c r="F602" s="16" t="s">
        <v>10</v>
      </c>
      <c r="G602" s="16" t="s">
        <v>4436</v>
      </c>
      <c r="H602" s="16" t="s">
        <v>12</v>
      </c>
      <c r="I602" s="16" t="s">
        <v>3396</v>
      </c>
      <c r="J602" s="16" t="s">
        <v>13</v>
      </c>
      <c r="K602" s="16" t="s">
        <v>1528</v>
      </c>
      <c r="L602" s="154">
        <v>45274.0</v>
      </c>
      <c r="M602" s="16">
        <f t="shared" si="1"/>
        <v>3</v>
      </c>
      <c r="N602" s="16">
        <v>4.500013908E9</v>
      </c>
      <c r="O602" s="16" t="s">
        <v>2557</v>
      </c>
      <c r="Q602" s="152" t="s">
        <v>4453</v>
      </c>
      <c r="R602" s="17"/>
      <c r="S602" s="16" t="s">
        <v>3671</v>
      </c>
      <c r="T602" s="17"/>
      <c r="U602" s="16" t="s">
        <v>4439</v>
      </c>
      <c r="V602" s="17"/>
      <c r="W602" s="17"/>
      <c r="X602" s="17"/>
      <c r="Y602" s="16" t="s">
        <v>4439</v>
      </c>
      <c r="Z602" s="17"/>
      <c r="AA602" s="17"/>
      <c r="AB602" s="17"/>
    </row>
    <row r="603">
      <c r="A603" s="16">
        <f t="shared" si="2"/>
        <v>602</v>
      </c>
      <c r="B603" s="16" t="s">
        <v>1637</v>
      </c>
      <c r="C603" s="16">
        <v>6.0021023E7</v>
      </c>
      <c r="D603" s="16" t="s">
        <v>1638</v>
      </c>
      <c r="E603" s="16" t="s">
        <v>3106</v>
      </c>
      <c r="F603" s="16" t="s">
        <v>10</v>
      </c>
      <c r="G603" s="16" t="s">
        <v>4436</v>
      </c>
      <c r="H603" s="16" t="s">
        <v>12</v>
      </c>
      <c r="I603" s="16" t="s">
        <v>3396</v>
      </c>
      <c r="J603" s="16" t="s">
        <v>13</v>
      </c>
      <c r="K603" s="16" t="s">
        <v>1528</v>
      </c>
      <c r="L603" s="154">
        <v>45274.0</v>
      </c>
      <c r="M603" s="16">
        <f t="shared" si="1"/>
        <v>3</v>
      </c>
      <c r="N603" s="16">
        <v>4.500013908E9</v>
      </c>
      <c r="O603" s="16" t="s">
        <v>3766</v>
      </c>
      <c r="Q603" s="152" t="s">
        <v>3607</v>
      </c>
      <c r="R603" s="17"/>
      <c r="S603" s="16" t="s">
        <v>3671</v>
      </c>
      <c r="T603" s="17"/>
      <c r="U603" s="16" t="s">
        <v>4439</v>
      </c>
      <c r="V603" s="17"/>
      <c r="W603" s="17"/>
      <c r="X603" s="17"/>
      <c r="Y603" s="16" t="s">
        <v>4439</v>
      </c>
      <c r="Z603" s="17"/>
      <c r="AA603" s="17"/>
      <c r="AB603" s="17"/>
    </row>
    <row r="604">
      <c r="A604" s="16">
        <f t="shared" si="2"/>
        <v>603</v>
      </c>
      <c r="B604" s="16" t="s">
        <v>1639</v>
      </c>
      <c r="C604" s="16">
        <v>6.0021024E7</v>
      </c>
      <c r="D604" s="16" t="s">
        <v>1640</v>
      </c>
      <c r="E604" s="16" t="s">
        <v>3106</v>
      </c>
      <c r="F604" s="16" t="s">
        <v>10</v>
      </c>
      <c r="G604" s="16" t="s">
        <v>4436</v>
      </c>
      <c r="H604" s="16" t="s">
        <v>12</v>
      </c>
      <c r="I604" s="16" t="s">
        <v>3396</v>
      </c>
      <c r="J604" s="16" t="s">
        <v>13</v>
      </c>
      <c r="K604" s="16" t="s">
        <v>1528</v>
      </c>
      <c r="L604" s="154">
        <v>45274.0</v>
      </c>
      <c r="M604" s="16">
        <f t="shared" si="1"/>
        <v>3</v>
      </c>
      <c r="N604" s="16">
        <v>4.500013908E9</v>
      </c>
      <c r="O604" s="16" t="s">
        <v>2557</v>
      </c>
      <c r="Q604" s="152" t="s">
        <v>3610</v>
      </c>
      <c r="R604" s="17"/>
      <c r="S604" s="16" t="s">
        <v>3671</v>
      </c>
      <c r="T604" s="17"/>
      <c r="U604" s="16" t="s">
        <v>4439</v>
      </c>
      <c r="V604" s="17"/>
      <c r="W604" s="17"/>
      <c r="X604" s="17"/>
      <c r="Y604" s="16" t="s">
        <v>4439</v>
      </c>
      <c r="Z604" s="17"/>
      <c r="AA604" s="17"/>
      <c r="AB604" s="17"/>
    </row>
    <row r="605">
      <c r="A605" s="16">
        <f t="shared" si="2"/>
        <v>604</v>
      </c>
      <c r="B605" s="16" t="s">
        <v>1641</v>
      </c>
      <c r="C605" s="16">
        <v>6.0021025E7</v>
      </c>
      <c r="D605" s="16" t="s">
        <v>1642</v>
      </c>
      <c r="E605" s="16" t="s">
        <v>3106</v>
      </c>
      <c r="F605" s="16" t="s">
        <v>10</v>
      </c>
      <c r="G605" s="16" t="s">
        <v>4436</v>
      </c>
      <c r="H605" s="16" t="s">
        <v>12</v>
      </c>
      <c r="I605" s="16" t="s">
        <v>3396</v>
      </c>
      <c r="J605" s="16" t="s">
        <v>13</v>
      </c>
      <c r="K605" s="16" t="s">
        <v>1528</v>
      </c>
      <c r="L605" s="154">
        <v>45274.0</v>
      </c>
      <c r="M605" s="16">
        <f t="shared" si="1"/>
        <v>3</v>
      </c>
      <c r="N605" s="16">
        <v>4.500013908E9</v>
      </c>
      <c r="O605" s="16" t="s">
        <v>2557</v>
      </c>
      <c r="Q605" s="152" t="s">
        <v>3613</v>
      </c>
      <c r="R605" s="17"/>
      <c r="S605" s="16" t="s">
        <v>3671</v>
      </c>
      <c r="T605" s="17"/>
      <c r="U605" s="16" t="s">
        <v>4439</v>
      </c>
      <c r="V605" s="17"/>
      <c r="W605" s="17"/>
      <c r="X605" s="17"/>
      <c r="Y605" s="16" t="s">
        <v>4439</v>
      </c>
      <c r="Z605" s="17"/>
      <c r="AA605" s="17"/>
      <c r="AB605" s="17"/>
    </row>
    <row r="606">
      <c r="A606" s="16">
        <f t="shared" si="2"/>
        <v>605</v>
      </c>
      <c r="B606" s="16" t="s">
        <v>1643</v>
      </c>
      <c r="C606" s="16">
        <v>6.0021026E7</v>
      </c>
      <c r="D606" s="16" t="s">
        <v>1644</v>
      </c>
      <c r="E606" s="16" t="s">
        <v>3106</v>
      </c>
      <c r="F606" s="16" t="s">
        <v>10</v>
      </c>
      <c r="G606" s="16" t="s">
        <v>4436</v>
      </c>
      <c r="H606" s="16" t="s">
        <v>12</v>
      </c>
      <c r="I606" s="16" t="s">
        <v>3396</v>
      </c>
      <c r="J606" s="16" t="s">
        <v>13</v>
      </c>
      <c r="K606" s="16" t="s">
        <v>1528</v>
      </c>
      <c r="L606" s="154">
        <v>45274.0</v>
      </c>
      <c r="M606" s="16">
        <f t="shared" si="1"/>
        <v>3</v>
      </c>
      <c r="N606" s="16">
        <v>4.500013908E9</v>
      </c>
      <c r="O606" s="16" t="s">
        <v>3694</v>
      </c>
      <c r="Q606" s="152" t="s">
        <v>3616</v>
      </c>
      <c r="R606" s="17"/>
      <c r="S606" s="16" t="s">
        <v>3671</v>
      </c>
      <c r="T606" s="17"/>
      <c r="U606" s="16" t="s">
        <v>4439</v>
      </c>
      <c r="V606" s="17"/>
      <c r="W606" s="17"/>
      <c r="X606" s="17"/>
      <c r="Y606" s="16" t="s">
        <v>4439</v>
      </c>
      <c r="Z606" s="17"/>
      <c r="AA606" s="17"/>
      <c r="AB606" s="17"/>
    </row>
    <row r="607">
      <c r="A607" s="16">
        <f t="shared" si="2"/>
        <v>606</v>
      </c>
      <c r="B607" s="16" t="s">
        <v>1645</v>
      </c>
      <c r="C607" s="16">
        <v>6.0021027E7</v>
      </c>
      <c r="D607" s="16" t="s">
        <v>1646</v>
      </c>
      <c r="E607" s="16" t="s">
        <v>3106</v>
      </c>
      <c r="F607" s="16" t="s">
        <v>10</v>
      </c>
      <c r="G607" s="16" t="s">
        <v>4436</v>
      </c>
      <c r="H607" s="16" t="s">
        <v>12</v>
      </c>
      <c r="I607" s="16" t="s">
        <v>3396</v>
      </c>
      <c r="J607" s="16" t="s">
        <v>13</v>
      </c>
      <c r="K607" s="16" t="s">
        <v>1528</v>
      </c>
      <c r="L607" s="154">
        <v>45274.0</v>
      </c>
      <c r="M607" s="16">
        <f t="shared" si="1"/>
        <v>3</v>
      </c>
      <c r="N607" s="16">
        <v>4.500013908E9</v>
      </c>
      <c r="O607" s="16" t="s">
        <v>3751</v>
      </c>
      <c r="Q607" s="152" t="s">
        <v>3619</v>
      </c>
      <c r="R607" s="17"/>
      <c r="S607" s="16" t="s">
        <v>3671</v>
      </c>
      <c r="T607" s="17"/>
      <c r="U607" s="16" t="s">
        <v>4439</v>
      </c>
      <c r="V607" s="17"/>
      <c r="W607" s="17"/>
      <c r="X607" s="17"/>
      <c r="Y607" s="16" t="s">
        <v>4439</v>
      </c>
      <c r="Z607" s="17"/>
      <c r="AA607" s="17"/>
      <c r="AB607" s="17"/>
    </row>
    <row r="608">
      <c r="A608" s="16">
        <f t="shared" si="2"/>
        <v>607</v>
      </c>
      <c r="B608" s="16" t="s">
        <v>1647</v>
      </c>
      <c r="C608" s="16">
        <v>6.0021028E7</v>
      </c>
      <c r="D608" s="16" t="s">
        <v>1648</v>
      </c>
      <c r="E608" s="16" t="s">
        <v>3106</v>
      </c>
      <c r="F608" s="16" t="s">
        <v>10</v>
      </c>
      <c r="G608" s="16" t="s">
        <v>4436</v>
      </c>
      <c r="H608" s="16" t="s">
        <v>12</v>
      </c>
      <c r="I608" s="16" t="s">
        <v>3396</v>
      </c>
      <c r="J608" s="16" t="s">
        <v>13</v>
      </c>
      <c r="K608" s="16" t="s">
        <v>1528</v>
      </c>
      <c r="L608" s="154">
        <v>45274.0</v>
      </c>
      <c r="M608" s="16">
        <f t="shared" si="1"/>
        <v>3</v>
      </c>
      <c r="N608" s="16">
        <v>4.500013908E9</v>
      </c>
      <c r="O608" s="16" t="s">
        <v>2557</v>
      </c>
      <c r="Q608" s="152" t="s">
        <v>3622</v>
      </c>
      <c r="R608" s="17"/>
      <c r="S608" s="16" t="s">
        <v>3671</v>
      </c>
      <c r="T608" s="17"/>
      <c r="U608" s="16" t="s">
        <v>4439</v>
      </c>
      <c r="V608" s="17"/>
      <c r="W608" s="17"/>
      <c r="X608" s="17"/>
      <c r="Y608" s="16" t="s">
        <v>4439</v>
      </c>
      <c r="Z608" s="17"/>
      <c r="AA608" s="17"/>
      <c r="AB608" s="17"/>
    </row>
    <row r="609">
      <c r="A609" s="16">
        <f t="shared" si="2"/>
        <v>608</v>
      </c>
      <c r="B609" s="16" t="s">
        <v>1649</v>
      </c>
      <c r="C609" s="16">
        <v>6.0021029E7</v>
      </c>
      <c r="D609" s="16" t="s">
        <v>1650</v>
      </c>
      <c r="E609" s="16" t="s">
        <v>3106</v>
      </c>
      <c r="F609" s="16" t="s">
        <v>10</v>
      </c>
      <c r="G609" s="16" t="s">
        <v>4436</v>
      </c>
      <c r="H609" s="16" t="s">
        <v>12</v>
      </c>
      <c r="I609" s="16" t="s">
        <v>3396</v>
      </c>
      <c r="J609" s="16" t="s">
        <v>13</v>
      </c>
      <c r="K609" s="16" t="s">
        <v>1528</v>
      </c>
      <c r="L609" s="154">
        <v>45274.0</v>
      </c>
      <c r="M609" s="16">
        <f t="shared" si="1"/>
        <v>3</v>
      </c>
      <c r="N609" s="16">
        <v>4.500013908E9</v>
      </c>
      <c r="O609" s="16" t="s">
        <v>3741</v>
      </c>
      <c r="Q609" s="152" t="s">
        <v>3625</v>
      </c>
      <c r="R609" s="17"/>
      <c r="S609" s="16" t="s">
        <v>3671</v>
      </c>
      <c r="T609" s="17"/>
      <c r="U609" s="16" t="s">
        <v>4439</v>
      </c>
      <c r="V609" s="17"/>
      <c r="W609" s="17"/>
      <c r="X609" s="17"/>
      <c r="Y609" s="16" t="s">
        <v>4439</v>
      </c>
      <c r="Z609" s="17"/>
      <c r="AA609" s="17"/>
      <c r="AB609" s="17"/>
    </row>
    <row r="610">
      <c r="A610" s="16">
        <f t="shared" si="2"/>
        <v>609</v>
      </c>
      <c r="B610" s="16" t="s">
        <v>1651</v>
      </c>
      <c r="C610" s="16">
        <v>6.002103E7</v>
      </c>
      <c r="D610" s="16" t="s">
        <v>1652</v>
      </c>
      <c r="E610" s="16" t="s">
        <v>3106</v>
      </c>
      <c r="F610" s="16" t="s">
        <v>10</v>
      </c>
      <c r="G610" s="16" t="s">
        <v>4436</v>
      </c>
      <c r="H610" s="16" t="s">
        <v>12</v>
      </c>
      <c r="I610" s="16" t="s">
        <v>3396</v>
      </c>
      <c r="J610" s="16" t="s">
        <v>13</v>
      </c>
      <c r="K610" s="16" t="s">
        <v>1528</v>
      </c>
      <c r="L610" s="154">
        <v>45274.0</v>
      </c>
      <c r="M610" s="16">
        <f t="shared" si="1"/>
        <v>3</v>
      </c>
      <c r="N610" s="16">
        <v>4.500013908E9</v>
      </c>
      <c r="O610" s="16" t="s">
        <v>2557</v>
      </c>
      <c r="Q610" s="152" t="s">
        <v>3628</v>
      </c>
      <c r="R610" s="17"/>
      <c r="S610" s="16" t="s">
        <v>3671</v>
      </c>
      <c r="T610" s="17"/>
      <c r="U610" s="16" t="s">
        <v>4439</v>
      </c>
      <c r="V610" s="17"/>
      <c r="W610" s="17"/>
      <c r="X610" s="17"/>
      <c r="Y610" s="16" t="s">
        <v>4439</v>
      </c>
      <c r="Z610" s="17"/>
      <c r="AA610" s="17"/>
      <c r="AB610" s="17"/>
    </row>
    <row r="611">
      <c r="A611" s="16">
        <f t="shared" si="2"/>
        <v>610</v>
      </c>
      <c r="B611" s="16" t="s">
        <v>1653</v>
      </c>
      <c r="C611" s="16">
        <v>6.0021031E7</v>
      </c>
      <c r="D611" s="16" t="s">
        <v>1654</v>
      </c>
      <c r="E611" s="16" t="s">
        <v>3106</v>
      </c>
      <c r="F611" s="16" t="s">
        <v>10</v>
      </c>
      <c r="G611" s="16" t="s">
        <v>4436</v>
      </c>
      <c r="H611" s="16" t="s">
        <v>12</v>
      </c>
      <c r="I611" s="16" t="s">
        <v>3396</v>
      </c>
      <c r="J611" s="16" t="s">
        <v>13</v>
      </c>
      <c r="K611" s="16" t="s">
        <v>1528</v>
      </c>
      <c r="L611" s="154">
        <v>45274.0</v>
      </c>
      <c r="M611" s="16">
        <f t="shared" si="1"/>
        <v>3</v>
      </c>
      <c r="N611" s="16">
        <v>4.500013908E9</v>
      </c>
      <c r="O611" s="16" t="s">
        <v>2557</v>
      </c>
      <c r="Q611" s="152" t="s">
        <v>3631</v>
      </c>
      <c r="R611" s="17"/>
      <c r="S611" s="16" t="s">
        <v>3671</v>
      </c>
      <c r="T611" s="17"/>
      <c r="U611" s="16" t="s">
        <v>4439</v>
      </c>
      <c r="V611" s="17"/>
      <c r="W611" s="17"/>
      <c r="X611" s="17"/>
      <c r="Y611" s="16" t="s">
        <v>4439</v>
      </c>
      <c r="Z611" s="17"/>
      <c r="AA611" s="17"/>
      <c r="AB611" s="17"/>
    </row>
    <row r="612">
      <c r="A612" s="16">
        <f t="shared" si="2"/>
        <v>611</v>
      </c>
      <c r="B612" s="16" t="s">
        <v>1655</v>
      </c>
      <c r="C612" s="16">
        <v>6.0020647E7</v>
      </c>
      <c r="D612" s="16" t="s">
        <v>1656</v>
      </c>
      <c r="E612" s="16" t="s">
        <v>3106</v>
      </c>
      <c r="F612" s="16" t="s">
        <v>10</v>
      </c>
      <c r="G612" s="16" t="s">
        <v>3669</v>
      </c>
      <c r="H612" s="16" t="s">
        <v>12</v>
      </c>
      <c r="I612" s="16" t="s">
        <v>3396</v>
      </c>
      <c r="J612" s="16" t="s">
        <v>13</v>
      </c>
      <c r="K612" s="16" t="s">
        <v>1528</v>
      </c>
      <c r="L612" s="154">
        <v>45169.0</v>
      </c>
      <c r="M612" s="16">
        <f t="shared" si="1"/>
        <v>3</v>
      </c>
      <c r="N612" s="16">
        <v>4.500013245E9</v>
      </c>
      <c r="O612" s="16" t="s">
        <v>2557</v>
      </c>
      <c r="Q612" s="152" t="s">
        <v>4454</v>
      </c>
      <c r="R612" s="118">
        <v>45676.0</v>
      </c>
      <c r="S612" s="16" t="s">
        <v>3671</v>
      </c>
      <c r="T612" s="17"/>
      <c r="U612" s="17"/>
      <c r="V612" s="17"/>
      <c r="W612" s="17"/>
      <c r="X612" s="17"/>
      <c r="Y612" s="16" t="s">
        <v>2991</v>
      </c>
      <c r="Z612" s="17"/>
      <c r="AA612" s="17"/>
      <c r="AB612" s="17"/>
    </row>
    <row r="613">
      <c r="A613" s="16">
        <f t="shared" si="2"/>
        <v>612</v>
      </c>
      <c r="B613" s="16" t="s">
        <v>1657</v>
      </c>
      <c r="C613" s="16">
        <v>6.0020666E7</v>
      </c>
      <c r="D613" s="16" t="s">
        <v>1658</v>
      </c>
      <c r="E613" s="16" t="s">
        <v>3106</v>
      </c>
      <c r="F613" s="16" t="s">
        <v>10</v>
      </c>
      <c r="G613" s="16" t="s">
        <v>3669</v>
      </c>
      <c r="H613" s="16" t="s">
        <v>12</v>
      </c>
      <c r="I613" s="16" t="s">
        <v>3396</v>
      </c>
      <c r="J613" s="16" t="s">
        <v>13</v>
      </c>
      <c r="K613" s="16" t="s">
        <v>1528</v>
      </c>
      <c r="L613" s="154">
        <v>45169.0</v>
      </c>
      <c r="M613" s="16">
        <f t="shared" si="1"/>
        <v>3</v>
      </c>
      <c r="N613" s="16">
        <v>4.500013245E9</v>
      </c>
      <c r="O613" s="16" t="s">
        <v>2557</v>
      </c>
      <c r="Q613" s="152" t="s">
        <v>4455</v>
      </c>
      <c r="R613" s="17"/>
      <c r="S613" s="16" t="s">
        <v>3673</v>
      </c>
      <c r="T613" s="16" t="s">
        <v>4456</v>
      </c>
      <c r="U613" s="17"/>
      <c r="V613" s="17"/>
      <c r="W613" s="17"/>
      <c r="X613" s="16" t="s">
        <v>4456</v>
      </c>
      <c r="Y613" s="17"/>
      <c r="Z613" s="17"/>
      <c r="AA613" s="17"/>
      <c r="AB613" s="17"/>
    </row>
    <row r="614">
      <c r="A614" s="16">
        <f t="shared" si="2"/>
        <v>613</v>
      </c>
      <c r="B614" s="16" t="s">
        <v>1659</v>
      </c>
      <c r="C614" s="16">
        <v>6.0020672E7</v>
      </c>
      <c r="D614" s="16" t="s">
        <v>1660</v>
      </c>
      <c r="E614" s="16" t="s">
        <v>3106</v>
      </c>
      <c r="F614" s="16" t="s">
        <v>10</v>
      </c>
      <c r="G614" s="16" t="s">
        <v>3669</v>
      </c>
      <c r="H614" s="16" t="s">
        <v>12</v>
      </c>
      <c r="I614" s="16" t="s">
        <v>3396</v>
      </c>
      <c r="J614" s="16" t="s">
        <v>13</v>
      </c>
      <c r="K614" s="16" t="s">
        <v>1528</v>
      </c>
      <c r="L614" s="154">
        <v>45169.0</v>
      </c>
      <c r="M614" s="16">
        <f t="shared" si="1"/>
        <v>3</v>
      </c>
      <c r="N614" s="16">
        <v>4.500013245E9</v>
      </c>
      <c r="O614" s="16" t="s">
        <v>2557</v>
      </c>
      <c r="Q614" s="152" t="s">
        <v>3634</v>
      </c>
      <c r="R614" s="17"/>
      <c r="S614" s="16" t="s">
        <v>3673</v>
      </c>
      <c r="T614" s="16" t="s">
        <v>4457</v>
      </c>
      <c r="U614" s="16" t="s">
        <v>3204</v>
      </c>
      <c r="V614" s="16" t="s">
        <v>4458</v>
      </c>
      <c r="W614" s="17"/>
      <c r="X614" s="16" t="s">
        <v>4457</v>
      </c>
      <c r="Y614" s="16" t="s">
        <v>3204</v>
      </c>
      <c r="Z614" s="16" t="s">
        <v>4458</v>
      </c>
      <c r="AA614" s="17"/>
      <c r="AB614" s="17"/>
    </row>
    <row r="615">
      <c r="A615" s="16">
        <f t="shared" si="2"/>
        <v>614</v>
      </c>
      <c r="B615" s="16" t="s">
        <v>1661</v>
      </c>
      <c r="C615" s="16">
        <v>6.0020673E7</v>
      </c>
      <c r="D615" s="16" t="s">
        <v>1662</v>
      </c>
      <c r="E615" s="16" t="s">
        <v>3106</v>
      </c>
      <c r="F615" s="16" t="s">
        <v>10</v>
      </c>
      <c r="G615" s="16" t="s">
        <v>3669</v>
      </c>
      <c r="H615" s="16" t="s">
        <v>12</v>
      </c>
      <c r="I615" s="16" t="s">
        <v>3396</v>
      </c>
      <c r="J615" s="16" t="s">
        <v>13</v>
      </c>
      <c r="K615" s="16" t="s">
        <v>1528</v>
      </c>
      <c r="L615" s="154">
        <v>45169.0</v>
      </c>
      <c r="M615" s="16">
        <f t="shared" si="1"/>
        <v>3</v>
      </c>
      <c r="N615" s="16">
        <v>4.500013245E9</v>
      </c>
      <c r="O615" s="16" t="s">
        <v>2557</v>
      </c>
      <c r="Q615" s="152" t="s">
        <v>3637</v>
      </c>
      <c r="R615" s="17"/>
      <c r="S615" s="16" t="s">
        <v>3673</v>
      </c>
      <c r="T615" s="16" t="s">
        <v>4459</v>
      </c>
      <c r="U615" s="16" t="s">
        <v>3204</v>
      </c>
      <c r="V615" s="16" t="s">
        <v>4458</v>
      </c>
      <c r="W615" s="17"/>
      <c r="X615" s="16" t="s">
        <v>4459</v>
      </c>
      <c r="Y615" s="16" t="s">
        <v>3204</v>
      </c>
      <c r="Z615" s="16" t="s">
        <v>4458</v>
      </c>
      <c r="AA615" s="17"/>
      <c r="AB615" s="17"/>
    </row>
    <row r="616">
      <c r="A616" s="16">
        <f t="shared" si="2"/>
        <v>615</v>
      </c>
      <c r="B616" s="16" t="s">
        <v>1663</v>
      </c>
      <c r="C616" s="16">
        <v>6.0020674E7</v>
      </c>
      <c r="D616" s="16" t="s">
        <v>1664</v>
      </c>
      <c r="E616" s="16" t="s">
        <v>3106</v>
      </c>
      <c r="F616" s="16" t="s">
        <v>10</v>
      </c>
      <c r="G616" s="16" t="s">
        <v>3669</v>
      </c>
      <c r="H616" s="16" t="s">
        <v>12</v>
      </c>
      <c r="I616" s="16" t="s">
        <v>3396</v>
      </c>
      <c r="J616" s="16" t="s">
        <v>13</v>
      </c>
      <c r="K616" s="16" t="s">
        <v>1528</v>
      </c>
      <c r="L616" s="154">
        <v>45169.0</v>
      </c>
      <c r="M616" s="16">
        <f t="shared" si="1"/>
        <v>3</v>
      </c>
      <c r="N616" s="16">
        <v>4.500013245E9</v>
      </c>
      <c r="O616" s="16" t="s">
        <v>2557</v>
      </c>
      <c r="Q616" s="152" t="s">
        <v>3640</v>
      </c>
      <c r="R616" s="17"/>
      <c r="S616" s="16" t="s">
        <v>3673</v>
      </c>
      <c r="T616" s="16" t="s">
        <v>4460</v>
      </c>
      <c r="U616" s="16" t="s">
        <v>3204</v>
      </c>
      <c r="V616" s="16" t="s">
        <v>4458</v>
      </c>
      <c r="W616" s="17"/>
      <c r="X616" s="16" t="s">
        <v>4460</v>
      </c>
      <c r="Y616" s="16" t="s">
        <v>3204</v>
      </c>
      <c r="Z616" s="16" t="s">
        <v>4458</v>
      </c>
      <c r="AA616" s="17"/>
      <c r="AB616" s="17"/>
    </row>
    <row r="617">
      <c r="A617" s="16">
        <f t="shared" si="2"/>
        <v>616</v>
      </c>
      <c r="B617" s="16" t="s">
        <v>1665</v>
      </c>
      <c r="C617" s="16">
        <v>6.0020675E7</v>
      </c>
      <c r="D617" s="16" t="s">
        <v>1666</v>
      </c>
      <c r="E617" s="16" t="s">
        <v>3106</v>
      </c>
      <c r="F617" s="16" t="s">
        <v>10</v>
      </c>
      <c r="G617" s="16" t="s">
        <v>3669</v>
      </c>
      <c r="H617" s="16" t="s">
        <v>12</v>
      </c>
      <c r="I617" s="16" t="s">
        <v>3396</v>
      </c>
      <c r="J617" s="16" t="s">
        <v>13</v>
      </c>
      <c r="K617" s="16" t="s">
        <v>1528</v>
      </c>
      <c r="L617" s="154">
        <v>45169.0</v>
      </c>
      <c r="M617" s="16">
        <f t="shared" si="1"/>
        <v>3</v>
      </c>
      <c r="N617" s="16">
        <v>4.500013245E9</v>
      </c>
      <c r="O617" s="16" t="s">
        <v>2557</v>
      </c>
      <c r="Q617" s="152" t="s">
        <v>3643</v>
      </c>
      <c r="R617" s="17"/>
      <c r="S617" s="16" t="s">
        <v>3673</v>
      </c>
      <c r="T617" s="16" t="s">
        <v>4461</v>
      </c>
      <c r="U617" s="16" t="s">
        <v>3204</v>
      </c>
      <c r="V617" s="16" t="s">
        <v>4458</v>
      </c>
      <c r="W617" s="17"/>
      <c r="X617" s="16" t="s">
        <v>4461</v>
      </c>
      <c r="Y617" s="16" t="s">
        <v>3204</v>
      </c>
      <c r="Z617" s="16" t="s">
        <v>4458</v>
      </c>
      <c r="AA617" s="17"/>
      <c r="AB617" s="17"/>
    </row>
    <row r="618">
      <c r="A618" s="16">
        <f t="shared" si="2"/>
        <v>617</v>
      </c>
      <c r="B618" s="16" t="s">
        <v>1667</v>
      </c>
      <c r="C618" s="16">
        <v>6.0020676E7</v>
      </c>
      <c r="D618" s="16" t="s">
        <v>1668</v>
      </c>
      <c r="E618" s="16" t="s">
        <v>3106</v>
      </c>
      <c r="F618" s="16" t="s">
        <v>10</v>
      </c>
      <c r="G618" s="16" t="s">
        <v>3669</v>
      </c>
      <c r="H618" s="16" t="s">
        <v>12</v>
      </c>
      <c r="I618" s="16" t="s">
        <v>3396</v>
      </c>
      <c r="J618" s="16" t="s">
        <v>13</v>
      </c>
      <c r="K618" s="16" t="s">
        <v>1528</v>
      </c>
      <c r="L618" s="154">
        <v>45169.0</v>
      </c>
      <c r="M618" s="16">
        <f t="shared" si="1"/>
        <v>3</v>
      </c>
      <c r="N618" s="16">
        <v>4.500013245E9</v>
      </c>
      <c r="O618" s="16" t="s">
        <v>2557</v>
      </c>
      <c r="Q618" s="152" t="s">
        <v>3646</v>
      </c>
      <c r="R618" s="17"/>
      <c r="S618" s="16" t="s">
        <v>3671</v>
      </c>
      <c r="T618" s="17"/>
      <c r="U618" s="16" t="s">
        <v>3204</v>
      </c>
      <c r="V618" s="16" t="s">
        <v>4458</v>
      </c>
      <c r="W618" s="17"/>
      <c r="X618" s="16" t="s">
        <v>4462</v>
      </c>
      <c r="Y618" s="16" t="s">
        <v>3204</v>
      </c>
      <c r="Z618" s="16" t="s">
        <v>4458</v>
      </c>
      <c r="AA618" s="17"/>
      <c r="AB618" s="17"/>
    </row>
    <row r="619">
      <c r="A619" s="16">
        <f t="shared" si="2"/>
        <v>618</v>
      </c>
      <c r="B619" s="16" t="s">
        <v>1669</v>
      </c>
      <c r="C619" s="16">
        <v>6.0020677E7</v>
      </c>
      <c r="D619" s="16" t="s">
        <v>1670</v>
      </c>
      <c r="E619" s="16" t="s">
        <v>3106</v>
      </c>
      <c r="F619" s="16" t="s">
        <v>10</v>
      </c>
      <c r="G619" s="16" t="s">
        <v>3669</v>
      </c>
      <c r="H619" s="16" t="s">
        <v>12</v>
      </c>
      <c r="I619" s="16" t="s">
        <v>3396</v>
      </c>
      <c r="J619" s="16" t="s">
        <v>13</v>
      </c>
      <c r="K619" s="16" t="s">
        <v>1528</v>
      </c>
      <c r="L619" s="154">
        <v>45169.0</v>
      </c>
      <c r="M619" s="16">
        <f t="shared" si="1"/>
        <v>3</v>
      </c>
      <c r="N619" s="16">
        <v>4.500013245E9</v>
      </c>
      <c r="O619" s="16" t="s">
        <v>2557</v>
      </c>
      <c r="Q619" s="152" t="s">
        <v>3649</v>
      </c>
      <c r="R619" s="17"/>
      <c r="S619" s="16" t="s">
        <v>3673</v>
      </c>
      <c r="T619" s="16" t="s">
        <v>4463</v>
      </c>
      <c r="U619" s="16" t="s">
        <v>3204</v>
      </c>
      <c r="V619" s="16" t="s">
        <v>4458</v>
      </c>
      <c r="W619" s="17"/>
      <c r="X619" s="16" t="s">
        <v>4463</v>
      </c>
      <c r="Y619" s="16" t="s">
        <v>3204</v>
      </c>
      <c r="Z619" s="16" t="s">
        <v>4458</v>
      </c>
      <c r="AA619" s="17"/>
      <c r="AB619" s="17"/>
    </row>
    <row r="620">
      <c r="A620" s="16">
        <f t="shared" si="2"/>
        <v>619</v>
      </c>
      <c r="B620" s="16" t="s">
        <v>1671</v>
      </c>
      <c r="C620" s="16">
        <v>6.0020678E7</v>
      </c>
      <c r="D620" s="16" t="s">
        <v>1672</v>
      </c>
      <c r="E620" s="16" t="s">
        <v>3106</v>
      </c>
      <c r="F620" s="16" t="s">
        <v>10</v>
      </c>
      <c r="G620" s="16" t="s">
        <v>3669</v>
      </c>
      <c r="H620" s="16" t="s">
        <v>12</v>
      </c>
      <c r="I620" s="16" t="s">
        <v>3396</v>
      </c>
      <c r="J620" s="16" t="s">
        <v>13</v>
      </c>
      <c r="K620" s="16" t="s">
        <v>1528</v>
      </c>
      <c r="L620" s="154">
        <v>45169.0</v>
      </c>
      <c r="M620" s="16">
        <f t="shared" si="1"/>
        <v>3</v>
      </c>
      <c r="N620" s="16">
        <v>4.500013245E9</v>
      </c>
      <c r="O620" s="16" t="s">
        <v>2557</v>
      </c>
      <c r="Q620" s="153"/>
      <c r="R620" s="17"/>
      <c r="S620" s="16" t="s">
        <v>3673</v>
      </c>
      <c r="T620" s="16" t="s">
        <v>4464</v>
      </c>
      <c r="U620" s="16" t="s">
        <v>3204</v>
      </c>
      <c r="V620" s="16" t="s">
        <v>4458</v>
      </c>
      <c r="W620" s="17"/>
      <c r="X620" s="16" t="s">
        <v>4464</v>
      </c>
      <c r="Y620" s="16" t="s">
        <v>3204</v>
      </c>
      <c r="Z620" s="16" t="s">
        <v>4458</v>
      </c>
      <c r="AA620" s="17"/>
      <c r="AB620" s="17"/>
    </row>
    <row r="621">
      <c r="A621" s="16">
        <f t="shared" si="2"/>
        <v>620</v>
      </c>
      <c r="B621" s="16" t="s">
        <v>1673</v>
      </c>
      <c r="C621" s="16">
        <v>6.0020679E7</v>
      </c>
      <c r="D621" s="16" t="s">
        <v>1674</v>
      </c>
      <c r="E621" s="16" t="s">
        <v>3106</v>
      </c>
      <c r="F621" s="16" t="s">
        <v>10</v>
      </c>
      <c r="G621" s="16" t="s">
        <v>3669</v>
      </c>
      <c r="H621" s="16" t="s">
        <v>12</v>
      </c>
      <c r="I621" s="16" t="s">
        <v>3396</v>
      </c>
      <c r="J621" s="16" t="s">
        <v>13</v>
      </c>
      <c r="K621" s="16" t="s">
        <v>1528</v>
      </c>
      <c r="L621" s="154">
        <v>45169.0</v>
      </c>
      <c r="M621" s="16">
        <f t="shared" si="1"/>
        <v>3</v>
      </c>
      <c r="N621" s="16">
        <v>4.500013245E9</v>
      </c>
      <c r="O621" s="16" t="s">
        <v>2557</v>
      </c>
      <c r="Q621" s="153"/>
      <c r="R621" s="17"/>
      <c r="S621" s="16" t="s">
        <v>3673</v>
      </c>
      <c r="T621" s="16" t="s">
        <v>4465</v>
      </c>
      <c r="U621" s="16" t="s">
        <v>3204</v>
      </c>
      <c r="V621" s="16" t="s">
        <v>4458</v>
      </c>
      <c r="W621" s="17"/>
      <c r="X621" s="16" t="s">
        <v>4465</v>
      </c>
      <c r="Y621" s="16" t="s">
        <v>3204</v>
      </c>
      <c r="Z621" s="16" t="s">
        <v>4458</v>
      </c>
      <c r="AA621" s="17"/>
      <c r="AB621" s="17"/>
    </row>
    <row r="622">
      <c r="A622" s="16">
        <f t="shared" si="2"/>
        <v>621</v>
      </c>
      <c r="B622" s="16" t="s">
        <v>1675</v>
      </c>
      <c r="C622" s="16">
        <v>6.002068E7</v>
      </c>
      <c r="D622" s="16" t="s">
        <v>1676</v>
      </c>
      <c r="E622" s="16" t="s">
        <v>3106</v>
      </c>
      <c r="F622" s="16" t="s">
        <v>10</v>
      </c>
      <c r="G622" s="16" t="s">
        <v>3669</v>
      </c>
      <c r="H622" s="16" t="s">
        <v>12</v>
      </c>
      <c r="I622" s="16" t="s">
        <v>3396</v>
      </c>
      <c r="J622" s="16" t="s">
        <v>13</v>
      </c>
      <c r="K622" s="16" t="s">
        <v>1528</v>
      </c>
      <c r="L622" s="154">
        <v>45169.0</v>
      </c>
      <c r="M622" s="16">
        <f t="shared" si="1"/>
        <v>3</v>
      </c>
      <c r="N622" s="16">
        <v>4.500013245E9</v>
      </c>
      <c r="O622" s="16" t="s">
        <v>2557</v>
      </c>
      <c r="Q622" s="153"/>
      <c r="R622" s="17"/>
      <c r="S622" s="16" t="s">
        <v>3673</v>
      </c>
      <c r="T622" s="16" t="s">
        <v>4466</v>
      </c>
      <c r="U622" s="16" t="s">
        <v>3204</v>
      </c>
      <c r="V622" s="16" t="s">
        <v>4458</v>
      </c>
      <c r="W622" s="17"/>
      <c r="X622" s="16" t="s">
        <v>4466</v>
      </c>
      <c r="Y622" s="16" t="s">
        <v>3204</v>
      </c>
      <c r="Z622" s="16" t="s">
        <v>4458</v>
      </c>
      <c r="AA622" s="17"/>
      <c r="AB622" s="17"/>
    </row>
    <row r="623">
      <c r="A623" s="16">
        <f t="shared" si="2"/>
        <v>622</v>
      </c>
      <c r="B623" s="16" t="s">
        <v>1677</v>
      </c>
      <c r="C623" s="16">
        <v>6.0020681E7</v>
      </c>
      <c r="D623" s="16" t="s">
        <v>1678</v>
      </c>
      <c r="E623" s="16" t="s">
        <v>3106</v>
      </c>
      <c r="F623" s="16" t="s">
        <v>10</v>
      </c>
      <c r="G623" s="16" t="s">
        <v>3669</v>
      </c>
      <c r="H623" s="16" t="s">
        <v>12</v>
      </c>
      <c r="I623" s="16" t="s">
        <v>3396</v>
      </c>
      <c r="J623" s="16" t="s">
        <v>13</v>
      </c>
      <c r="K623" s="16" t="s">
        <v>1528</v>
      </c>
      <c r="L623" s="154">
        <v>45169.0</v>
      </c>
      <c r="M623" s="16">
        <f t="shared" si="1"/>
        <v>3</v>
      </c>
      <c r="N623" s="16">
        <v>4.500013245E9</v>
      </c>
      <c r="O623" s="16" t="s">
        <v>3542</v>
      </c>
      <c r="Q623" s="153"/>
      <c r="R623" s="17"/>
      <c r="S623" s="16" t="s">
        <v>3673</v>
      </c>
      <c r="T623" s="16" t="s">
        <v>4467</v>
      </c>
      <c r="U623" s="16" t="s">
        <v>4468</v>
      </c>
      <c r="V623" s="16" t="s">
        <v>3681</v>
      </c>
      <c r="W623" s="17"/>
      <c r="X623" s="16" t="s">
        <v>4467</v>
      </c>
      <c r="Y623" s="16" t="s">
        <v>4468</v>
      </c>
      <c r="Z623" s="16" t="s">
        <v>3681</v>
      </c>
      <c r="AA623" s="17"/>
      <c r="AB623" s="17"/>
    </row>
    <row r="624">
      <c r="A624" s="16">
        <f t="shared" si="2"/>
        <v>623</v>
      </c>
      <c r="B624" s="16" t="s">
        <v>1679</v>
      </c>
      <c r="C624" s="16">
        <v>6.0020682E7</v>
      </c>
      <c r="D624" s="16" t="s">
        <v>1680</v>
      </c>
      <c r="E624" s="16" t="s">
        <v>3106</v>
      </c>
      <c r="F624" s="16" t="s">
        <v>10</v>
      </c>
      <c r="G624" s="16" t="s">
        <v>3669</v>
      </c>
      <c r="H624" s="16" t="s">
        <v>12</v>
      </c>
      <c r="I624" s="16" t="s">
        <v>3396</v>
      </c>
      <c r="J624" s="16" t="s">
        <v>13</v>
      </c>
      <c r="K624" s="16" t="s">
        <v>1528</v>
      </c>
      <c r="L624" s="154">
        <v>45169.0</v>
      </c>
      <c r="M624" s="16">
        <f t="shared" si="1"/>
        <v>3</v>
      </c>
      <c r="N624" s="16">
        <v>4.500013245E9</v>
      </c>
      <c r="O624" s="16" t="s">
        <v>3542</v>
      </c>
      <c r="Q624" s="153"/>
      <c r="R624" s="17"/>
      <c r="S624" s="16" t="s">
        <v>3673</v>
      </c>
      <c r="T624" s="16" t="s">
        <v>4469</v>
      </c>
      <c r="U624" s="16" t="s">
        <v>4468</v>
      </c>
      <c r="V624" s="16" t="s">
        <v>3681</v>
      </c>
      <c r="W624" s="17"/>
      <c r="X624" s="16" t="s">
        <v>4469</v>
      </c>
      <c r="Y624" s="16" t="s">
        <v>4468</v>
      </c>
      <c r="Z624" s="16" t="s">
        <v>3681</v>
      </c>
      <c r="AA624" s="17"/>
      <c r="AB624" s="17"/>
    </row>
    <row r="625">
      <c r="A625" s="16">
        <f t="shared" si="2"/>
        <v>624</v>
      </c>
      <c r="B625" s="16" t="s">
        <v>1681</v>
      </c>
      <c r="C625" s="16">
        <v>6.0020683E7</v>
      </c>
      <c r="D625" s="16" t="s">
        <v>1682</v>
      </c>
      <c r="E625" s="16" t="s">
        <v>3106</v>
      </c>
      <c r="F625" s="16" t="s">
        <v>10</v>
      </c>
      <c r="G625" s="16" t="s">
        <v>3669</v>
      </c>
      <c r="H625" s="16" t="s">
        <v>12</v>
      </c>
      <c r="I625" s="16" t="s">
        <v>3396</v>
      </c>
      <c r="J625" s="16" t="s">
        <v>13</v>
      </c>
      <c r="K625" s="16" t="s">
        <v>1528</v>
      </c>
      <c r="L625" s="154">
        <v>45169.0</v>
      </c>
      <c r="M625" s="16">
        <f t="shared" si="1"/>
        <v>3</v>
      </c>
      <c r="N625" s="16">
        <v>4.500013245E9</v>
      </c>
      <c r="O625" s="16" t="s">
        <v>3542</v>
      </c>
      <c r="Q625" s="153"/>
      <c r="R625" s="17"/>
      <c r="S625" s="16" t="s">
        <v>3673</v>
      </c>
      <c r="T625" s="16" t="s">
        <v>4470</v>
      </c>
      <c r="U625" s="16" t="s">
        <v>4468</v>
      </c>
      <c r="V625" s="16" t="s">
        <v>3681</v>
      </c>
      <c r="W625" s="17"/>
      <c r="X625" s="16" t="s">
        <v>4470</v>
      </c>
      <c r="Y625" s="16" t="s">
        <v>4468</v>
      </c>
      <c r="Z625" s="16" t="s">
        <v>3681</v>
      </c>
      <c r="AA625" s="17"/>
      <c r="AB625" s="17"/>
    </row>
    <row r="626">
      <c r="A626" s="16">
        <f t="shared" si="2"/>
        <v>625</v>
      </c>
      <c r="B626" s="16" t="s">
        <v>1683</v>
      </c>
      <c r="C626" s="16">
        <v>6.0020684E7</v>
      </c>
      <c r="D626" s="16" t="s">
        <v>1684</v>
      </c>
      <c r="E626" s="16" t="s">
        <v>3106</v>
      </c>
      <c r="F626" s="16" t="s">
        <v>10</v>
      </c>
      <c r="G626" s="16" t="s">
        <v>3669</v>
      </c>
      <c r="H626" s="16" t="s">
        <v>12</v>
      </c>
      <c r="I626" s="16" t="s">
        <v>3396</v>
      </c>
      <c r="J626" s="16" t="s">
        <v>13</v>
      </c>
      <c r="K626" s="16" t="s">
        <v>1528</v>
      </c>
      <c r="L626" s="154">
        <v>45169.0</v>
      </c>
      <c r="M626" s="16">
        <f t="shared" si="1"/>
        <v>3</v>
      </c>
      <c r="N626" s="16">
        <v>4.500013245E9</v>
      </c>
      <c r="O626" s="16" t="s">
        <v>3542</v>
      </c>
      <c r="Q626" s="153"/>
      <c r="R626" s="17"/>
      <c r="S626" s="16" t="s">
        <v>3673</v>
      </c>
      <c r="T626" s="16" t="s">
        <v>4471</v>
      </c>
      <c r="U626" s="16" t="s">
        <v>4468</v>
      </c>
      <c r="V626" s="16" t="s">
        <v>3681</v>
      </c>
      <c r="W626" s="17"/>
      <c r="X626" s="16" t="s">
        <v>4471</v>
      </c>
      <c r="Y626" s="16" t="s">
        <v>4468</v>
      </c>
      <c r="Z626" s="16" t="s">
        <v>3681</v>
      </c>
      <c r="AA626" s="17"/>
      <c r="AB626" s="17"/>
    </row>
    <row r="627">
      <c r="A627" s="16">
        <f t="shared" si="2"/>
        <v>626</v>
      </c>
      <c r="B627" s="16" t="s">
        <v>1685</v>
      </c>
      <c r="C627" s="16">
        <v>6.0020685E7</v>
      </c>
      <c r="D627" s="16" t="s">
        <v>1686</v>
      </c>
      <c r="E627" s="16" t="s">
        <v>3106</v>
      </c>
      <c r="F627" s="16" t="s">
        <v>10</v>
      </c>
      <c r="G627" s="16" t="s">
        <v>3669</v>
      </c>
      <c r="H627" s="16" t="s">
        <v>12</v>
      </c>
      <c r="I627" s="16" t="s">
        <v>3396</v>
      </c>
      <c r="J627" s="16" t="s">
        <v>13</v>
      </c>
      <c r="K627" s="16" t="s">
        <v>1528</v>
      </c>
      <c r="L627" s="154">
        <v>45169.0</v>
      </c>
      <c r="M627" s="16">
        <f t="shared" si="1"/>
        <v>3</v>
      </c>
      <c r="N627" s="16">
        <v>4.500013245E9</v>
      </c>
      <c r="O627" s="16" t="s">
        <v>3542</v>
      </c>
      <c r="Q627" s="153"/>
      <c r="R627" s="17"/>
      <c r="S627" s="16" t="s">
        <v>3673</v>
      </c>
      <c r="T627" s="16" t="s">
        <v>4472</v>
      </c>
      <c r="U627" s="16" t="s">
        <v>4468</v>
      </c>
      <c r="V627" s="16" t="s">
        <v>3681</v>
      </c>
      <c r="W627" s="17"/>
      <c r="X627" s="16" t="s">
        <v>4472</v>
      </c>
      <c r="Y627" s="16" t="s">
        <v>4468</v>
      </c>
      <c r="Z627" s="16" t="s">
        <v>3681</v>
      </c>
      <c r="AA627" s="17"/>
      <c r="AB627" s="17"/>
    </row>
    <row r="628">
      <c r="A628" s="16">
        <f t="shared" si="2"/>
        <v>627</v>
      </c>
      <c r="B628" s="16" t="s">
        <v>1687</v>
      </c>
      <c r="C628" s="16">
        <v>6.0020686E7</v>
      </c>
      <c r="D628" s="16" t="s">
        <v>1688</v>
      </c>
      <c r="E628" s="16" t="s">
        <v>3106</v>
      </c>
      <c r="F628" s="16" t="s">
        <v>10</v>
      </c>
      <c r="G628" s="16" t="s">
        <v>3669</v>
      </c>
      <c r="H628" s="16" t="s">
        <v>12</v>
      </c>
      <c r="I628" s="16" t="s">
        <v>3396</v>
      </c>
      <c r="J628" s="16" t="s">
        <v>13</v>
      </c>
      <c r="K628" s="16" t="s">
        <v>1528</v>
      </c>
      <c r="L628" s="154">
        <v>45169.0</v>
      </c>
      <c r="M628" s="16">
        <f t="shared" si="1"/>
        <v>3</v>
      </c>
      <c r="N628" s="16">
        <v>4.500013245E9</v>
      </c>
      <c r="O628" s="16" t="s">
        <v>3542</v>
      </c>
      <c r="Q628" s="153"/>
      <c r="R628" s="17"/>
      <c r="S628" s="16" t="s">
        <v>3673</v>
      </c>
      <c r="T628" s="16" t="s">
        <v>4473</v>
      </c>
      <c r="U628" s="16" t="s">
        <v>4468</v>
      </c>
      <c r="V628" s="16" t="s">
        <v>3681</v>
      </c>
      <c r="W628" s="17"/>
      <c r="X628" s="16" t="s">
        <v>4473</v>
      </c>
      <c r="Y628" s="16" t="s">
        <v>4468</v>
      </c>
      <c r="Z628" s="16" t="s">
        <v>3681</v>
      </c>
      <c r="AA628" s="17"/>
      <c r="AB628" s="17"/>
    </row>
    <row r="629">
      <c r="A629" s="16">
        <f t="shared" si="2"/>
        <v>628</v>
      </c>
      <c r="B629" s="16" t="s">
        <v>1689</v>
      </c>
      <c r="C629" s="16">
        <v>6.0020697E7</v>
      </c>
      <c r="D629" s="16" t="s">
        <v>1690</v>
      </c>
      <c r="E629" s="16" t="s">
        <v>3106</v>
      </c>
      <c r="F629" s="16" t="s">
        <v>10</v>
      </c>
      <c r="G629" s="16" t="s">
        <v>3669</v>
      </c>
      <c r="H629" s="16" t="s">
        <v>12</v>
      </c>
      <c r="I629" s="16" t="s">
        <v>3396</v>
      </c>
      <c r="J629" s="16" t="s">
        <v>13</v>
      </c>
      <c r="K629" s="16" t="s">
        <v>1528</v>
      </c>
      <c r="L629" s="154">
        <v>45169.0</v>
      </c>
      <c r="M629" s="16">
        <f t="shared" si="1"/>
        <v>3</v>
      </c>
      <c r="N629" s="16">
        <v>4.500013245E9</v>
      </c>
      <c r="O629" s="16" t="s">
        <v>2557</v>
      </c>
      <c r="Q629" s="153"/>
      <c r="R629" s="17"/>
      <c r="S629" s="16" t="s">
        <v>3671</v>
      </c>
      <c r="T629" s="16" t="s">
        <v>4474</v>
      </c>
      <c r="U629" s="16" t="s">
        <v>3135</v>
      </c>
      <c r="V629" s="16" t="s">
        <v>4237</v>
      </c>
      <c r="W629" s="17"/>
      <c r="X629" s="16" t="s">
        <v>4474</v>
      </c>
      <c r="Y629" s="16" t="s">
        <v>3135</v>
      </c>
      <c r="Z629" s="16" t="s">
        <v>4237</v>
      </c>
      <c r="AA629" s="17"/>
      <c r="AB629" s="17"/>
    </row>
    <row r="630">
      <c r="A630" s="16">
        <f t="shared" si="2"/>
        <v>629</v>
      </c>
      <c r="B630" s="16" t="s">
        <v>1691</v>
      </c>
      <c r="C630" s="16">
        <v>6.0020698E7</v>
      </c>
      <c r="D630" s="16" t="s">
        <v>1692</v>
      </c>
      <c r="E630" s="16" t="s">
        <v>3106</v>
      </c>
      <c r="F630" s="16" t="s">
        <v>10</v>
      </c>
      <c r="G630" s="16" t="s">
        <v>3669</v>
      </c>
      <c r="H630" s="16" t="s">
        <v>12</v>
      </c>
      <c r="I630" s="16" t="s">
        <v>3396</v>
      </c>
      <c r="J630" s="16" t="s">
        <v>13</v>
      </c>
      <c r="K630" s="16" t="s">
        <v>1528</v>
      </c>
      <c r="L630" s="154">
        <v>45169.0</v>
      </c>
      <c r="M630" s="16">
        <f t="shared" si="1"/>
        <v>3</v>
      </c>
      <c r="N630" s="16">
        <v>4.500013245E9</v>
      </c>
      <c r="O630" s="16" t="s">
        <v>2557</v>
      </c>
      <c r="Q630" s="153"/>
      <c r="R630" s="17"/>
      <c r="S630" s="16" t="s">
        <v>3671</v>
      </c>
      <c r="T630" s="16" t="s">
        <v>4475</v>
      </c>
      <c r="U630" s="16" t="s">
        <v>3135</v>
      </c>
      <c r="V630" s="17"/>
      <c r="W630" s="17"/>
      <c r="X630" s="16" t="s">
        <v>4475</v>
      </c>
      <c r="Y630" s="16" t="s">
        <v>3135</v>
      </c>
      <c r="Z630" s="16" t="s">
        <v>4237</v>
      </c>
      <c r="AA630" s="17"/>
      <c r="AB630" s="17"/>
    </row>
    <row r="631">
      <c r="A631" s="16">
        <f t="shared" si="2"/>
        <v>630</v>
      </c>
      <c r="B631" s="16" t="s">
        <v>1693</v>
      </c>
      <c r="C631" s="16">
        <v>6.0020699E7</v>
      </c>
      <c r="D631" s="16" t="s">
        <v>1694</v>
      </c>
      <c r="E631" s="16" t="s">
        <v>3106</v>
      </c>
      <c r="F631" s="16" t="s">
        <v>10</v>
      </c>
      <c r="G631" s="16" t="s">
        <v>3669</v>
      </c>
      <c r="H631" s="16" t="s">
        <v>12</v>
      </c>
      <c r="I631" s="16" t="s">
        <v>3396</v>
      </c>
      <c r="J631" s="16" t="s">
        <v>13</v>
      </c>
      <c r="K631" s="16" t="s">
        <v>1528</v>
      </c>
      <c r="L631" s="154">
        <v>45169.0</v>
      </c>
      <c r="M631" s="16">
        <f t="shared" si="1"/>
        <v>3</v>
      </c>
      <c r="N631" s="16">
        <v>4.500013245E9</v>
      </c>
      <c r="O631" s="16" t="s">
        <v>3903</v>
      </c>
      <c r="Q631" s="153"/>
      <c r="R631" s="17"/>
      <c r="S631" s="16" t="s">
        <v>3671</v>
      </c>
      <c r="T631" s="17"/>
      <c r="U631" s="17"/>
      <c r="V631" s="17"/>
      <c r="W631" s="17"/>
      <c r="X631" s="17"/>
      <c r="Y631" s="17"/>
      <c r="Z631" s="17"/>
      <c r="AA631" s="17"/>
      <c r="AB631" s="17"/>
    </row>
    <row r="632">
      <c r="A632" s="16">
        <f t="shared" si="2"/>
        <v>631</v>
      </c>
      <c r="B632" s="16" t="s">
        <v>1695</v>
      </c>
      <c r="C632" s="16">
        <v>6.00207E7</v>
      </c>
      <c r="D632" s="16" t="s">
        <v>1696</v>
      </c>
      <c r="E632" s="16" t="s">
        <v>3106</v>
      </c>
      <c r="F632" s="16" t="s">
        <v>10</v>
      </c>
      <c r="G632" s="16" t="s">
        <v>3669</v>
      </c>
      <c r="H632" s="16" t="s">
        <v>12</v>
      </c>
      <c r="I632" s="16" t="s">
        <v>3396</v>
      </c>
      <c r="J632" s="16" t="s">
        <v>13</v>
      </c>
      <c r="K632" s="16" t="s">
        <v>1528</v>
      </c>
      <c r="L632" s="154">
        <v>45169.0</v>
      </c>
      <c r="M632" s="16">
        <f t="shared" si="1"/>
        <v>3</v>
      </c>
      <c r="N632" s="16">
        <v>4.500013245E9</v>
      </c>
      <c r="O632" s="16" t="s">
        <v>2557</v>
      </c>
      <c r="Q632" s="153"/>
      <c r="R632" s="16" t="s">
        <v>4476</v>
      </c>
      <c r="S632" s="16" t="s">
        <v>3673</v>
      </c>
      <c r="T632" s="16" t="s">
        <v>4477</v>
      </c>
      <c r="U632" s="16" t="s">
        <v>4478</v>
      </c>
      <c r="V632" s="16" t="s">
        <v>3681</v>
      </c>
      <c r="W632" s="17"/>
      <c r="X632" s="16" t="s">
        <v>4477</v>
      </c>
      <c r="Y632" s="16" t="s">
        <v>4478</v>
      </c>
      <c r="Z632" s="16" t="s">
        <v>3681</v>
      </c>
      <c r="AA632" s="17"/>
      <c r="AB632" s="17"/>
    </row>
    <row r="633">
      <c r="A633" s="16">
        <f t="shared" si="2"/>
        <v>632</v>
      </c>
      <c r="B633" s="17"/>
      <c r="C633" s="16" t="s">
        <v>1697</v>
      </c>
      <c r="D633" s="16" t="s">
        <v>1698</v>
      </c>
      <c r="E633" s="16" t="s">
        <v>3106</v>
      </c>
      <c r="F633" s="16" t="s">
        <v>10</v>
      </c>
      <c r="G633" s="16" t="s">
        <v>3682</v>
      </c>
      <c r="H633" s="16" t="s">
        <v>12</v>
      </c>
      <c r="I633" s="17"/>
      <c r="J633" s="16" t="s">
        <v>36</v>
      </c>
      <c r="K633" s="16" t="s">
        <v>40</v>
      </c>
      <c r="L633" s="154">
        <v>42429.0</v>
      </c>
      <c r="M633" s="16">
        <f t="shared" si="1"/>
        <v>10</v>
      </c>
      <c r="N633" s="17"/>
      <c r="O633" s="17"/>
      <c r="Q633" s="153"/>
      <c r="R633" s="17"/>
      <c r="S633" s="16" t="s">
        <v>3671</v>
      </c>
      <c r="T633" s="17"/>
      <c r="U633" s="16" t="s">
        <v>3250</v>
      </c>
      <c r="V633" s="17"/>
      <c r="W633" s="17"/>
      <c r="X633" s="17"/>
      <c r="Y633" s="16" t="s">
        <v>3250</v>
      </c>
      <c r="Z633" s="16" t="s">
        <v>3734</v>
      </c>
      <c r="AA633" s="17"/>
      <c r="AB633" s="17"/>
    </row>
    <row r="634">
      <c r="A634" s="16">
        <f t="shared" si="2"/>
        <v>633</v>
      </c>
      <c r="B634" s="16" t="s">
        <v>1699</v>
      </c>
      <c r="C634" s="16" t="s">
        <v>1700</v>
      </c>
      <c r="D634" s="16" t="s">
        <v>1701</v>
      </c>
      <c r="E634" s="16" t="s">
        <v>3106</v>
      </c>
      <c r="F634" s="16" t="s">
        <v>10</v>
      </c>
      <c r="G634" s="16" t="s">
        <v>3678</v>
      </c>
      <c r="H634" s="16" t="s">
        <v>12</v>
      </c>
      <c r="I634" s="17"/>
      <c r="J634" s="16" t="s">
        <v>36</v>
      </c>
      <c r="K634" s="16" t="s">
        <v>35</v>
      </c>
      <c r="L634" s="154">
        <v>43153.0</v>
      </c>
      <c r="M634" s="16">
        <f t="shared" si="1"/>
        <v>8</v>
      </c>
      <c r="N634" s="17"/>
      <c r="O634" s="16" t="s">
        <v>3933</v>
      </c>
      <c r="Q634" s="153"/>
      <c r="R634" s="115">
        <v>45123.0</v>
      </c>
      <c r="S634" s="16" t="s">
        <v>3671</v>
      </c>
      <c r="T634" s="17"/>
      <c r="U634" s="16" t="s">
        <v>3250</v>
      </c>
      <c r="V634" s="17"/>
      <c r="W634" s="17"/>
      <c r="X634" s="17"/>
      <c r="Y634" s="16" t="s">
        <v>3250</v>
      </c>
      <c r="Z634" s="16" t="s">
        <v>3734</v>
      </c>
      <c r="AA634" s="17"/>
      <c r="AB634" s="17"/>
    </row>
    <row r="635">
      <c r="A635" s="16">
        <f t="shared" si="2"/>
        <v>634</v>
      </c>
      <c r="B635" s="16" t="s">
        <v>1702</v>
      </c>
      <c r="C635" s="16" t="s">
        <v>1703</v>
      </c>
      <c r="D635" s="16" t="s">
        <v>1704</v>
      </c>
      <c r="E635" s="16" t="s">
        <v>3106</v>
      </c>
      <c r="F635" s="16" t="s">
        <v>10</v>
      </c>
      <c r="G635" s="16" t="s">
        <v>3678</v>
      </c>
      <c r="H635" s="16" t="s">
        <v>12</v>
      </c>
      <c r="I635" s="17"/>
      <c r="J635" s="16" t="s">
        <v>36</v>
      </c>
      <c r="K635" s="16" t="s">
        <v>35</v>
      </c>
      <c r="L635" s="154">
        <v>43361.0</v>
      </c>
      <c r="M635" s="16">
        <f t="shared" si="1"/>
        <v>8</v>
      </c>
      <c r="N635" s="17"/>
      <c r="O635" s="16" t="s">
        <v>3915</v>
      </c>
      <c r="Q635" s="153"/>
      <c r="R635" s="115">
        <v>45123.0</v>
      </c>
      <c r="S635" s="16" t="s">
        <v>3671</v>
      </c>
      <c r="T635" s="17"/>
      <c r="U635" s="16" t="s">
        <v>3250</v>
      </c>
      <c r="V635" s="17"/>
      <c r="W635" s="17"/>
      <c r="X635" s="17"/>
      <c r="Y635" s="16" t="s">
        <v>3250</v>
      </c>
      <c r="Z635" s="16" t="s">
        <v>3734</v>
      </c>
      <c r="AA635" s="17"/>
      <c r="AB635" s="17"/>
    </row>
    <row r="636">
      <c r="A636" s="16">
        <f t="shared" si="2"/>
        <v>635</v>
      </c>
      <c r="B636" s="16" t="s">
        <v>1705</v>
      </c>
      <c r="C636" s="16" t="s">
        <v>1706</v>
      </c>
      <c r="D636" s="16" t="s">
        <v>1707</v>
      </c>
      <c r="E636" s="16" t="s">
        <v>3106</v>
      </c>
      <c r="F636" s="16" t="s">
        <v>10</v>
      </c>
      <c r="G636" s="16" t="s">
        <v>3669</v>
      </c>
      <c r="H636" s="16" t="s">
        <v>17</v>
      </c>
      <c r="I636" s="17"/>
      <c r="J636" s="16" t="s">
        <v>13</v>
      </c>
      <c r="K636" s="16" t="s">
        <v>11</v>
      </c>
      <c r="L636" s="154">
        <v>44182.0</v>
      </c>
      <c r="M636" s="16">
        <f t="shared" si="1"/>
        <v>6</v>
      </c>
      <c r="N636" s="16">
        <v>5.0003664E7</v>
      </c>
      <c r="O636" s="16" t="s">
        <v>3670</v>
      </c>
      <c r="Q636" s="153"/>
      <c r="R636" s="17"/>
      <c r="S636" s="16" t="s">
        <v>3673</v>
      </c>
      <c r="T636" s="16" t="s">
        <v>4479</v>
      </c>
      <c r="U636" s="16" t="s">
        <v>3283</v>
      </c>
      <c r="V636" s="16" t="s">
        <v>3672</v>
      </c>
      <c r="W636" s="17"/>
      <c r="X636" s="16" t="s">
        <v>3329</v>
      </c>
      <c r="Y636" s="16" t="s">
        <v>3283</v>
      </c>
      <c r="Z636" s="16" t="s">
        <v>3672</v>
      </c>
      <c r="AA636" s="16" t="s">
        <v>2842</v>
      </c>
      <c r="AB636" s="16" t="s">
        <v>17</v>
      </c>
    </row>
    <row r="637">
      <c r="A637" s="16">
        <f t="shared" si="2"/>
        <v>636</v>
      </c>
      <c r="B637" s="16" t="s">
        <v>1708</v>
      </c>
      <c r="C637" s="16" t="s">
        <v>1709</v>
      </c>
      <c r="D637" s="16" t="s">
        <v>1710</v>
      </c>
      <c r="E637" s="16" t="s">
        <v>3106</v>
      </c>
      <c r="F637" s="16" t="s">
        <v>10</v>
      </c>
      <c r="G637" s="16" t="s">
        <v>3669</v>
      </c>
      <c r="H637" s="16" t="s">
        <v>12</v>
      </c>
      <c r="I637" s="17"/>
      <c r="J637" s="16" t="s">
        <v>13</v>
      </c>
      <c r="K637" s="16" t="s">
        <v>11</v>
      </c>
      <c r="L637" s="154">
        <v>44182.0</v>
      </c>
      <c r="M637" s="16">
        <f t="shared" si="1"/>
        <v>6</v>
      </c>
      <c r="N637" s="16">
        <v>5.0003664E7</v>
      </c>
      <c r="O637" s="16" t="s">
        <v>4480</v>
      </c>
      <c r="Q637" s="153"/>
      <c r="R637" s="122">
        <v>45992.0</v>
      </c>
      <c r="S637" s="16" t="s">
        <v>3671</v>
      </c>
      <c r="T637" s="17"/>
      <c r="U637" s="16" t="s">
        <v>3283</v>
      </c>
      <c r="V637" s="16" t="s">
        <v>3672</v>
      </c>
      <c r="W637" s="17"/>
      <c r="X637" s="17"/>
      <c r="Y637" s="16" t="s">
        <v>3283</v>
      </c>
      <c r="Z637" s="16" t="s">
        <v>3672</v>
      </c>
      <c r="AA637" s="17"/>
      <c r="AB637" s="17"/>
    </row>
    <row r="638">
      <c r="A638" s="16">
        <f t="shared" si="2"/>
        <v>637</v>
      </c>
      <c r="B638" s="16" t="s">
        <v>1711</v>
      </c>
      <c r="C638" s="16">
        <v>6.0020701E7</v>
      </c>
      <c r="D638" s="16" t="s">
        <v>1712</v>
      </c>
      <c r="E638" s="16" t="s">
        <v>3106</v>
      </c>
      <c r="F638" s="16" t="s">
        <v>10</v>
      </c>
      <c r="G638" s="16" t="s">
        <v>3669</v>
      </c>
      <c r="H638" s="16" t="s">
        <v>12</v>
      </c>
      <c r="I638" s="16" t="s">
        <v>3396</v>
      </c>
      <c r="J638" s="16" t="s">
        <v>13</v>
      </c>
      <c r="K638" s="16" t="s">
        <v>11</v>
      </c>
      <c r="L638" s="154">
        <v>45169.0</v>
      </c>
      <c r="M638" s="16">
        <f t="shared" si="1"/>
        <v>3</v>
      </c>
      <c r="N638" s="16">
        <v>4.500013245E9</v>
      </c>
      <c r="O638" s="16" t="s">
        <v>4481</v>
      </c>
      <c r="Q638" s="153"/>
      <c r="R638" s="17"/>
      <c r="S638" s="16" t="s">
        <v>3673</v>
      </c>
      <c r="T638" s="16" t="s">
        <v>4482</v>
      </c>
      <c r="U638" s="16" t="s">
        <v>4483</v>
      </c>
      <c r="V638" s="16" t="s">
        <v>3681</v>
      </c>
      <c r="W638" s="17"/>
      <c r="X638" s="16" t="s">
        <v>4482</v>
      </c>
      <c r="Y638" s="16" t="s">
        <v>4483</v>
      </c>
      <c r="Z638" s="16" t="s">
        <v>3681</v>
      </c>
      <c r="AA638" s="17"/>
      <c r="AB638" s="17"/>
    </row>
    <row r="639">
      <c r="A639" s="16">
        <f t="shared" si="2"/>
        <v>638</v>
      </c>
      <c r="B639" s="16" t="s">
        <v>1713</v>
      </c>
      <c r="C639" s="16">
        <v>6.0020702E7</v>
      </c>
      <c r="D639" s="16" t="s">
        <v>1714</v>
      </c>
      <c r="E639" s="16" t="s">
        <v>3106</v>
      </c>
      <c r="F639" s="16" t="s">
        <v>10</v>
      </c>
      <c r="G639" s="16" t="s">
        <v>3669</v>
      </c>
      <c r="H639" s="16" t="s">
        <v>12</v>
      </c>
      <c r="I639" s="16" t="s">
        <v>3396</v>
      </c>
      <c r="J639" s="16" t="s">
        <v>13</v>
      </c>
      <c r="K639" s="16" t="s">
        <v>11</v>
      </c>
      <c r="L639" s="154">
        <v>45169.0</v>
      </c>
      <c r="M639" s="16">
        <f t="shared" si="1"/>
        <v>3</v>
      </c>
      <c r="N639" s="16">
        <v>4.500013245E9</v>
      </c>
      <c r="O639" s="16" t="s">
        <v>2557</v>
      </c>
      <c r="Q639" s="153"/>
      <c r="R639" s="17"/>
      <c r="S639" s="16" t="s">
        <v>3673</v>
      </c>
      <c r="T639" s="16" t="s">
        <v>2953</v>
      </c>
      <c r="U639" s="16" t="s">
        <v>4483</v>
      </c>
      <c r="V639" s="16" t="s">
        <v>3681</v>
      </c>
      <c r="W639" s="17"/>
      <c r="X639" s="16" t="s">
        <v>2953</v>
      </c>
      <c r="Y639" s="16" t="s">
        <v>4483</v>
      </c>
      <c r="Z639" s="16" t="s">
        <v>3681</v>
      </c>
      <c r="AA639" s="17"/>
      <c r="AB639" s="17"/>
    </row>
    <row r="640">
      <c r="A640" s="16">
        <f t="shared" si="2"/>
        <v>639</v>
      </c>
      <c r="B640" s="16" t="s">
        <v>1715</v>
      </c>
      <c r="C640" s="16">
        <v>6.0020703E7</v>
      </c>
      <c r="D640" s="16" t="s">
        <v>1716</v>
      </c>
      <c r="E640" s="16" t="s">
        <v>3106</v>
      </c>
      <c r="F640" s="16" t="s">
        <v>10</v>
      </c>
      <c r="G640" s="16" t="s">
        <v>3669</v>
      </c>
      <c r="H640" s="16" t="s">
        <v>12</v>
      </c>
      <c r="I640" s="16" t="s">
        <v>3396</v>
      </c>
      <c r="J640" s="16" t="s">
        <v>13</v>
      </c>
      <c r="K640" s="16" t="s">
        <v>11</v>
      </c>
      <c r="L640" s="154">
        <v>45169.0</v>
      </c>
      <c r="M640" s="16">
        <f t="shared" si="1"/>
        <v>3</v>
      </c>
      <c r="N640" s="16">
        <v>4.500013245E9</v>
      </c>
      <c r="O640" s="16" t="s">
        <v>2557</v>
      </c>
      <c r="Q640" s="153"/>
      <c r="R640" s="16" t="s">
        <v>4484</v>
      </c>
      <c r="S640" s="16" t="s">
        <v>3671</v>
      </c>
      <c r="T640" s="17"/>
      <c r="U640" s="16" t="s">
        <v>4483</v>
      </c>
      <c r="V640" s="16" t="s">
        <v>3681</v>
      </c>
      <c r="W640" s="17"/>
      <c r="X640" s="17"/>
      <c r="Y640" s="16" t="s">
        <v>4483</v>
      </c>
      <c r="Z640" s="16" t="s">
        <v>3681</v>
      </c>
      <c r="AA640" s="17"/>
      <c r="AB640" s="17"/>
    </row>
    <row r="641">
      <c r="A641" s="16">
        <f t="shared" si="2"/>
        <v>640</v>
      </c>
      <c r="B641" s="16" t="s">
        <v>1717</v>
      </c>
      <c r="C641" s="16">
        <v>6.0021404E7</v>
      </c>
      <c r="D641" s="16" t="s">
        <v>1718</v>
      </c>
      <c r="E641" s="16" t="s">
        <v>3106</v>
      </c>
      <c r="F641" s="16" t="s">
        <v>10</v>
      </c>
      <c r="G641" s="16" t="s">
        <v>3054</v>
      </c>
      <c r="H641" s="16" t="s">
        <v>12</v>
      </c>
      <c r="I641" s="16" t="s">
        <v>3788</v>
      </c>
      <c r="J641" s="16" t="s">
        <v>36</v>
      </c>
      <c r="K641" s="16" t="s">
        <v>1719</v>
      </c>
      <c r="L641" s="154">
        <v>45398.0</v>
      </c>
      <c r="M641" s="16">
        <f t="shared" si="1"/>
        <v>2</v>
      </c>
      <c r="N641" s="16">
        <v>4.50001443E8</v>
      </c>
      <c r="O641" s="16" t="s">
        <v>4437</v>
      </c>
      <c r="Q641" s="153"/>
      <c r="R641" s="17"/>
      <c r="S641" s="16" t="s">
        <v>3671</v>
      </c>
      <c r="T641" s="17"/>
      <c r="U641" s="16" t="s">
        <v>2968</v>
      </c>
      <c r="V641" s="17"/>
      <c r="W641" s="17"/>
      <c r="X641" s="17"/>
      <c r="Y641" s="16" t="s">
        <v>2968</v>
      </c>
      <c r="Z641" s="17"/>
      <c r="AA641" s="17"/>
      <c r="AB641" s="17"/>
    </row>
    <row r="642">
      <c r="A642" s="16">
        <f t="shared" si="2"/>
        <v>641</v>
      </c>
      <c r="B642" s="16" t="s">
        <v>1720</v>
      </c>
      <c r="C642" s="16">
        <v>6.0021405E7</v>
      </c>
      <c r="D642" s="16" t="s">
        <v>1721</v>
      </c>
      <c r="E642" s="16" t="s">
        <v>3106</v>
      </c>
      <c r="F642" s="16" t="s">
        <v>10</v>
      </c>
      <c r="G642" s="16" t="s">
        <v>3054</v>
      </c>
      <c r="H642" s="16" t="s">
        <v>12</v>
      </c>
      <c r="I642" s="16" t="s">
        <v>3788</v>
      </c>
      <c r="J642" s="16" t="s">
        <v>36</v>
      </c>
      <c r="K642" s="16" t="s">
        <v>1719</v>
      </c>
      <c r="L642" s="154">
        <v>45398.0</v>
      </c>
      <c r="M642" s="16">
        <f t="shared" si="1"/>
        <v>2</v>
      </c>
      <c r="N642" s="16">
        <v>4.50001443E8</v>
      </c>
      <c r="O642" s="16" t="s">
        <v>4437</v>
      </c>
      <c r="Q642" s="153"/>
      <c r="R642" s="17"/>
      <c r="S642" s="16" t="s">
        <v>3671</v>
      </c>
      <c r="T642" s="17"/>
      <c r="U642" s="16" t="s">
        <v>2968</v>
      </c>
      <c r="V642" s="17"/>
      <c r="W642" s="17"/>
      <c r="X642" s="17"/>
      <c r="Y642" s="16" t="s">
        <v>2968</v>
      </c>
      <c r="Z642" s="17"/>
      <c r="AA642" s="17"/>
      <c r="AB642" s="17"/>
    </row>
    <row r="643">
      <c r="A643" s="16">
        <f t="shared" si="2"/>
        <v>642</v>
      </c>
      <c r="B643" s="16" t="s">
        <v>1722</v>
      </c>
      <c r="C643" s="16">
        <v>6.0021406E7</v>
      </c>
      <c r="D643" s="16" t="s">
        <v>1723</v>
      </c>
      <c r="E643" s="16" t="s">
        <v>3106</v>
      </c>
      <c r="F643" s="16" t="s">
        <v>10</v>
      </c>
      <c r="G643" s="16" t="s">
        <v>3054</v>
      </c>
      <c r="H643" s="16" t="s">
        <v>12</v>
      </c>
      <c r="I643" s="16" t="s">
        <v>3788</v>
      </c>
      <c r="J643" s="16" t="s">
        <v>36</v>
      </c>
      <c r="K643" s="16" t="s">
        <v>1719</v>
      </c>
      <c r="L643" s="154">
        <v>45398.0</v>
      </c>
      <c r="M643" s="16">
        <f t="shared" si="1"/>
        <v>2</v>
      </c>
      <c r="N643" s="16">
        <v>4.50001443E8</v>
      </c>
      <c r="O643" s="16" t="s">
        <v>4437</v>
      </c>
      <c r="Q643" s="153"/>
      <c r="R643" s="17"/>
      <c r="S643" s="16" t="s">
        <v>3671</v>
      </c>
      <c r="T643" s="17"/>
      <c r="U643" s="16" t="s">
        <v>2968</v>
      </c>
      <c r="V643" s="17"/>
      <c r="W643" s="17"/>
      <c r="X643" s="17"/>
      <c r="Y643" s="16" t="s">
        <v>2968</v>
      </c>
      <c r="Z643" s="17"/>
      <c r="AA643" s="17"/>
      <c r="AB643" s="17"/>
    </row>
    <row r="644">
      <c r="A644" s="16">
        <f t="shared" si="2"/>
        <v>643</v>
      </c>
      <c r="B644" s="16" t="s">
        <v>1724</v>
      </c>
      <c r="C644" s="16">
        <v>6.0021407E7</v>
      </c>
      <c r="D644" s="16" t="s">
        <v>1725</v>
      </c>
      <c r="E644" s="16" t="s">
        <v>3106</v>
      </c>
      <c r="F644" s="16" t="s">
        <v>10</v>
      </c>
      <c r="G644" s="16" t="s">
        <v>3054</v>
      </c>
      <c r="H644" s="16" t="s">
        <v>12</v>
      </c>
      <c r="I644" s="16" t="s">
        <v>3788</v>
      </c>
      <c r="J644" s="16" t="s">
        <v>36</v>
      </c>
      <c r="K644" s="16" t="s">
        <v>1719</v>
      </c>
      <c r="L644" s="154">
        <v>45398.0</v>
      </c>
      <c r="M644" s="16">
        <f t="shared" si="1"/>
        <v>2</v>
      </c>
      <c r="N644" s="16">
        <v>4.50001443E8</v>
      </c>
      <c r="O644" s="16" t="s">
        <v>4437</v>
      </c>
      <c r="Q644" s="153"/>
      <c r="R644" s="17"/>
      <c r="S644" s="16" t="s">
        <v>3671</v>
      </c>
      <c r="T644" s="17"/>
      <c r="U644" s="16" t="s">
        <v>2968</v>
      </c>
      <c r="V644" s="17"/>
      <c r="W644" s="17"/>
      <c r="X644" s="17"/>
      <c r="Y644" s="16" t="s">
        <v>2968</v>
      </c>
      <c r="Z644" s="17"/>
      <c r="AA644" s="17"/>
      <c r="AB644" s="17"/>
    </row>
    <row r="645">
      <c r="A645" s="16">
        <f t="shared" si="2"/>
        <v>644</v>
      </c>
      <c r="B645" s="16" t="s">
        <v>1726</v>
      </c>
      <c r="C645" s="16">
        <v>6.0021408E7</v>
      </c>
      <c r="D645" s="16" t="s">
        <v>1727</v>
      </c>
      <c r="E645" s="16" t="s">
        <v>3106</v>
      </c>
      <c r="F645" s="16" t="s">
        <v>10</v>
      </c>
      <c r="G645" s="16" t="s">
        <v>3054</v>
      </c>
      <c r="H645" s="16" t="s">
        <v>12</v>
      </c>
      <c r="I645" s="16" t="s">
        <v>3788</v>
      </c>
      <c r="J645" s="16" t="s">
        <v>36</v>
      </c>
      <c r="K645" s="16" t="s">
        <v>1719</v>
      </c>
      <c r="L645" s="154">
        <v>45398.0</v>
      </c>
      <c r="M645" s="16">
        <f t="shared" si="1"/>
        <v>2</v>
      </c>
      <c r="N645" s="16">
        <v>4.50001443E8</v>
      </c>
      <c r="O645" s="16" t="s">
        <v>3702</v>
      </c>
      <c r="Q645" s="153"/>
      <c r="R645" s="17"/>
      <c r="S645" s="16" t="s">
        <v>3671</v>
      </c>
      <c r="T645" s="17"/>
      <c r="U645" s="16" t="s">
        <v>2968</v>
      </c>
      <c r="V645" s="17"/>
      <c r="W645" s="17"/>
      <c r="X645" s="17"/>
      <c r="Y645" s="16" t="s">
        <v>2968</v>
      </c>
      <c r="Z645" s="17"/>
      <c r="AA645" s="17"/>
      <c r="AB645" s="17"/>
    </row>
    <row r="646">
      <c r="A646" s="16">
        <f t="shared" si="2"/>
        <v>645</v>
      </c>
      <c r="B646" s="16" t="s">
        <v>1728</v>
      </c>
      <c r="C646" s="16">
        <v>6.0021409E7</v>
      </c>
      <c r="D646" s="16" t="s">
        <v>1729</v>
      </c>
      <c r="E646" s="16" t="s">
        <v>3106</v>
      </c>
      <c r="F646" s="16" t="s">
        <v>10</v>
      </c>
      <c r="G646" s="16" t="s">
        <v>3054</v>
      </c>
      <c r="H646" s="16" t="s">
        <v>12</v>
      </c>
      <c r="I646" s="16" t="s">
        <v>3788</v>
      </c>
      <c r="J646" s="16" t="s">
        <v>36</v>
      </c>
      <c r="K646" s="16" t="s">
        <v>1719</v>
      </c>
      <c r="L646" s="154">
        <v>45398.0</v>
      </c>
      <c r="M646" s="16">
        <f t="shared" si="1"/>
        <v>2</v>
      </c>
      <c r="N646" s="16">
        <v>4.50001443E8</v>
      </c>
      <c r="O646" s="16" t="s">
        <v>4437</v>
      </c>
      <c r="Q646" s="153"/>
      <c r="R646" s="17"/>
      <c r="S646" s="16" t="s">
        <v>3671</v>
      </c>
      <c r="T646" s="17"/>
      <c r="U646" s="16" t="s">
        <v>2968</v>
      </c>
      <c r="V646" s="17"/>
      <c r="W646" s="17"/>
      <c r="X646" s="17"/>
      <c r="Y646" s="16" t="s">
        <v>2968</v>
      </c>
      <c r="Z646" s="17"/>
      <c r="AA646" s="17"/>
      <c r="AB646" s="17"/>
    </row>
    <row r="647">
      <c r="A647" s="16">
        <f t="shared" si="2"/>
        <v>646</v>
      </c>
      <c r="B647" s="16" t="s">
        <v>1730</v>
      </c>
      <c r="C647" s="16">
        <v>6.002141E7</v>
      </c>
      <c r="D647" s="16" t="s">
        <v>1731</v>
      </c>
      <c r="E647" s="16" t="s">
        <v>3106</v>
      </c>
      <c r="F647" s="16" t="s">
        <v>10</v>
      </c>
      <c r="G647" s="16" t="s">
        <v>3054</v>
      </c>
      <c r="H647" s="16" t="s">
        <v>12</v>
      </c>
      <c r="I647" s="16" t="s">
        <v>3788</v>
      </c>
      <c r="J647" s="16" t="s">
        <v>36</v>
      </c>
      <c r="K647" s="16" t="s">
        <v>1719</v>
      </c>
      <c r="L647" s="154">
        <v>45398.0</v>
      </c>
      <c r="M647" s="16">
        <f t="shared" si="1"/>
        <v>2</v>
      </c>
      <c r="N647" s="16">
        <v>4.50001443E8</v>
      </c>
      <c r="O647" s="16" t="s">
        <v>3703</v>
      </c>
      <c r="Q647" s="153"/>
      <c r="R647" s="17"/>
      <c r="S647" s="16" t="s">
        <v>3671</v>
      </c>
      <c r="T647" s="17"/>
      <c r="U647" s="16" t="s">
        <v>2968</v>
      </c>
      <c r="V647" s="17"/>
      <c r="W647" s="17"/>
      <c r="X647" s="17"/>
      <c r="Y647" s="16" t="s">
        <v>2968</v>
      </c>
      <c r="Z647" s="17"/>
      <c r="AA647" s="17"/>
      <c r="AB647" s="17"/>
    </row>
    <row r="648">
      <c r="A648" s="16">
        <f t="shared" si="2"/>
        <v>647</v>
      </c>
      <c r="B648" s="16" t="s">
        <v>1732</v>
      </c>
      <c r="C648" s="16">
        <v>6.0021398E7</v>
      </c>
      <c r="D648" s="16" t="s">
        <v>1733</v>
      </c>
      <c r="E648" s="16" t="s">
        <v>3106</v>
      </c>
      <c r="F648" s="16" t="s">
        <v>10</v>
      </c>
      <c r="G648" s="16" t="s">
        <v>3054</v>
      </c>
      <c r="H648" s="16" t="s">
        <v>12</v>
      </c>
      <c r="I648" s="16" t="s">
        <v>3788</v>
      </c>
      <c r="J648" s="16" t="s">
        <v>36</v>
      </c>
      <c r="K648" s="16" t="s">
        <v>1719</v>
      </c>
      <c r="L648" s="154">
        <v>45398.0</v>
      </c>
      <c r="M648" s="16">
        <f t="shared" si="1"/>
        <v>2</v>
      </c>
      <c r="N648" s="16">
        <v>4.50001443E8</v>
      </c>
      <c r="O648" s="16" t="s">
        <v>3943</v>
      </c>
      <c r="Q648" s="153"/>
      <c r="R648" s="17"/>
      <c r="S648" s="16" t="s">
        <v>3671</v>
      </c>
      <c r="T648" s="17"/>
      <c r="U648" s="16" t="s">
        <v>4485</v>
      </c>
      <c r="V648" s="17"/>
      <c r="W648" s="17"/>
      <c r="X648" s="17"/>
      <c r="Y648" s="16" t="s">
        <v>4485</v>
      </c>
      <c r="Z648" s="17"/>
      <c r="AA648" s="17"/>
      <c r="AB648" s="17"/>
    </row>
    <row r="649">
      <c r="A649" s="16">
        <f t="shared" si="2"/>
        <v>648</v>
      </c>
      <c r="B649" s="16" t="s">
        <v>1734</v>
      </c>
      <c r="C649" s="16">
        <v>6.0021399E7</v>
      </c>
      <c r="D649" s="16" t="s">
        <v>1735</v>
      </c>
      <c r="E649" s="16" t="s">
        <v>3106</v>
      </c>
      <c r="F649" s="16" t="s">
        <v>10</v>
      </c>
      <c r="G649" s="16" t="s">
        <v>3054</v>
      </c>
      <c r="H649" s="16" t="s">
        <v>12</v>
      </c>
      <c r="I649" s="16" t="s">
        <v>3788</v>
      </c>
      <c r="J649" s="16" t="s">
        <v>36</v>
      </c>
      <c r="K649" s="16" t="s">
        <v>1719</v>
      </c>
      <c r="L649" s="154">
        <v>45398.0</v>
      </c>
      <c r="M649" s="16">
        <f t="shared" si="1"/>
        <v>2</v>
      </c>
      <c r="N649" s="16">
        <v>4.50001443E8</v>
      </c>
      <c r="O649" s="16" t="s">
        <v>3946</v>
      </c>
      <c r="Q649" s="153"/>
      <c r="R649" s="17"/>
      <c r="S649" s="16" t="s">
        <v>3671</v>
      </c>
      <c r="T649" s="17"/>
      <c r="U649" s="16" t="s">
        <v>4485</v>
      </c>
      <c r="V649" s="17"/>
      <c r="W649" s="17"/>
      <c r="X649" s="17"/>
      <c r="Y649" s="16" t="s">
        <v>4485</v>
      </c>
      <c r="Z649" s="17"/>
      <c r="AA649" s="17"/>
      <c r="AB649" s="17"/>
    </row>
    <row r="650">
      <c r="A650" s="16">
        <f t="shared" si="2"/>
        <v>649</v>
      </c>
      <c r="B650" s="16" t="s">
        <v>1736</v>
      </c>
      <c r="C650" s="16">
        <v>6.00214E7</v>
      </c>
      <c r="D650" s="16" t="s">
        <v>1737</v>
      </c>
      <c r="E650" s="16" t="s">
        <v>3106</v>
      </c>
      <c r="F650" s="16" t="s">
        <v>10</v>
      </c>
      <c r="G650" s="16" t="s">
        <v>3054</v>
      </c>
      <c r="H650" s="16" t="s">
        <v>12</v>
      </c>
      <c r="I650" s="16" t="s">
        <v>3788</v>
      </c>
      <c r="J650" s="16" t="s">
        <v>36</v>
      </c>
      <c r="K650" s="16" t="s">
        <v>1719</v>
      </c>
      <c r="L650" s="154">
        <v>45398.0</v>
      </c>
      <c r="M650" s="16">
        <f t="shared" si="1"/>
        <v>2</v>
      </c>
      <c r="N650" s="16">
        <v>4.50001443E8</v>
      </c>
      <c r="O650" s="16" t="s">
        <v>3933</v>
      </c>
      <c r="Q650" s="153"/>
      <c r="R650" s="17"/>
      <c r="S650" s="16" t="s">
        <v>3671</v>
      </c>
      <c r="T650" s="17"/>
      <c r="U650" s="16" t="s">
        <v>4485</v>
      </c>
      <c r="V650" s="17"/>
      <c r="W650" s="17"/>
      <c r="X650" s="17"/>
      <c r="Y650" s="16" t="s">
        <v>4485</v>
      </c>
      <c r="Z650" s="17"/>
      <c r="AA650" s="17"/>
      <c r="AB650" s="17"/>
    </row>
    <row r="651">
      <c r="A651" s="16">
        <f t="shared" si="2"/>
        <v>650</v>
      </c>
      <c r="B651" s="16" t="s">
        <v>1738</v>
      </c>
      <c r="C651" s="16">
        <v>6.0021401E7</v>
      </c>
      <c r="D651" s="16" t="s">
        <v>1739</v>
      </c>
      <c r="E651" s="16" t="s">
        <v>3106</v>
      </c>
      <c r="F651" s="16" t="s">
        <v>10</v>
      </c>
      <c r="G651" s="16" t="s">
        <v>3054</v>
      </c>
      <c r="H651" s="16" t="s">
        <v>12</v>
      </c>
      <c r="I651" s="16" t="s">
        <v>3788</v>
      </c>
      <c r="J651" s="16" t="s">
        <v>36</v>
      </c>
      <c r="K651" s="16" t="s">
        <v>1719</v>
      </c>
      <c r="L651" s="154">
        <v>45398.0</v>
      </c>
      <c r="M651" s="16">
        <f t="shared" si="1"/>
        <v>2</v>
      </c>
      <c r="N651" s="16">
        <v>4.50001443E8</v>
      </c>
      <c r="O651" s="16" t="s">
        <v>3968</v>
      </c>
      <c r="Q651" s="153"/>
      <c r="R651" s="17"/>
      <c r="S651" s="16" t="s">
        <v>3671</v>
      </c>
      <c r="T651" s="17"/>
      <c r="U651" s="16" t="s">
        <v>4485</v>
      </c>
      <c r="V651" s="17"/>
      <c r="W651" s="17"/>
      <c r="X651" s="17"/>
      <c r="Y651" s="16" t="s">
        <v>4485</v>
      </c>
      <c r="Z651" s="17"/>
      <c r="AA651" s="17"/>
      <c r="AB651" s="17"/>
    </row>
    <row r="652">
      <c r="A652" s="16">
        <f t="shared" si="2"/>
        <v>651</v>
      </c>
      <c r="B652" s="16" t="s">
        <v>1740</v>
      </c>
      <c r="C652" s="16">
        <v>6.0021402E7</v>
      </c>
      <c r="D652" s="16" t="s">
        <v>1741</v>
      </c>
      <c r="E652" s="16" t="s">
        <v>3106</v>
      </c>
      <c r="F652" s="16" t="s">
        <v>10</v>
      </c>
      <c r="G652" s="16" t="s">
        <v>3054</v>
      </c>
      <c r="H652" s="16" t="s">
        <v>12</v>
      </c>
      <c r="I652" s="16" t="s">
        <v>3788</v>
      </c>
      <c r="J652" s="16" t="s">
        <v>36</v>
      </c>
      <c r="K652" s="16" t="s">
        <v>1719</v>
      </c>
      <c r="L652" s="154">
        <v>45398.0</v>
      </c>
      <c r="M652" s="16">
        <f t="shared" si="1"/>
        <v>2</v>
      </c>
      <c r="N652" s="16">
        <v>4.50001443E8</v>
      </c>
      <c r="O652" s="16" t="s">
        <v>3915</v>
      </c>
      <c r="Q652" s="153"/>
      <c r="R652" s="17"/>
      <c r="S652" s="16" t="s">
        <v>3671</v>
      </c>
      <c r="T652" s="17"/>
      <c r="U652" s="16" t="s">
        <v>4485</v>
      </c>
      <c r="V652" s="17"/>
      <c r="W652" s="17"/>
      <c r="X652" s="17"/>
      <c r="Y652" s="16" t="s">
        <v>4485</v>
      </c>
      <c r="Z652" s="17"/>
      <c r="AA652" s="17"/>
      <c r="AB652" s="17"/>
    </row>
    <row r="653">
      <c r="A653" s="16">
        <f t="shared" si="2"/>
        <v>652</v>
      </c>
      <c r="B653" s="16" t="s">
        <v>1742</v>
      </c>
      <c r="C653" s="16">
        <v>6.0021403E7</v>
      </c>
      <c r="D653" s="16" t="s">
        <v>1743</v>
      </c>
      <c r="E653" s="16" t="s">
        <v>3106</v>
      </c>
      <c r="F653" s="16" t="s">
        <v>10</v>
      </c>
      <c r="G653" s="16" t="s">
        <v>3054</v>
      </c>
      <c r="H653" s="16" t="s">
        <v>12</v>
      </c>
      <c r="I653" s="16" t="s">
        <v>3788</v>
      </c>
      <c r="J653" s="16" t="s">
        <v>36</v>
      </c>
      <c r="K653" s="16" t="s">
        <v>1719</v>
      </c>
      <c r="L653" s="154">
        <v>45398.0</v>
      </c>
      <c r="M653" s="16">
        <f t="shared" si="1"/>
        <v>2</v>
      </c>
      <c r="N653" s="16">
        <v>4.50001443E8</v>
      </c>
      <c r="O653" s="16" t="s">
        <v>3986</v>
      </c>
      <c r="Q653" s="153"/>
      <c r="R653" s="17"/>
      <c r="S653" s="16" t="s">
        <v>3671</v>
      </c>
      <c r="T653" s="17"/>
      <c r="U653" s="16" t="s">
        <v>4485</v>
      </c>
      <c r="V653" s="17"/>
      <c r="W653" s="17"/>
      <c r="X653" s="17"/>
      <c r="Y653" s="16" t="s">
        <v>4485</v>
      </c>
      <c r="Z653" s="17"/>
      <c r="AA653" s="17"/>
      <c r="AB653" s="17"/>
    </row>
    <row r="654">
      <c r="A654" s="16">
        <f t="shared" si="2"/>
        <v>653</v>
      </c>
      <c r="B654" s="17"/>
      <c r="C654" s="16" t="s">
        <v>1744</v>
      </c>
      <c r="D654" s="16" t="s">
        <v>1745</v>
      </c>
      <c r="E654" s="16" t="s">
        <v>3106</v>
      </c>
      <c r="F654" s="16" t="s">
        <v>10</v>
      </c>
      <c r="G654" s="16" t="s">
        <v>4486</v>
      </c>
      <c r="H654" s="16" t="s">
        <v>17</v>
      </c>
      <c r="I654" s="17"/>
      <c r="J654" s="16" t="s">
        <v>13</v>
      </c>
      <c r="K654" s="16" t="s">
        <v>1746</v>
      </c>
      <c r="L654" s="154">
        <v>44243.0</v>
      </c>
      <c r="M654" s="16">
        <f t="shared" si="1"/>
        <v>5</v>
      </c>
      <c r="N654" s="17"/>
      <c r="O654" s="16" t="s">
        <v>3542</v>
      </c>
      <c r="Q654" s="153"/>
      <c r="R654" s="17"/>
      <c r="S654" s="16" t="s">
        <v>3671</v>
      </c>
      <c r="T654" s="17"/>
      <c r="U654" s="17"/>
      <c r="V654" s="17"/>
      <c r="W654" s="17"/>
      <c r="X654" s="17"/>
      <c r="Y654" s="17"/>
      <c r="Z654" s="17"/>
      <c r="AA654" s="17"/>
      <c r="AB654" s="17"/>
    </row>
    <row r="655">
      <c r="A655" s="16">
        <f t="shared" si="2"/>
        <v>654</v>
      </c>
      <c r="B655" s="17"/>
      <c r="C655" s="16" t="s">
        <v>1747</v>
      </c>
      <c r="D655" s="16" t="s">
        <v>1748</v>
      </c>
      <c r="E655" s="16" t="s">
        <v>3106</v>
      </c>
      <c r="F655" s="16" t="s">
        <v>10</v>
      </c>
      <c r="G655" s="16" t="s">
        <v>4486</v>
      </c>
      <c r="H655" s="16" t="s">
        <v>12</v>
      </c>
      <c r="I655" s="17"/>
      <c r="J655" s="16" t="s">
        <v>13</v>
      </c>
      <c r="K655" s="16" t="s">
        <v>1746</v>
      </c>
      <c r="L655" s="154">
        <v>44243.0</v>
      </c>
      <c r="M655" s="16">
        <f t="shared" si="1"/>
        <v>5</v>
      </c>
      <c r="N655" s="17"/>
      <c r="O655" s="16" t="s">
        <v>2557</v>
      </c>
      <c r="Q655" s="153"/>
      <c r="R655" s="17"/>
      <c r="S655" s="16" t="s">
        <v>3671</v>
      </c>
      <c r="T655" s="17"/>
      <c r="U655" s="17"/>
      <c r="V655" s="17"/>
      <c r="W655" s="17"/>
      <c r="X655" s="17"/>
      <c r="Y655" s="17"/>
      <c r="Z655" s="17"/>
      <c r="AA655" s="17"/>
      <c r="AB655" s="17"/>
    </row>
    <row r="656">
      <c r="A656" s="16">
        <f t="shared" si="2"/>
        <v>655</v>
      </c>
      <c r="B656" s="17"/>
      <c r="C656" s="16" t="s">
        <v>1749</v>
      </c>
      <c r="D656" s="16" t="s">
        <v>1750</v>
      </c>
      <c r="E656" s="16" t="s">
        <v>3106</v>
      </c>
      <c r="F656" s="16" t="s">
        <v>10</v>
      </c>
      <c r="G656" s="16" t="s">
        <v>4486</v>
      </c>
      <c r="H656" s="16" t="s">
        <v>12</v>
      </c>
      <c r="I656" s="17"/>
      <c r="J656" s="16" t="s">
        <v>13</v>
      </c>
      <c r="K656" s="16" t="s">
        <v>1746</v>
      </c>
      <c r="L656" s="154">
        <v>44243.0</v>
      </c>
      <c r="M656" s="16">
        <f t="shared" si="1"/>
        <v>5</v>
      </c>
      <c r="N656" s="17"/>
      <c r="O656" s="16" t="s">
        <v>2557</v>
      </c>
      <c r="Q656" s="153"/>
      <c r="R656" s="17"/>
      <c r="S656" s="16" t="s">
        <v>3671</v>
      </c>
      <c r="T656" s="17"/>
      <c r="U656" s="17"/>
      <c r="V656" s="17"/>
      <c r="W656" s="17"/>
      <c r="X656" s="17"/>
      <c r="Y656" s="17"/>
      <c r="Z656" s="17"/>
      <c r="AA656" s="17"/>
      <c r="AB656" s="17"/>
    </row>
    <row r="657">
      <c r="A657" s="16">
        <f t="shared" si="2"/>
        <v>656</v>
      </c>
      <c r="B657" s="17"/>
      <c r="C657" s="16" t="s">
        <v>1751</v>
      </c>
      <c r="D657" s="16" t="s">
        <v>1752</v>
      </c>
      <c r="E657" s="16" t="s">
        <v>3106</v>
      </c>
      <c r="F657" s="16" t="s">
        <v>10</v>
      </c>
      <c r="G657" s="16" t="s">
        <v>4487</v>
      </c>
      <c r="H657" s="16" t="s">
        <v>12</v>
      </c>
      <c r="I657" s="17"/>
      <c r="J657" s="16" t="s">
        <v>13</v>
      </c>
      <c r="K657" s="16" t="s">
        <v>1753</v>
      </c>
      <c r="L657" s="154">
        <v>44090.0</v>
      </c>
      <c r="M657" s="16">
        <f t="shared" si="1"/>
        <v>6</v>
      </c>
      <c r="N657" s="17"/>
      <c r="O657" s="16" t="s">
        <v>2557</v>
      </c>
      <c r="Q657" s="153"/>
      <c r="R657" s="17"/>
      <c r="S657" s="16" t="s">
        <v>3671</v>
      </c>
      <c r="T657" s="17"/>
      <c r="U657" s="16" t="s">
        <v>3171</v>
      </c>
      <c r="V657" s="17"/>
      <c r="W657" s="17"/>
      <c r="X657" s="17"/>
      <c r="Y657" s="16" t="s">
        <v>3171</v>
      </c>
      <c r="Z657" s="17"/>
      <c r="AA657" s="17"/>
      <c r="AB657" s="17"/>
    </row>
    <row r="658">
      <c r="A658" s="16">
        <f t="shared" si="2"/>
        <v>657</v>
      </c>
      <c r="B658" s="17"/>
      <c r="C658" s="16" t="s">
        <v>1754</v>
      </c>
      <c r="D658" s="16" t="s">
        <v>1755</v>
      </c>
      <c r="E658" s="16" t="s">
        <v>3106</v>
      </c>
      <c r="F658" s="16" t="s">
        <v>10</v>
      </c>
      <c r="G658" s="16" t="s">
        <v>4488</v>
      </c>
      <c r="H658" s="16" t="s">
        <v>12</v>
      </c>
      <c r="I658" s="17"/>
      <c r="J658" s="16" t="s">
        <v>13</v>
      </c>
      <c r="K658" s="16" t="s">
        <v>1756</v>
      </c>
      <c r="L658" s="154">
        <v>44105.0</v>
      </c>
      <c r="M658" s="16">
        <f t="shared" si="1"/>
        <v>6</v>
      </c>
      <c r="N658" s="17"/>
      <c r="O658" s="16" t="s">
        <v>2557</v>
      </c>
      <c r="Q658" s="153"/>
      <c r="R658" s="17"/>
      <c r="S658" s="16" t="s">
        <v>3671</v>
      </c>
      <c r="T658" s="17"/>
      <c r="U658" s="16" t="s">
        <v>3983</v>
      </c>
      <c r="V658" s="17"/>
      <c r="W658" s="17"/>
      <c r="X658" s="17"/>
      <c r="Y658" s="16" t="s">
        <v>3983</v>
      </c>
      <c r="Z658" s="16" t="s">
        <v>3734</v>
      </c>
      <c r="AA658" s="17"/>
      <c r="AB658" s="17"/>
    </row>
    <row r="659">
      <c r="A659" s="16">
        <f t="shared" si="2"/>
        <v>658</v>
      </c>
      <c r="B659" s="16" t="s">
        <v>1757</v>
      </c>
      <c r="C659" s="16" t="s">
        <v>1758</v>
      </c>
      <c r="D659" s="16" t="s">
        <v>1759</v>
      </c>
      <c r="E659" s="16" t="s">
        <v>3106</v>
      </c>
      <c r="F659" s="16" t="s">
        <v>10</v>
      </c>
      <c r="G659" s="16" t="s">
        <v>3669</v>
      </c>
      <c r="H659" s="16" t="s">
        <v>12</v>
      </c>
      <c r="I659" s="17"/>
      <c r="J659" s="16" t="s">
        <v>13</v>
      </c>
      <c r="K659" s="16" t="s">
        <v>11</v>
      </c>
      <c r="L659" s="154">
        <v>44182.0</v>
      </c>
      <c r="M659" s="16">
        <f t="shared" si="1"/>
        <v>6</v>
      </c>
      <c r="N659" s="17"/>
      <c r="O659" s="16" t="s">
        <v>3542</v>
      </c>
      <c r="Q659" s="153"/>
      <c r="R659" s="17"/>
      <c r="S659" s="16" t="s">
        <v>3671</v>
      </c>
      <c r="T659" s="17"/>
      <c r="U659" s="17"/>
      <c r="V659" s="17"/>
      <c r="W659" s="17"/>
      <c r="X659" s="17"/>
      <c r="Y659" s="17"/>
      <c r="Z659" s="17"/>
      <c r="AA659" s="17"/>
      <c r="AB659" s="17"/>
    </row>
    <row r="660">
      <c r="A660" s="16">
        <f t="shared" si="2"/>
        <v>659</v>
      </c>
      <c r="B660" s="16" t="s">
        <v>1760</v>
      </c>
      <c r="C660" s="16">
        <v>6.0021422E7</v>
      </c>
      <c r="D660" s="16" t="s">
        <v>1761</v>
      </c>
      <c r="E660" s="16" t="s">
        <v>3106</v>
      </c>
      <c r="F660" s="16" t="s">
        <v>10</v>
      </c>
      <c r="G660" s="16" t="s">
        <v>3054</v>
      </c>
      <c r="H660" s="16" t="s">
        <v>12</v>
      </c>
      <c r="I660" s="17"/>
      <c r="J660" s="16" t="s">
        <v>36</v>
      </c>
      <c r="K660" s="16" t="s">
        <v>1719</v>
      </c>
      <c r="L660" s="154">
        <v>45398.0</v>
      </c>
      <c r="M660" s="16">
        <f t="shared" si="1"/>
        <v>2</v>
      </c>
      <c r="N660" s="16">
        <v>4.50001443E8</v>
      </c>
      <c r="O660" s="16" t="s">
        <v>2557</v>
      </c>
      <c r="Q660" s="153"/>
      <c r="R660" s="17"/>
      <c r="S660" s="16" t="s">
        <v>3671</v>
      </c>
      <c r="T660" s="17"/>
      <c r="U660" s="17"/>
      <c r="V660" s="17"/>
      <c r="W660" s="17"/>
      <c r="X660" s="17"/>
      <c r="Y660" s="17"/>
      <c r="Z660" s="17"/>
      <c r="AA660" s="17"/>
      <c r="AB660" s="17"/>
    </row>
    <row r="661">
      <c r="A661" s="16">
        <f t="shared" si="2"/>
        <v>660</v>
      </c>
      <c r="B661" s="16" t="s">
        <v>1762</v>
      </c>
      <c r="C661" s="16">
        <v>6.0021423E7</v>
      </c>
      <c r="D661" s="16" t="s">
        <v>1763</v>
      </c>
      <c r="E661" s="16" t="s">
        <v>3106</v>
      </c>
      <c r="F661" s="16" t="s">
        <v>10</v>
      </c>
      <c r="G661" s="16" t="s">
        <v>3054</v>
      </c>
      <c r="H661" s="16" t="s">
        <v>12</v>
      </c>
      <c r="I661" s="17"/>
      <c r="J661" s="16" t="s">
        <v>36</v>
      </c>
      <c r="K661" s="16" t="s">
        <v>1719</v>
      </c>
      <c r="L661" s="154">
        <v>45398.0</v>
      </c>
      <c r="M661" s="16">
        <f t="shared" si="1"/>
        <v>2</v>
      </c>
      <c r="N661" s="16">
        <v>4.50001443E8</v>
      </c>
      <c r="O661" s="16" t="s">
        <v>2557</v>
      </c>
      <c r="Q661" s="153"/>
      <c r="R661" s="17"/>
      <c r="S661" s="16" t="s">
        <v>3671</v>
      </c>
      <c r="T661" s="17"/>
      <c r="U661" s="17"/>
      <c r="V661" s="17"/>
      <c r="W661" s="17"/>
      <c r="X661" s="17"/>
      <c r="Y661" s="17"/>
      <c r="Z661" s="17"/>
      <c r="AA661" s="17"/>
      <c r="AB661" s="17"/>
    </row>
    <row r="662">
      <c r="A662" s="16">
        <f t="shared" si="2"/>
        <v>661</v>
      </c>
      <c r="B662" s="16" t="s">
        <v>1764</v>
      </c>
      <c r="C662" s="16">
        <v>6.0021424E7</v>
      </c>
      <c r="D662" s="16" t="s">
        <v>1765</v>
      </c>
      <c r="E662" s="16" t="s">
        <v>3106</v>
      </c>
      <c r="F662" s="16" t="s">
        <v>10</v>
      </c>
      <c r="G662" s="16" t="s">
        <v>3054</v>
      </c>
      <c r="H662" s="16" t="s">
        <v>12</v>
      </c>
      <c r="I662" s="17"/>
      <c r="J662" s="16" t="s">
        <v>36</v>
      </c>
      <c r="K662" s="16" t="s">
        <v>1719</v>
      </c>
      <c r="L662" s="154">
        <v>45398.0</v>
      </c>
      <c r="M662" s="16">
        <f t="shared" si="1"/>
        <v>2</v>
      </c>
      <c r="N662" s="16">
        <v>4.50001443E8</v>
      </c>
      <c r="O662" s="16" t="s">
        <v>2557</v>
      </c>
      <c r="Q662" s="153"/>
      <c r="R662" s="17"/>
      <c r="S662" s="16" t="s">
        <v>3671</v>
      </c>
      <c r="T662" s="17"/>
      <c r="U662" s="17"/>
      <c r="V662" s="17"/>
      <c r="W662" s="17"/>
      <c r="X662" s="17"/>
      <c r="Y662" s="17"/>
      <c r="Z662" s="17"/>
      <c r="AA662" s="17"/>
      <c r="AB662" s="17"/>
    </row>
    <row r="663">
      <c r="A663" s="16">
        <f t="shared" si="2"/>
        <v>662</v>
      </c>
      <c r="B663" s="16" t="s">
        <v>1766</v>
      </c>
      <c r="C663" s="16">
        <v>6.0020649E7</v>
      </c>
      <c r="D663" s="16" t="s">
        <v>1767</v>
      </c>
      <c r="E663" s="16" t="s">
        <v>3106</v>
      </c>
      <c r="F663" s="16" t="s">
        <v>10</v>
      </c>
      <c r="G663" s="16" t="s">
        <v>3669</v>
      </c>
      <c r="H663" s="16" t="s">
        <v>12</v>
      </c>
      <c r="I663" s="17"/>
      <c r="J663" s="16" t="s">
        <v>13</v>
      </c>
      <c r="K663" s="16" t="s">
        <v>11</v>
      </c>
      <c r="L663" s="154">
        <v>45169.0</v>
      </c>
      <c r="M663" s="16">
        <f t="shared" si="1"/>
        <v>3</v>
      </c>
      <c r="N663" s="17"/>
      <c r="O663" s="16" t="s">
        <v>3542</v>
      </c>
      <c r="Q663" s="153"/>
      <c r="R663" s="17"/>
      <c r="S663" s="16" t="s">
        <v>3671</v>
      </c>
      <c r="T663" s="17"/>
      <c r="U663" s="17"/>
      <c r="V663" s="17"/>
      <c r="W663" s="17"/>
      <c r="X663" s="17"/>
      <c r="Y663" s="17"/>
      <c r="Z663" s="17"/>
      <c r="AA663" s="17"/>
      <c r="AB663" s="17"/>
    </row>
    <row r="664">
      <c r="A664" s="16">
        <f t="shared" si="2"/>
        <v>663</v>
      </c>
      <c r="B664" s="16" t="s">
        <v>1768</v>
      </c>
      <c r="C664" s="16">
        <v>6.0021412E7</v>
      </c>
      <c r="D664" s="16" t="s">
        <v>1769</v>
      </c>
      <c r="E664" s="16" t="s">
        <v>3106</v>
      </c>
      <c r="F664" s="16" t="s">
        <v>10</v>
      </c>
      <c r="G664" s="16" t="s">
        <v>3054</v>
      </c>
      <c r="H664" s="16" t="s">
        <v>12</v>
      </c>
      <c r="I664" s="17"/>
      <c r="J664" s="16" t="s">
        <v>36</v>
      </c>
      <c r="K664" s="16" t="s">
        <v>1719</v>
      </c>
      <c r="L664" s="154">
        <v>45398.0</v>
      </c>
      <c r="M664" s="16">
        <f t="shared" si="1"/>
        <v>2</v>
      </c>
      <c r="N664" s="16">
        <v>4.50001443E8</v>
      </c>
      <c r="O664" s="16" t="s">
        <v>2557</v>
      </c>
      <c r="Q664" s="153"/>
      <c r="R664" s="17"/>
      <c r="S664" s="16" t="s">
        <v>3671</v>
      </c>
      <c r="T664" s="17"/>
      <c r="U664" s="17"/>
      <c r="V664" s="17"/>
      <c r="W664" s="17"/>
      <c r="X664" s="17"/>
      <c r="Y664" s="17"/>
      <c r="Z664" s="17"/>
      <c r="AA664" s="17"/>
      <c r="AB664" s="17"/>
    </row>
    <row r="665">
      <c r="A665" s="16">
        <f t="shared" si="2"/>
        <v>664</v>
      </c>
      <c r="B665" s="16" t="s">
        <v>1770</v>
      </c>
      <c r="C665" s="16">
        <v>6.0021413E7</v>
      </c>
      <c r="D665" s="16" t="s">
        <v>1771</v>
      </c>
      <c r="E665" s="16" t="s">
        <v>3106</v>
      </c>
      <c r="F665" s="16" t="s">
        <v>10</v>
      </c>
      <c r="G665" s="16" t="s">
        <v>3054</v>
      </c>
      <c r="H665" s="16" t="s">
        <v>12</v>
      </c>
      <c r="I665" s="17"/>
      <c r="J665" s="16" t="s">
        <v>36</v>
      </c>
      <c r="K665" s="16" t="s">
        <v>1719</v>
      </c>
      <c r="L665" s="154">
        <v>45398.0</v>
      </c>
      <c r="M665" s="16">
        <f t="shared" si="1"/>
        <v>2</v>
      </c>
      <c r="N665" s="16">
        <v>4.50001443E8</v>
      </c>
      <c r="O665" s="16" t="s">
        <v>2557</v>
      </c>
      <c r="Q665" s="153"/>
      <c r="R665" s="17"/>
      <c r="S665" s="16" t="s">
        <v>3671</v>
      </c>
      <c r="T665" s="17"/>
      <c r="U665" s="17"/>
      <c r="V665" s="17"/>
      <c r="W665" s="17"/>
      <c r="X665" s="17"/>
      <c r="Y665" s="17"/>
      <c r="Z665" s="17"/>
      <c r="AA665" s="17"/>
      <c r="AB665" s="17"/>
    </row>
    <row r="666">
      <c r="A666" s="16">
        <f t="shared" si="2"/>
        <v>665</v>
      </c>
      <c r="B666" s="16" t="s">
        <v>1772</v>
      </c>
      <c r="C666" s="16">
        <v>6.002173E7</v>
      </c>
      <c r="D666" s="16" t="s">
        <v>1773</v>
      </c>
      <c r="E666" s="16" t="s">
        <v>3106</v>
      </c>
      <c r="F666" s="16" t="s">
        <v>10</v>
      </c>
      <c r="G666" s="16" t="s">
        <v>4489</v>
      </c>
      <c r="H666" s="16" t="s">
        <v>12</v>
      </c>
      <c r="I666" s="17"/>
      <c r="J666" s="16" t="s">
        <v>13</v>
      </c>
      <c r="K666" s="16" t="s">
        <v>1774</v>
      </c>
      <c r="L666" s="154">
        <v>45463.0</v>
      </c>
      <c r="M666" s="16">
        <f t="shared" si="1"/>
        <v>2</v>
      </c>
      <c r="N666" s="133">
        <v>4.500014931E9</v>
      </c>
      <c r="O666" s="16" t="s">
        <v>2557</v>
      </c>
      <c r="Q666" s="153"/>
      <c r="R666" s="17"/>
      <c r="S666" s="16" t="s">
        <v>3671</v>
      </c>
      <c r="T666" s="17"/>
      <c r="U666" s="17"/>
      <c r="V666" s="17"/>
      <c r="W666" s="17"/>
      <c r="X666" s="17"/>
      <c r="Y666" s="17"/>
      <c r="Z666" s="17"/>
      <c r="AA666" s="17"/>
      <c r="AB666" s="17"/>
    </row>
    <row r="667">
      <c r="A667" s="16">
        <f t="shared" si="2"/>
        <v>666</v>
      </c>
      <c r="B667" s="16" t="s">
        <v>1775</v>
      </c>
      <c r="C667" s="16">
        <v>6.0021731E7</v>
      </c>
      <c r="D667" s="16" t="s">
        <v>1776</v>
      </c>
      <c r="E667" s="16" t="s">
        <v>3106</v>
      </c>
      <c r="F667" s="16" t="s">
        <v>10</v>
      </c>
      <c r="G667" s="16" t="s">
        <v>4489</v>
      </c>
      <c r="H667" s="16" t="s">
        <v>12</v>
      </c>
      <c r="I667" s="17"/>
      <c r="J667" s="16" t="s">
        <v>13</v>
      </c>
      <c r="K667" s="16" t="s">
        <v>1774</v>
      </c>
      <c r="L667" s="154">
        <v>45463.0</v>
      </c>
      <c r="M667" s="16">
        <f t="shared" si="1"/>
        <v>2</v>
      </c>
      <c r="N667" s="133">
        <v>4.500014931E9</v>
      </c>
      <c r="O667" s="16" t="s">
        <v>2557</v>
      </c>
      <c r="Q667" s="153"/>
      <c r="R667" s="17"/>
      <c r="S667" s="16" t="s">
        <v>3671</v>
      </c>
      <c r="T667" s="17"/>
      <c r="U667" s="16" t="s">
        <v>3983</v>
      </c>
      <c r="V667" s="16" t="s">
        <v>3681</v>
      </c>
      <c r="W667" s="17"/>
      <c r="X667" s="17"/>
      <c r="Y667" s="16" t="s">
        <v>3983</v>
      </c>
      <c r="Z667" s="16" t="s">
        <v>3681</v>
      </c>
      <c r="AA667" s="17"/>
      <c r="AB667" s="17"/>
    </row>
    <row r="668">
      <c r="A668" s="16">
        <f t="shared" si="2"/>
        <v>667</v>
      </c>
      <c r="B668" s="16" t="s">
        <v>1777</v>
      </c>
      <c r="C668" s="16">
        <v>6.0021732E7</v>
      </c>
      <c r="D668" s="16" t="s">
        <v>1778</v>
      </c>
      <c r="E668" s="16" t="s">
        <v>3106</v>
      </c>
      <c r="F668" s="16" t="s">
        <v>10</v>
      </c>
      <c r="G668" s="16" t="s">
        <v>4489</v>
      </c>
      <c r="H668" s="16" t="s">
        <v>12</v>
      </c>
      <c r="I668" s="17"/>
      <c r="J668" s="16" t="s">
        <v>13</v>
      </c>
      <c r="K668" s="16" t="s">
        <v>1774</v>
      </c>
      <c r="L668" s="154">
        <v>45463.0</v>
      </c>
      <c r="M668" s="16">
        <f t="shared" si="1"/>
        <v>2</v>
      </c>
      <c r="N668" s="133">
        <v>4.500014931E9</v>
      </c>
      <c r="O668" s="16" t="s">
        <v>2557</v>
      </c>
      <c r="Q668" s="153"/>
      <c r="R668" s="17"/>
      <c r="S668" s="16" t="s">
        <v>3671</v>
      </c>
      <c r="T668" s="17"/>
      <c r="U668" s="16" t="s">
        <v>3983</v>
      </c>
      <c r="V668" s="16" t="s">
        <v>3681</v>
      </c>
      <c r="W668" s="17"/>
      <c r="X668" s="17"/>
      <c r="Y668" s="16" t="s">
        <v>3983</v>
      </c>
      <c r="Z668" s="16" t="s">
        <v>3681</v>
      </c>
      <c r="AA668" s="17"/>
      <c r="AB668" s="17"/>
    </row>
    <row r="669">
      <c r="A669" s="16">
        <f t="shared" si="2"/>
        <v>668</v>
      </c>
      <c r="B669" s="16" t="s">
        <v>1779</v>
      </c>
      <c r="C669" s="16">
        <v>6.0021734E7</v>
      </c>
      <c r="D669" s="16" t="s">
        <v>1780</v>
      </c>
      <c r="E669" s="16" t="s">
        <v>3106</v>
      </c>
      <c r="F669" s="16" t="s">
        <v>10</v>
      </c>
      <c r="G669" s="16" t="s">
        <v>4489</v>
      </c>
      <c r="H669" s="16" t="s">
        <v>12</v>
      </c>
      <c r="I669" s="17"/>
      <c r="J669" s="16" t="s">
        <v>13</v>
      </c>
      <c r="K669" s="16" t="s">
        <v>1774</v>
      </c>
      <c r="L669" s="154">
        <v>45463.0</v>
      </c>
      <c r="M669" s="16">
        <f t="shared" si="1"/>
        <v>2</v>
      </c>
      <c r="N669" s="133">
        <v>4.500014931E9</v>
      </c>
      <c r="O669" s="16" t="s">
        <v>2557</v>
      </c>
      <c r="Q669" s="153"/>
      <c r="R669" s="17"/>
      <c r="S669" s="16" t="s">
        <v>3671</v>
      </c>
      <c r="T669" s="17"/>
      <c r="U669" s="16" t="s">
        <v>3983</v>
      </c>
      <c r="V669" s="16" t="s">
        <v>3681</v>
      </c>
      <c r="W669" s="17"/>
      <c r="X669" s="17"/>
      <c r="Y669" s="16" t="s">
        <v>3983</v>
      </c>
      <c r="Z669" s="16" t="s">
        <v>3681</v>
      </c>
      <c r="AA669" s="17"/>
      <c r="AB669" s="17"/>
    </row>
    <row r="670">
      <c r="A670" s="16">
        <f t="shared" si="2"/>
        <v>669</v>
      </c>
      <c r="B670" s="16" t="s">
        <v>1781</v>
      </c>
      <c r="C670" s="16">
        <v>6.0021733E7</v>
      </c>
      <c r="D670" s="16" t="s">
        <v>1782</v>
      </c>
      <c r="E670" s="16" t="s">
        <v>3106</v>
      </c>
      <c r="F670" s="16" t="s">
        <v>10</v>
      </c>
      <c r="G670" s="16" t="s">
        <v>4489</v>
      </c>
      <c r="H670" s="16" t="s">
        <v>12</v>
      </c>
      <c r="I670" s="17"/>
      <c r="J670" s="16" t="s">
        <v>13</v>
      </c>
      <c r="K670" s="16" t="s">
        <v>1774</v>
      </c>
      <c r="L670" s="154">
        <v>45463.0</v>
      </c>
      <c r="M670" s="16">
        <f t="shared" si="1"/>
        <v>2</v>
      </c>
      <c r="N670" s="133">
        <v>4.500014931E9</v>
      </c>
      <c r="O670" s="16" t="s">
        <v>2557</v>
      </c>
      <c r="Q670" s="153"/>
      <c r="R670" s="17"/>
      <c r="S670" s="16" t="s">
        <v>3671</v>
      </c>
      <c r="T670" s="17"/>
      <c r="U670" s="16" t="s">
        <v>3983</v>
      </c>
      <c r="V670" s="16" t="s">
        <v>3681</v>
      </c>
      <c r="W670" s="17"/>
      <c r="X670" s="17"/>
      <c r="Y670" s="16" t="s">
        <v>3983</v>
      </c>
      <c r="Z670" s="16" t="s">
        <v>3681</v>
      </c>
      <c r="AA670" s="17"/>
      <c r="AB670" s="17"/>
    </row>
    <row r="671">
      <c r="A671" s="16">
        <f t="shared" si="2"/>
        <v>670</v>
      </c>
      <c r="B671" s="16" t="s">
        <v>1783</v>
      </c>
      <c r="C671" s="16">
        <v>6.0021735E7</v>
      </c>
      <c r="D671" s="16" t="s">
        <v>1784</v>
      </c>
      <c r="E671" s="16" t="s">
        <v>3106</v>
      </c>
      <c r="F671" s="16" t="s">
        <v>10</v>
      </c>
      <c r="G671" s="16" t="s">
        <v>4489</v>
      </c>
      <c r="H671" s="16" t="s">
        <v>12</v>
      </c>
      <c r="I671" s="17"/>
      <c r="J671" s="16" t="s">
        <v>13</v>
      </c>
      <c r="K671" s="16" t="s">
        <v>1774</v>
      </c>
      <c r="L671" s="154">
        <v>45463.0</v>
      </c>
      <c r="M671" s="16">
        <f t="shared" si="1"/>
        <v>2</v>
      </c>
      <c r="N671" s="133">
        <v>4.500014931E9</v>
      </c>
      <c r="O671" s="16" t="s">
        <v>2557</v>
      </c>
      <c r="Q671" s="153"/>
      <c r="R671" s="17"/>
      <c r="S671" s="16" t="s">
        <v>3671</v>
      </c>
      <c r="T671" s="17"/>
      <c r="U671" s="16" t="s">
        <v>3983</v>
      </c>
      <c r="V671" s="16" t="s">
        <v>3681</v>
      </c>
      <c r="W671" s="17"/>
      <c r="X671" s="17"/>
      <c r="Y671" s="16" t="s">
        <v>3983</v>
      </c>
      <c r="Z671" s="16" t="s">
        <v>3681</v>
      </c>
      <c r="AA671" s="17"/>
      <c r="AB671" s="17"/>
    </row>
    <row r="672">
      <c r="A672" s="16">
        <f t="shared" si="2"/>
        <v>671</v>
      </c>
      <c r="B672" s="16" t="s">
        <v>1785</v>
      </c>
      <c r="C672" s="16">
        <v>6.0021415E7</v>
      </c>
      <c r="D672" s="16" t="s">
        <v>1786</v>
      </c>
      <c r="E672" s="16" t="s">
        <v>3106</v>
      </c>
      <c r="F672" s="16" t="s">
        <v>10</v>
      </c>
      <c r="G672" s="16" t="s">
        <v>4490</v>
      </c>
      <c r="H672" s="16" t="s">
        <v>12</v>
      </c>
      <c r="I672" s="17"/>
      <c r="J672" s="16" t="s">
        <v>36</v>
      </c>
      <c r="K672" s="16" t="s">
        <v>1719</v>
      </c>
      <c r="L672" s="154">
        <v>45398.0</v>
      </c>
      <c r="M672" s="16">
        <f t="shared" si="1"/>
        <v>2</v>
      </c>
      <c r="N672" s="16">
        <v>4.50001443E8</v>
      </c>
      <c r="O672" s="16" t="s">
        <v>2557</v>
      </c>
      <c r="Q672" s="153"/>
      <c r="R672" s="17"/>
      <c r="S672" s="16" t="s">
        <v>3671</v>
      </c>
      <c r="T672" s="17"/>
      <c r="U672" s="16" t="s">
        <v>3983</v>
      </c>
      <c r="V672" s="16" t="s">
        <v>3681</v>
      </c>
      <c r="W672" s="17"/>
      <c r="X672" s="17"/>
      <c r="Y672" s="16" t="s">
        <v>3983</v>
      </c>
      <c r="Z672" s="16" t="s">
        <v>3681</v>
      </c>
      <c r="AA672" s="17"/>
      <c r="AB672" s="17"/>
    </row>
    <row r="673">
      <c r="A673" s="16">
        <f t="shared" si="2"/>
        <v>672</v>
      </c>
      <c r="B673" s="16" t="s">
        <v>1787</v>
      </c>
      <c r="C673" s="16">
        <v>6.0021414E7</v>
      </c>
      <c r="D673" s="16" t="s">
        <v>1788</v>
      </c>
      <c r="E673" s="16" t="s">
        <v>3106</v>
      </c>
      <c r="F673" s="16" t="s">
        <v>10</v>
      </c>
      <c r="G673" s="16" t="s">
        <v>4490</v>
      </c>
      <c r="H673" s="16" t="s">
        <v>12</v>
      </c>
      <c r="I673" s="17"/>
      <c r="J673" s="16" t="s">
        <v>36</v>
      </c>
      <c r="K673" s="16" t="s">
        <v>1719</v>
      </c>
      <c r="L673" s="154">
        <v>45398.0</v>
      </c>
      <c r="M673" s="16">
        <f t="shared" si="1"/>
        <v>2</v>
      </c>
      <c r="N673" s="16">
        <v>4.50001443E8</v>
      </c>
      <c r="O673" s="16" t="s">
        <v>2557</v>
      </c>
      <c r="Q673" s="153"/>
      <c r="R673" s="17"/>
      <c r="S673" s="16" t="s">
        <v>3671</v>
      </c>
      <c r="T673" s="17"/>
      <c r="U673" s="16" t="s">
        <v>3983</v>
      </c>
      <c r="V673" s="16" t="s">
        <v>3681</v>
      </c>
      <c r="W673" s="17"/>
      <c r="X673" s="17"/>
      <c r="Y673" s="16" t="s">
        <v>3983</v>
      </c>
      <c r="Z673" s="16" t="s">
        <v>3681</v>
      </c>
      <c r="AA673" s="17"/>
      <c r="AB673" s="17"/>
    </row>
    <row r="674">
      <c r="A674" s="16">
        <f t="shared" si="2"/>
        <v>673</v>
      </c>
      <c r="B674" s="16" t="s">
        <v>1789</v>
      </c>
      <c r="C674" s="16">
        <v>6.002139E7</v>
      </c>
      <c r="D674" s="16" t="s">
        <v>1790</v>
      </c>
      <c r="E674" s="16" t="s">
        <v>3106</v>
      </c>
      <c r="F674" s="16" t="s">
        <v>10</v>
      </c>
      <c r="G674" s="16" t="s">
        <v>4490</v>
      </c>
      <c r="H674" s="16" t="s">
        <v>12</v>
      </c>
      <c r="I674" s="17"/>
      <c r="J674" s="16" t="s">
        <v>36</v>
      </c>
      <c r="K674" s="16" t="s">
        <v>1719</v>
      </c>
      <c r="L674" s="154">
        <v>45398.0</v>
      </c>
      <c r="M674" s="16">
        <f t="shared" si="1"/>
        <v>2</v>
      </c>
      <c r="N674" s="16">
        <v>4.50001442E8</v>
      </c>
      <c r="O674" s="16" t="s">
        <v>2557</v>
      </c>
      <c r="Q674" s="153"/>
      <c r="R674" s="17"/>
      <c r="S674" s="16" t="s">
        <v>3671</v>
      </c>
      <c r="T674" s="17"/>
      <c r="U674" s="16" t="s">
        <v>3983</v>
      </c>
      <c r="V674" s="16" t="s">
        <v>3681</v>
      </c>
      <c r="W674" s="17"/>
      <c r="X674" s="17"/>
      <c r="Y674" s="16" t="s">
        <v>3983</v>
      </c>
      <c r="Z674" s="16" t="s">
        <v>3681</v>
      </c>
      <c r="AA674" s="17"/>
      <c r="AB674" s="17"/>
    </row>
    <row r="675">
      <c r="A675" s="16">
        <f t="shared" si="2"/>
        <v>674</v>
      </c>
      <c r="B675" s="16" t="s">
        <v>1791</v>
      </c>
      <c r="C675" s="16">
        <v>6.0021391E7</v>
      </c>
      <c r="D675" s="16" t="s">
        <v>1792</v>
      </c>
      <c r="E675" s="16" t="s">
        <v>3106</v>
      </c>
      <c r="F675" s="16" t="s">
        <v>10</v>
      </c>
      <c r="G675" s="16" t="s">
        <v>4490</v>
      </c>
      <c r="H675" s="16" t="s">
        <v>12</v>
      </c>
      <c r="I675" s="17"/>
      <c r="J675" s="16" t="s">
        <v>36</v>
      </c>
      <c r="K675" s="16" t="s">
        <v>1719</v>
      </c>
      <c r="L675" s="154">
        <v>45398.0</v>
      </c>
      <c r="M675" s="16">
        <f t="shared" si="1"/>
        <v>2</v>
      </c>
      <c r="N675" s="16">
        <v>4.50001442E8</v>
      </c>
      <c r="O675" s="16" t="s">
        <v>2557</v>
      </c>
      <c r="Q675" s="153"/>
      <c r="R675" s="17"/>
      <c r="S675" s="16" t="s">
        <v>3671</v>
      </c>
      <c r="T675" s="17"/>
      <c r="U675" s="16" t="s">
        <v>3983</v>
      </c>
      <c r="V675" s="16" t="s">
        <v>3681</v>
      </c>
      <c r="W675" s="17"/>
      <c r="X675" s="17"/>
      <c r="Y675" s="16" t="s">
        <v>3983</v>
      </c>
      <c r="Z675" s="16" t="s">
        <v>3681</v>
      </c>
      <c r="AA675" s="17"/>
      <c r="AB675" s="17"/>
    </row>
    <row r="676">
      <c r="A676" s="16">
        <f t="shared" si="2"/>
        <v>675</v>
      </c>
      <c r="B676" s="16" t="s">
        <v>1793</v>
      </c>
      <c r="C676" s="16">
        <v>6.0021418E7</v>
      </c>
      <c r="D676" s="16" t="s">
        <v>1794</v>
      </c>
      <c r="E676" s="16" t="s">
        <v>3106</v>
      </c>
      <c r="F676" s="16" t="s">
        <v>10</v>
      </c>
      <c r="G676" s="16" t="s">
        <v>3054</v>
      </c>
      <c r="H676" s="16" t="s">
        <v>12</v>
      </c>
      <c r="I676" s="16" t="s">
        <v>4491</v>
      </c>
      <c r="J676" s="16" t="s">
        <v>36</v>
      </c>
      <c r="K676" s="16" t="s">
        <v>1719</v>
      </c>
      <c r="L676" s="154">
        <v>45398.0</v>
      </c>
      <c r="M676" s="16">
        <f t="shared" si="1"/>
        <v>2</v>
      </c>
      <c r="N676" s="16">
        <v>4.50001443E8</v>
      </c>
      <c r="O676" s="16" t="s">
        <v>2557</v>
      </c>
      <c r="Q676" s="153"/>
      <c r="R676" s="17"/>
      <c r="S676" s="16" t="s">
        <v>3671</v>
      </c>
      <c r="T676" s="17"/>
      <c r="U676" s="17"/>
      <c r="V676" s="17"/>
      <c r="W676" s="17"/>
      <c r="X676" s="17"/>
      <c r="Y676" s="17"/>
      <c r="Z676" s="17"/>
      <c r="AA676" s="17"/>
      <c r="AB676" s="17"/>
    </row>
    <row r="677">
      <c r="A677" s="16">
        <f t="shared" si="2"/>
        <v>676</v>
      </c>
      <c r="B677" s="16" t="s">
        <v>1795</v>
      </c>
      <c r="C677" s="16">
        <v>6.0021419E7</v>
      </c>
      <c r="D677" s="16" t="s">
        <v>1796</v>
      </c>
      <c r="E677" s="16" t="s">
        <v>3106</v>
      </c>
      <c r="F677" s="16" t="s">
        <v>10</v>
      </c>
      <c r="G677" s="16" t="s">
        <v>3054</v>
      </c>
      <c r="H677" s="16" t="s">
        <v>12</v>
      </c>
      <c r="I677" s="16" t="s">
        <v>4491</v>
      </c>
      <c r="J677" s="16" t="s">
        <v>36</v>
      </c>
      <c r="K677" s="16" t="s">
        <v>1719</v>
      </c>
      <c r="L677" s="154">
        <v>45398.0</v>
      </c>
      <c r="M677" s="16">
        <f t="shared" si="1"/>
        <v>2</v>
      </c>
      <c r="N677" s="16">
        <v>4.50001443E8</v>
      </c>
      <c r="O677" s="16" t="s">
        <v>2557</v>
      </c>
      <c r="Q677" s="153"/>
      <c r="R677" s="17"/>
      <c r="S677" s="16" t="s">
        <v>3671</v>
      </c>
      <c r="T677" s="17"/>
      <c r="U677" s="17"/>
      <c r="V677" s="17"/>
      <c r="W677" s="17"/>
      <c r="X677" s="17"/>
      <c r="Y677" s="17"/>
      <c r="Z677" s="17"/>
      <c r="AA677" s="17"/>
      <c r="AB677" s="17"/>
    </row>
    <row r="678">
      <c r="A678" s="16">
        <f t="shared" si="2"/>
        <v>677</v>
      </c>
      <c r="B678" s="16" t="s">
        <v>1797</v>
      </c>
      <c r="C678" s="16">
        <v>6.002142E7</v>
      </c>
      <c r="D678" s="16" t="s">
        <v>1798</v>
      </c>
      <c r="E678" s="16" t="s">
        <v>3106</v>
      </c>
      <c r="F678" s="16" t="s">
        <v>10</v>
      </c>
      <c r="G678" s="16" t="s">
        <v>3054</v>
      </c>
      <c r="H678" s="16" t="s">
        <v>12</v>
      </c>
      <c r="I678" s="16" t="s">
        <v>4491</v>
      </c>
      <c r="J678" s="16" t="s">
        <v>36</v>
      </c>
      <c r="K678" s="16" t="s">
        <v>1719</v>
      </c>
      <c r="L678" s="154">
        <v>45398.0</v>
      </c>
      <c r="M678" s="16">
        <f t="shared" si="1"/>
        <v>2</v>
      </c>
      <c r="N678" s="16">
        <v>4.50001443E8</v>
      </c>
      <c r="O678" s="16" t="s">
        <v>2557</v>
      </c>
      <c r="Q678" s="153"/>
      <c r="R678" s="17"/>
      <c r="S678" s="16" t="s">
        <v>3671</v>
      </c>
      <c r="T678" s="17"/>
      <c r="U678" s="17"/>
      <c r="V678" s="17"/>
      <c r="W678" s="17"/>
      <c r="X678" s="17"/>
      <c r="Y678" s="17"/>
      <c r="Z678" s="17"/>
      <c r="AA678" s="17"/>
      <c r="AB678" s="17"/>
    </row>
    <row r="679">
      <c r="A679" s="16">
        <f t="shared" si="2"/>
        <v>678</v>
      </c>
      <c r="B679" s="16" t="s">
        <v>1799</v>
      </c>
      <c r="C679" s="16">
        <v>6.0021421E7</v>
      </c>
      <c r="D679" s="16" t="s">
        <v>1800</v>
      </c>
      <c r="E679" s="16" t="s">
        <v>3106</v>
      </c>
      <c r="F679" s="16" t="s">
        <v>10</v>
      </c>
      <c r="G679" s="16" t="s">
        <v>3054</v>
      </c>
      <c r="H679" s="16" t="s">
        <v>12</v>
      </c>
      <c r="I679" s="16" t="s">
        <v>4491</v>
      </c>
      <c r="J679" s="16" t="s">
        <v>36</v>
      </c>
      <c r="K679" s="16" t="s">
        <v>1719</v>
      </c>
      <c r="L679" s="154">
        <v>45398.0</v>
      </c>
      <c r="M679" s="16">
        <f t="shared" si="1"/>
        <v>2</v>
      </c>
      <c r="N679" s="16">
        <v>4.50001443E8</v>
      </c>
      <c r="O679" s="16" t="s">
        <v>2557</v>
      </c>
      <c r="Q679" s="153"/>
      <c r="R679" s="17"/>
      <c r="S679" s="16" t="s">
        <v>3671</v>
      </c>
      <c r="T679" s="17"/>
      <c r="U679" s="17"/>
      <c r="V679" s="17"/>
      <c r="W679" s="17"/>
      <c r="X679" s="17"/>
      <c r="Y679" s="17"/>
      <c r="Z679" s="17"/>
      <c r="AA679" s="17"/>
      <c r="AB679" s="17"/>
    </row>
    <row r="680">
      <c r="A680" s="16">
        <f t="shared" si="2"/>
        <v>679</v>
      </c>
      <c r="B680" s="16" t="s">
        <v>1801</v>
      </c>
      <c r="C680" s="16">
        <v>6.0021282E7</v>
      </c>
      <c r="D680" s="16" t="s">
        <v>1802</v>
      </c>
      <c r="E680" s="16" t="s">
        <v>3106</v>
      </c>
      <c r="F680" s="16" t="s">
        <v>10</v>
      </c>
      <c r="G680" s="16" t="s">
        <v>3054</v>
      </c>
      <c r="H680" s="16" t="s">
        <v>12</v>
      </c>
      <c r="I680" s="17"/>
      <c r="J680" s="16" t="s">
        <v>36</v>
      </c>
      <c r="K680" s="16" t="s">
        <v>1719</v>
      </c>
      <c r="L680" s="154">
        <v>45399.0</v>
      </c>
      <c r="M680" s="16">
        <f t="shared" si="1"/>
        <v>2</v>
      </c>
      <c r="N680" s="17"/>
      <c r="O680" s="16" t="s">
        <v>2557</v>
      </c>
      <c r="Q680" s="153"/>
      <c r="R680" s="17"/>
      <c r="S680" s="16" t="s">
        <v>3671</v>
      </c>
      <c r="T680" s="17"/>
      <c r="U680" s="16" t="s">
        <v>3236</v>
      </c>
      <c r="V680" s="17"/>
      <c r="W680" s="17"/>
      <c r="X680" s="17"/>
      <c r="Y680" s="16" t="s">
        <v>3236</v>
      </c>
      <c r="Z680" s="17"/>
      <c r="AA680" s="17"/>
      <c r="AB680" s="16" t="s">
        <v>4096</v>
      </c>
    </row>
    <row r="681">
      <c r="A681" s="16">
        <f t="shared" si="2"/>
        <v>680</v>
      </c>
      <c r="B681" s="16" t="s">
        <v>1803</v>
      </c>
      <c r="C681" s="16">
        <v>6.0022262E7</v>
      </c>
      <c r="D681" s="16" t="s">
        <v>1804</v>
      </c>
      <c r="E681" s="16" t="s">
        <v>3106</v>
      </c>
      <c r="F681" s="16" t="s">
        <v>10</v>
      </c>
      <c r="G681" s="16" t="s">
        <v>4492</v>
      </c>
      <c r="H681" s="16" t="s">
        <v>12</v>
      </c>
      <c r="I681" s="16" t="s">
        <v>3396</v>
      </c>
      <c r="J681" s="16" t="s">
        <v>13</v>
      </c>
      <c r="K681" s="16" t="s">
        <v>1805</v>
      </c>
      <c r="L681" s="154">
        <v>45423.0</v>
      </c>
      <c r="M681" s="16">
        <f t="shared" si="1"/>
        <v>2</v>
      </c>
      <c r="N681" s="16">
        <v>4.50001784E9</v>
      </c>
      <c r="O681" s="16" t="s">
        <v>2557</v>
      </c>
      <c r="Q681" s="153"/>
      <c r="R681" s="16" t="s">
        <v>4493</v>
      </c>
      <c r="S681" s="16" t="s">
        <v>3673</v>
      </c>
      <c r="T681" s="16" t="s">
        <v>4494</v>
      </c>
      <c r="U681" s="16" t="s">
        <v>4495</v>
      </c>
      <c r="V681" s="17"/>
      <c r="W681" s="17"/>
      <c r="X681" s="16" t="s">
        <v>4494</v>
      </c>
      <c r="Y681" s="16" t="s">
        <v>3150</v>
      </c>
      <c r="Z681" s="16" t="s">
        <v>3760</v>
      </c>
      <c r="AA681" s="17"/>
      <c r="AB681" s="17"/>
    </row>
    <row r="682">
      <c r="A682" s="16">
        <f t="shared" si="2"/>
        <v>681</v>
      </c>
      <c r="B682" s="16" t="s">
        <v>1806</v>
      </c>
      <c r="C682" s="16">
        <v>6.0022263E7</v>
      </c>
      <c r="D682" s="16" t="s">
        <v>1807</v>
      </c>
      <c r="E682" s="16" t="s">
        <v>3106</v>
      </c>
      <c r="F682" s="16" t="s">
        <v>10</v>
      </c>
      <c r="G682" s="16" t="s">
        <v>4492</v>
      </c>
      <c r="H682" s="16" t="s">
        <v>12</v>
      </c>
      <c r="I682" s="16" t="s">
        <v>3396</v>
      </c>
      <c r="J682" s="16" t="s">
        <v>13</v>
      </c>
      <c r="K682" s="16" t="s">
        <v>1805</v>
      </c>
      <c r="L682" s="154">
        <v>45423.0</v>
      </c>
      <c r="M682" s="16">
        <f t="shared" si="1"/>
        <v>2</v>
      </c>
      <c r="N682" s="16">
        <v>4.50001784E9</v>
      </c>
      <c r="O682" s="16" t="s">
        <v>2557</v>
      </c>
      <c r="Q682" s="153"/>
      <c r="R682" s="16" t="s">
        <v>4493</v>
      </c>
      <c r="S682" s="16" t="s">
        <v>3673</v>
      </c>
      <c r="T682" s="16" t="s">
        <v>4496</v>
      </c>
      <c r="U682" s="16" t="s">
        <v>4495</v>
      </c>
      <c r="V682" s="17"/>
      <c r="W682" s="17"/>
      <c r="X682" s="16" t="s">
        <v>4496</v>
      </c>
      <c r="Y682" s="16" t="s">
        <v>3150</v>
      </c>
      <c r="Z682" s="16" t="s">
        <v>3760</v>
      </c>
      <c r="AA682" s="17"/>
      <c r="AB682" s="17"/>
    </row>
    <row r="683">
      <c r="A683" s="16">
        <f t="shared" si="2"/>
        <v>682</v>
      </c>
      <c r="B683" s="16" t="s">
        <v>1808</v>
      </c>
      <c r="C683" s="16">
        <v>6.0022264E7</v>
      </c>
      <c r="D683" s="16" t="s">
        <v>1809</v>
      </c>
      <c r="E683" s="16" t="s">
        <v>3106</v>
      </c>
      <c r="F683" s="16" t="s">
        <v>10</v>
      </c>
      <c r="G683" s="16" t="s">
        <v>4492</v>
      </c>
      <c r="H683" s="16" t="s">
        <v>12</v>
      </c>
      <c r="I683" s="16" t="s">
        <v>3396</v>
      </c>
      <c r="J683" s="16" t="s">
        <v>13</v>
      </c>
      <c r="K683" s="16" t="s">
        <v>1805</v>
      </c>
      <c r="L683" s="154">
        <v>45423.0</v>
      </c>
      <c r="M683" s="16">
        <f t="shared" si="1"/>
        <v>2</v>
      </c>
      <c r="N683" s="16">
        <v>4.50001784E9</v>
      </c>
      <c r="O683" s="16" t="s">
        <v>2557</v>
      </c>
      <c r="Q683" s="153"/>
      <c r="R683" s="16" t="s">
        <v>4497</v>
      </c>
      <c r="S683" s="16" t="s">
        <v>3673</v>
      </c>
      <c r="T683" s="16" t="s">
        <v>4498</v>
      </c>
      <c r="U683" s="16" t="s">
        <v>4495</v>
      </c>
      <c r="V683" s="17"/>
      <c r="W683" s="17"/>
      <c r="X683" s="16" t="s">
        <v>4498</v>
      </c>
      <c r="Y683" s="16" t="s">
        <v>3150</v>
      </c>
      <c r="Z683" s="16" t="s">
        <v>3760</v>
      </c>
      <c r="AA683" s="17"/>
      <c r="AB683" s="17"/>
    </row>
    <row r="684">
      <c r="A684" s="16">
        <f t="shared" si="2"/>
        <v>683</v>
      </c>
      <c r="B684" s="16" t="s">
        <v>1810</v>
      </c>
      <c r="C684" s="16">
        <v>6.0022265E7</v>
      </c>
      <c r="D684" s="16" t="s">
        <v>1811</v>
      </c>
      <c r="E684" s="16" t="s">
        <v>3106</v>
      </c>
      <c r="F684" s="16" t="s">
        <v>10</v>
      </c>
      <c r="G684" s="16" t="s">
        <v>4492</v>
      </c>
      <c r="H684" s="16" t="s">
        <v>12</v>
      </c>
      <c r="I684" s="16" t="s">
        <v>3396</v>
      </c>
      <c r="J684" s="16" t="s">
        <v>13</v>
      </c>
      <c r="K684" s="16" t="s">
        <v>1805</v>
      </c>
      <c r="L684" s="154">
        <v>45423.0</v>
      </c>
      <c r="M684" s="16">
        <f t="shared" si="1"/>
        <v>2</v>
      </c>
      <c r="N684" s="16">
        <v>4.50001784E9</v>
      </c>
      <c r="O684" s="16" t="s">
        <v>2557</v>
      </c>
      <c r="Q684" s="153"/>
      <c r="R684" s="16" t="s">
        <v>4493</v>
      </c>
      <c r="S684" s="16" t="s">
        <v>3673</v>
      </c>
      <c r="T684" s="16" t="s">
        <v>4499</v>
      </c>
      <c r="U684" s="16" t="s">
        <v>4495</v>
      </c>
      <c r="V684" s="17"/>
      <c r="W684" s="17"/>
      <c r="X684" s="16" t="s">
        <v>4499</v>
      </c>
      <c r="Y684" s="16" t="s">
        <v>3150</v>
      </c>
      <c r="Z684" s="16" t="s">
        <v>3760</v>
      </c>
      <c r="AA684" s="17"/>
      <c r="AB684" s="17"/>
    </row>
    <row r="685">
      <c r="A685" s="16">
        <f t="shared" si="2"/>
        <v>684</v>
      </c>
      <c r="B685" s="16" t="s">
        <v>1812</v>
      </c>
      <c r="C685" s="16">
        <v>6.0022266E7</v>
      </c>
      <c r="D685" s="16" t="s">
        <v>1813</v>
      </c>
      <c r="E685" s="16" t="s">
        <v>3106</v>
      </c>
      <c r="F685" s="16" t="s">
        <v>10</v>
      </c>
      <c r="G685" s="16" t="s">
        <v>4492</v>
      </c>
      <c r="H685" s="16" t="s">
        <v>12</v>
      </c>
      <c r="I685" s="16" t="s">
        <v>3396</v>
      </c>
      <c r="J685" s="16" t="s">
        <v>13</v>
      </c>
      <c r="K685" s="16" t="s">
        <v>1805</v>
      </c>
      <c r="L685" s="154">
        <v>45423.0</v>
      </c>
      <c r="M685" s="16">
        <f t="shared" si="1"/>
        <v>2</v>
      </c>
      <c r="N685" s="16">
        <v>4.50001784E9</v>
      </c>
      <c r="O685" s="16" t="s">
        <v>2557</v>
      </c>
      <c r="Q685" s="153"/>
      <c r="R685" s="16" t="s">
        <v>4500</v>
      </c>
      <c r="S685" s="16" t="s">
        <v>3673</v>
      </c>
      <c r="T685" s="16" t="s">
        <v>4501</v>
      </c>
      <c r="U685" s="16" t="s">
        <v>4495</v>
      </c>
      <c r="V685" s="17"/>
      <c r="W685" s="17"/>
      <c r="X685" s="16" t="s">
        <v>4501</v>
      </c>
      <c r="Y685" s="16" t="s">
        <v>3150</v>
      </c>
      <c r="Z685" s="16" t="s">
        <v>3760</v>
      </c>
      <c r="AA685" s="17"/>
      <c r="AB685" s="17"/>
    </row>
    <row r="686">
      <c r="A686" s="16">
        <f t="shared" si="2"/>
        <v>685</v>
      </c>
      <c r="B686" s="16" t="s">
        <v>1814</v>
      </c>
      <c r="C686" s="16">
        <v>6.0022267E7</v>
      </c>
      <c r="D686" s="16" t="s">
        <v>1815</v>
      </c>
      <c r="E686" s="16" t="s">
        <v>3106</v>
      </c>
      <c r="F686" s="16" t="s">
        <v>10</v>
      </c>
      <c r="G686" s="16" t="s">
        <v>4492</v>
      </c>
      <c r="H686" s="16" t="s">
        <v>12</v>
      </c>
      <c r="I686" s="16" t="s">
        <v>3396</v>
      </c>
      <c r="J686" s="16" t="s">
        <v>13</v>
      </c>
      <c r="K686" s="16" t="s">
        <v>1805</v>
      </c>
      <c r="L686" s="154">
        <v>45423.0</v>
      </c>
      <c r="M686" s="16">
        <f t="shared" si="1"/>
        <v>2</v>
      </c>
      <c r="N686" s="16">
        <v>4.50001784E9</v>
      </c>
      <c r="O686" s="16" t="s">
        <v>2557</v>
      </c>
      <c r="Q686" s="153"/>
      <c r="R686" s="17"/>
      <c r="S686" s="16" t="s">
        <v>3673</v>
      </c>
      <c r="T686" s="16" t="s">
        <v>4502</v>
      </c>
      <c r="U686" s="16" t="s">
        <v>4495</v>
      </c>
      <c r="V686" s="17"/>
      <c r="W686" s="17"/>
      <c r="X686" s="16" t="s">
        <v>4502</v>
      </c>
      <c r="Y686" s="16" t="s">
        <v>3150</v>
      </c>
      <c r="Z686" s="16" t="s">
        <v>3760</v>
      </c>
      <c r="AA686" s="17"/>
      <c r="AB686" s="17"/>
    </row>
    <row r="687">
      <c r="A687" s="16">
        <f t="shared" si="2"/>
        <v>686</v>
      </c>
      <c r="B687" s="16" t="s">
        <v>1816</v>
      </c>
      <c r="C687" s="16">
        <v>6.0022268E7</v>
      </c>
      <c r="D687" s="16" t="s">
        <v>1817</v>
      </c>
      <c r="E687" s="16" t="s">
        <v>3106</v>
      </c>
      <c r="F687" s="16" t="s">
        <v>10</v>
      </c>
      <c r="G687" s="16" t="s">
        <v>4492</v>
      </c>
      <c r="H687" s="16" t="s">
        <v>12</v>
      </c>
      <c r="I687" s="16" t="s">
        <v>3396</v>
      </c>
      <c r="J687" s="16" t="s">
        <v>13</v>
      </c>
      <c r="K687" s="16" t="s">
        <v>1805</v>
      </c>
      <c r="L687" s="154">
        <v>45423.0</v>
      </c>
      <c r="M687" s="16">
        <f t="shared" si="1"/>
        <v>2</v>
      </c>
      <c r="N687" s="16">
        <v>4.50001784E9</v>
      </c>
      <c r="O687" s="16" t="s">
        <v>2557</v>
      </c>
      <c r="Q687" s="153"/>
      <c r="R687" s="17"/>
      <c r="S687" s="16" t="s">
        <v>3673</v>
      </c>
      <c r="T687" s="16" t="s">
        <v>4503</v>
      </c>
      <c r="U687" s="16" t="s">
        <v>4495</v>
      </c>
      <c r="V687" s="17"/>
      <c r="W687" s="17"/>
      <c r="X687" s="16" t="s">
        <v>4503</v>
      </c>
      <c r="Y687" s="16" t="s">
        <v>3150</v>
      </c>
      <c r="Z687" s="16" t="s">
        <v>3760</v>
      </c>
      <c r="AA687" s="17"/>
      <c r="AB687" s="17"/>
    </row>
    <row r="688">
      <c r="A688" s="16">
        <f t="shared" si="2"/>
        <v>687</v>
      </c>
      <c r="B688" s="16" t="s">
        <v>1818</v>
      </c>
      <c r="C688" s="16">
        <v>6.0022269E7</v>
      </c>
      <c r="D688" s="16" t="s">
        <v>1819</v>
      </c>
      <c r="E688" s="16" t="s">
        <v>3106</v>
      </c>
      <c r="F688" s="16" t="s">
        <v>10</v>
      </c>
      <c r="G688" s="16" t="s">
        <v>4492</v>
      </c>
      <c r="H688" s="16" t="s">
        <v>12</v>
      </c>
      <c r="I688" s="16" t="s">
        <v>3396</v>
      </c>
      <c r="J688" s="16" t="s">
        <v>13</v>
      </c>
      <c r="K688" s="16" t="s">
        <v>1805</v>
      </c>
      <c r="L688" s="154">
        <v>45423.0</v>
      </c>
      <c r="M688" s="16">
        <f t="shared" si="1"/>
        <v>2</v>
      </c>
      <c r="N688" s="16">
        <v>4.50001784E9</v>
      </c>
      <c r="O688" s="16" t="s">
        <v>2557</v>
      </c>
      <c r="Q688" s="153"/>
      <c r="R688" s="17"/>
      <c r="S688" s="16" t="s">
        <v>3673</v>
      </c>
      <c r="T688" s="16" t="s">
        <v>4504</v>
      </c>
      <c r="U688" s="16" t="s">
        <v>4495</v>
      </c>
      <c r="V688" s="17"/>
      <c r="W688" s="17"/>
      <c r="X688" s="16" t="s">
        <v>4504</v>
      </c>
      <c r="Y688" s="16" t="s">
        <v>3150</v>
      </c>
      <c r="Z688" s="16" t="s">
        <v>3760</v>
      </c>
      <c r="AA688" s="17"/>
      <c r="AB688" s="17"/>
    </row>
    <row r="689">
      <c r="A689" s="16">
        <f t="shared" si="2"/>
        <v>688</v>
      </c>
      <c r="B689" s="16" t="s">
        <v>1820</v>
      </c>
      <c r="C689" s="16">
        <v>6.002227E7</v>
      </c>
      <c r="D689" s="16" t="s">
        <v>1821</v>
      </c>
      <c r="E689" s="16" t="s">
        <v>3106</v>
      </c>
      <c r="F689" s="16" t="s">
        <v>10</v>
      </c>
      <c r="G689" s="16" t="s">
        <v>4492</v>
      </c>
      <c r="H689" s="16" t="s">
        <v>12</v>
      </c>
      <c r="I689" s="16" t="s">
        <v>3396</v>
      </c>
      <c r="J689" s="16" t="s">
        <v>13</v>
      </c>
      <c r="K689" s="16" t="s">
        <v>1805</v>
      </c>
      <c r="L689" s="154">
        <v>45423.0</v>
      </c>
      <c r="M689" s="16">
        <f t="shared" si="1"/>
        <v>2</v>
      </c>
      <c r="N689" s="16">
        <v>4.50001784E9</v>
      </c>
      <c r="O689" s="16" t="s">
        <v>2557</v>
      </c>
      <c r="Q689" s="153"/>
      <c r="R689" s="17"/>
      <c r="S689" s="16" t="s">
        <v>3673</v>
      </c>
      <c r="T689" s="16" t="s">
        <v>4505</v>
      </c>
      <c r="U689" s="16" t="s">
        <v>4495</v>
      </c>
      <c r="V689" s="17"/>
      <c r="W689" s="17"/>
      <c r="X689" s="16" t="s">
        <v>4505</v>
      </c>
      <c r="Y689" s="16" t="s">
        <v>3150</v>
      </c>
      <c r="Z689" s="16" t="s">
        <v>3760</v>
      </c>
      <c r="AA689" s="17"/>
      <c r="AB689" s="17"/>
    </row>
    <row r="690">
      <c r="A690" s="16">
        <f t="shared" si="2"/>
        <v>689</v>
      </c>
      <c r="B690" s="16" t="s">
        <v>1822</v>
      </c>
      <c r="C690" s="16">
        <v>6.0022271E7</v>
      </c>
      <c r="D690" s="16" t="s">
        <v>1823</v>
      </c>
      <c r="E690" s="16" t="s">
        <v>3106</v>
      </c>
      <c r="F690" s="16" t="s">
        <v>10</v>
      </c>
      <c r="G690" s="16" t="s">
        <v>4492</v>
      </c>
      <c r="H690" s="16" t="s">
        <v>12</v>
      </c>
      <c r="I690" s="16" t="s">
        <v>3396</v>
      </c>
      <c r="J690" s="16" t="s">
        <v>13</v>
      </c>
      <c r="K690" s="16" t="s">
        <v>1805</v>
      </c>
      <c r="L690" s="154">
        <v>45423.0</v>
      </c>
      <c r="M690" s="16">
        <f t="shared" si="1"/>
        <v>2</v>
      </c>
      <c r="N690" s="16">
        <v>4.50001784E9</v>
      </c>
      <c r="O690" s="16" t="s">
        <v>2557</v>
      </c>
      <c r="Q690" s="153"/>
      <c r="R690" s="17"/>
      <c r="S690" s="16" t="s">
        <v>3673</v>
      </c>
      <c r="T690" s="16" t="s">
        <v>4506</v>
      </c>
      <c r="U690" s="16" t="s">
        <v>4495</v>
      </c>
      <c r="V690" s="17"/>
      <c r="W690" s="17"/>
      <c r="X690" s="16" t="s">
        <v>4506</v>
      </c>
      <c r="Y690" s="16" t="s">
        <v>3150</v>
      </c>
      <c r="Z690" s="16" t="s">
        <v>3760</v>
      </c>
      <c r="AA690" s="17"/>
      <c r="AB690" s="17"/>
    </row>
    <row r="691">
      <c r="A691" s="16">
        <f t="shared" si="2"/>
        <v>690</v>
      </c>
      <c r="B691" s="16" t="s">
        <v>1824</v>
      </c>
      <c r="C691" s="16">
        <v>6.0022272E7</v>
      </c>
      <c r="D691" s="16" t="s">
        <v>1825</v>
      </c>
      <c r="E691" s="16" t="s">
        <v>3106</v>
      </c>
      <c r="F691" s="16" t="s">
        <v>10</v>
      </c>
      <c r="G691" s="16" t="s">
        <v>4492</v>
      </c>
      <c r="H691" s="16" t="s">
        <v>12</v>
      </c>
      <c r="I691" s="16" t="s">
        <v>3396</v>
      </c>
      <c r="J691" s="16" t="s">
        <v>13</v>
      </c>
      <c r="K691" s="16" t="s">
        <v>1805</v>
      </c>
      <c r="L691" s="154">
        <v>45423.0</v>
      </c>
      <c r="M691" s="16">
        <f t="shared" si="1"/>
        <v>2</v>
      </c>
      <c r="N691" s="16">
        <v>4.50001784E9</v>
      </c>
      <c r="O691" s="16" t="s">
        <v>2557</v>
      </c>
      <c r="Q691" s="153"/>
      <c r="R691" s="16" t="s">
        <v>4500</v>
      </c>
      <c r="S691" s="16" t="s">
        <v>3673</v>
      </c>
      <c r="T691" s="16" t="s">
        <v>2876</v>
      </c>
      <c r="U691" s="16" t="s">
        <v>4495</v>
      </c>
      <c r="V691" s="17"/>
      <c r="W691" s="17"/>
      <c r="X691" s="16" t="s">
        <v>2876</v>
      </c>
      <c r="Y691" s="16" t="s">
        <v>3150</v>
      </c>
      <c r="Z691" s="16" t="s">
        <v>3760</v>
      </c>
      <c r="AA691" s="17"/>
      <c r="AB691" s="17"/>
    </row>
    <row r="692">
      <c r="A692" s="16">
        <f t="shared" si="2"/>
        <v>691</v>
      </c>
      <c r="B692" s="16" t="s">
        <v>1826</v>
      </c>
      <c r="C692" s="16">
        <v>6.0022273E7</v>
      </c>
      <c r="D692" s="16" t="s">
        <v>1827</v>
      </c>
      <c r="E692" s="16" t="s">
        <v>3106</v>
      </c>
      <c r="F692" s="16" t="s">
        <v>10</v>
      </c>
      <c r="G692" s="16" t="s">
        <v>4492</v>
      </c>
      <c r="H692" s="16" t="s">
        <v>12</v>
      </c>
      <c r="I692" s="16" t="s">
        <v>3396</v>
      </c>
      <c r="J692" s="16" t="s">
        <v>13</v>
      </c>
      <c r="K692" s="16" t="s">
        <v>1805</v>
      </c>
      <c r="L692" s="154">
        <v>45423.0</v>
      </c>
      <c r="M692" s="16">
        <f t="shared" si="1"/>
        <v>2</v>
      </c>
      <c r="N692" s="16">
        <v>4.50001784E9</v>
      </c>
      <c r="O692" s="16" t="s">
        <v>2557</v>
      </c>
      <c r="Q692" s="153"/>
      <c r="R692" s="16" t="s">
        <v>4507</v>
      </c>
      <c r="S692" s="16" t="s">
        <v>3673</v>
      </c>
      <c r="T692" s="16" t="s">
        <v>4508</v>
      </c>
      <c r="U692" s="16" t="s">
        <v>4495</v>
      </c>
      <c r="V692" s="17"/>
      <c r="W692" s="17"/>
      <c r="X692" s="16" t="s">
        <v>4508</v>
      </c>
      <c r="Y692" s="16" t="s">
        <v>3150</v>
      </c>
      <c r="Z692" s="16" t="s">
        <v>3760</v>
      </c>
      <c r="AA692" s="17"/>
      <c r="AB692" s="17"/>
    </row>
    <row r="693">
      <c r="A693" s="16">
        <f t="shared" si="2"/>
        <v>692</v>
      </c>
      <c r="B693" s="16" t="s">
        <v>1828</v>
      </c>
      <c r="C693" s="16">
        <v>6.0022274E7</v>
      </c>
      <c r="D693" s="16" t="s">
        <v>1829</v>
      </c>
      <c r="E693" s="16" t="s">
        <v>3106</v>
      </c>
      <c r="F693" s="16" t="s">
        <v>10</v>
      </c>
      <c r="G693" s="16" t="s">
        <v>4492</v>
      </c>
      <c r="H693" s="16" t="s">
        <v>12</v>
      </c>
      <c r="I693" s="16" t="s">
        <v>3396</v>
      </c>
      <c r="J693" s="16" t="s">
        <v>13</v>
      </c>
      <c r="K693" s="16" t="s">
        <v>1805</v>
      </c>
      <c r="L693" s="154">
        <v>45423.0</v>
      </c>
      <c r="M693" s="16">
        <f t="shared" si="1"/>
        <v>2</v>
      </c>
      <c r="N693" s="16">
        <v>4.50001784E9</v>
      </c>
      <c r="O693" s="16" t="s">
        <v>2557</v>
      </c>
      <c r="Q693" s="153"/>
      <c r="R693" s="16" t="s">
        <v>4500</v>
      </c>
      <c r="S693" s="16" t="s">
        <v>3673</v>
      </c>
      <c r="T693" s="16" t="s">
        <v>4509</v>
      </c>
      <c r="U693" s="16" t="s">
        <v>4495</v>
      </c>
      <c r="V693" s="17"/>
      <c r="W693" s="17"/>
      <c r="X693" s="16" t="s">
        <v>4509</v>
      </c>
      <c r="Y693" s="16" t="s">
        <v>3150</v>
      </c>
      <c r="Z693" s="16" t="s">
        <v>3760</v>
      </c>
      <c r="AA693" s="17"/>
      <c r="AB693" s="17"/>
    </row>
    <row r="694">
      <c r="A694" s="16">
        <f t="shared" si="2"/>
        <v>693</v>
      </c>
      <c r="B694" s="16" t="s">
        <v>1830</v>
      </c>
      <c r="C694" s="16">
        <v>6.0022275E7</v>
      </c>
      <c r="D694" s="16" t="s">
        <v>1831</v>
      </c>
      <c r="E694" s="16" t="s">
        <v>3106</v>
      </c>
      <c r="F694" s="16" t="s">
        <v>10</v>
      </c>
      <c r="G694" s="16" t="s">
        <v>4492</v>
      </c>
      <c r="H694" s="16" t="s">
        <v>12</v>
      </c>
      <c r="I694" s="16" t="s">
        <v>3396</v>
      </c>
      <c r="J694" s="16" t="s">
        <v>13</v>
      </c>
      <c r="K694" s="16" t="s">
        <v>1805</v>
      </c>
      <c r="L694" s="154">
        <v>45423.0</v>
      </c>
      <c r="M694" s="16">
        <f t="shared" si="1"/>
        <v>2</v>
      </c>
      <c r="N694" s="16">
        <v>4.50001784E9</v>
      </c>
      <c r="O694" s="16" t="s">
        <v>2557</v>
      </c>
      <c r="Q694" s="153"/>
      <c r="R694" s="17"/>
      <c r="S694" s="16" t="s">
        <v>3673</v>
      </c>
      <c r="T694" s="16" t="s">
        <v>4510</v>
      </c>
      <c r="U694" s="16" t="s">
        <v>4495</v>
      </c>
      <c r="V694" s="17"/>
      <c r="W694" s="17"/>
      <c r="X694" s="16" t="s">
        <v>4510</v>
      </c>
      <c r="Y694" s="16" t="s">
        <v>3150</v>
      </c>
      <c r="Z694" s="16" t="s">
        <v>3760</v>
      </c>
      <c r="AA694" s="17"/>
      <c r="AB694" s="17"/>
    </row>
    <row r="695">
      <c r="A695" s="16">
        <f t="shared" si="2"/>
        <v>694</v>
      </c>
      <c r="B695" s="16" t="s">
        <v>1832</v>
      </c>
      <c r="C695" s="16" t="s">
        <v>1833</v>
      </c>
      <c r="D695" s="16" t="s">
        <v>1834</v>
      </c>
      <c r="E695" s="16" t="s">
        <v>3106</v>
      </c>
      <c r="F695" s="16" t="s">
        <v>10</v>
      </c>
      <c r="G695" s="16" t="s">
        <v>3715</v>
      </c>
      <c r="H695" s="16" t="s">
        <v>12</v>
      </c>
      <c r="I695" s="17"/>
      <c r="J695" s="16" t="s">
        <v>13</v>
      </c>
      <c r="K695" s="16" t="s">
        <v>93</v>
      </c>
      <c r="L695" s="154">
        <v>44152.0</v>
      </c>
      <c r="M695" s="16">
        <f t="shared" si="1"/>
        <v>6</v>
      </c>
      <c r="N695" s="17"/>
      <c r="O695" s="16" t="s">
        <v>4480</v>
      </c>
      <c r="Q695" s="153"/>
      <c r="R695" s="122">
        <v>45962.0</v>
      </c>
      <c r="S695" s="16" t="s">
        <v>3671</v>
      </c>
      <c r="T695" s="17"/>
      <c r="U695" s="17"/>
      <c r="V695" s="17"/>
      <c r="W695" s="17"/>
      <c r="X695" s="17"/>
      <c r="Y695" s="17"/>
      <c r="Z695" s="17"/>
      <c r="AA695" s="17"/>
      <c r="AB695" s="17"/>
    </row>
    <row r="696">
      <c r="A696" s="16">
        <f t="shared" si="2"/>
        <v>695</v>
      </c>
      <c r="B696" s="17"/>
      <c r="C696" s="16">
        <v>6.001977E7</v>
      </c>
      <c r="D696" s="16" t="s">
        <v>1835</v>
      </c>
      <c r="E696" s="16" t="s">
        <v>3106</v>
      </c>
      <c r="F696" s="16" t="s">
        <v>10</v>
      </c>
      <c r="G696" s="16" t="s">
        <v>3787</v>
      </c>
      <c r="H696" s="16" t="s">
        <v>1836</v>
      </c>
      <c r="I696" s="17"/>
      <c r="J696" s="16" t="s">
        <v>36</v>
      </c>
      <c r="K696" s="16" t="s">
        <v>214</v>
      </c>
      <c r="L696" s="154">
        <v>44848.0</v>
      </c>
      <c r="M696" s="16">
        <f t="shared" si="1"/>
        <v>4</v>
      </c>
      <c r="N696" s="17"/>
      <c r="O696" s="16" t="s">
        <v>12</v>
      </c>
      <c r="Q696" s="153"/>
      <c r="R696" s="140"/>
      <c r="S696" s="16" t="s">
        <v>3671</v>
      </c>
      <c r="T696" s="17"/>
      <c r="U696" s="17"/>
      <c r="V696" s="17"/>
      <c r="W696" s="17"/>
      <c r="X696" s="17"/>
      <c r="Y696" s="16" t="s">
        <v>4323</v>
      </c>
      <c r="Z696" s="17"/>
      <c r="AA696" s="17"/>
      <c r="AB696" s="17"/>
    </row>
    <row r="697">
      <c r="A697" s="16">
        <f t="shared" si="2"/>
        <v>696</v>
      </c>
      <c r="B697" s="17"/>
      <c r="C697" s="16">
        <v>6.0020897E7</v>
      </c>
      <c r="D697" s="16" t="s">
        <v>1837</v>
      </c>
      <c r="E697" s="16" t="s">
        <v>3106</v>
      </c>
      <c r="F697" s="16" t="s">
        <v>10</v>
      </c>
      <c r="G697" s="16" t="s">
        <v>4489</v>
      </c>
      <c r="H697" s="16" t="s">
        <v>12</v>
      </c>
      <c r="I697" s="16" t="s">
        <v>3396</v>
      </c>
      <c r="J697" s="16" t="s">
        <v>13</v>
      </c>
      <c r="K697" s="16" t="s">
        <v>1774</v>
      </c>
      <c r="L697" s="154">
        <v>45118.0</v>
      </c>
      <c r="M697" s="16">
        <f t="shared" si="1"/>
        <v>3</v>
      </c>
      <c r="N697" s="16">
        <v>4.500013694E9</v>
      </c>
      <c r="O697" s="16" t="s">
        <v>2557</v>
      </c>
      <c r="Q697" s="153"/>
      <c r="R697" s="118">
        <v>45676.0</v>
      </c>
      <c r="S697" s="16" t="s">
        <v>3671</v>
      </c>
      <c r="T697" s="17"/>
      <c r="U697" s="17"/>
      <c r="V697" s="17"/>
      <c r="W697" s="17"/>
      <c r="X697" s="17"/>
      <c r="Y697" s="16" t="s">
        <v>2991</v>
      </c>
      <c r="Z697" s="17"/>
      <c r="AA697" s="17"/>
      <c r="AB697" s="17"/>
    </row>
    <row r="698">
      <c r="A698" s="16">
        <f t="shared" si="2"/>
        <v>697</v>
      </c>
      <c r="B698" s="17"/>
      <c r="C698" s="16" t="s">
        <v>1838</v>
      </c>
      <c r="D698" s="16" t="s">
        <v>1839</v>
      </c>
      <c r="E698" s="16" t="s">
        <v>3106</v>
      </c>
      <c r="F698" s="16" t="s">
        <v>10</v>
      </c>
      <c r="G698" s="16" t="s">
        <v>4486</v>
      </c>
      <c r="H698" s="16" t="s">
        <v>1476</v>
      </c>
      <c r="I698" s="17"/>
      <c r="J698" s="16" t="s">
        <v>13</v>
      </c>
      <c r="K698" s="16" t="s">
        <v>1746</v>
      </c>
      <c r="L698" s="154">
        <v>44243.0</v>
      </c>
      <c r="M698" s="16">
        <f t="shared" si="1"/>
        <v>5</v>
      </c>
      <c r="N698" s="17"/>
      <c r="O698" s="16" t="s">
        <v>3542</v>
      </c>
      <c r="Q698" s="153"/>
      <c r="R698" s="17"/>
      <c r="S698" s="16" t="s">
        <v>3671</v>
      </c>
      <c r="T698" s="17"/>
      <c r="U698" s="17"/>
      <c r="V698" s="17"/>
      <c r="W698" s="17"/>
      <c r="X698" s="17"/>
      <c r="Y698" s="17"/>
      <c r="Z698" s="17"/>
      <c r="AA698" s="17"/>
      <c r="AB698" s="17"/>
    </row>
    <row r="699">
      <c r="A699" s="16">
        <f t="shared" si="2"/>
        <v>698</v>
      </c>
      <c r="B699" s="17"/>
      <c r="C699" s="16" t="s">
        <v>1840</v>
      </c>
      <c r="D699" s="16" t="s">
        <v>1841</v>
      </c>
      <c r="E699" s="16" t="s">
        <v>3106</v>
      </c>
      <c r="F699" s="16" t="s">
        <v>10</v>
      </c>
      <c r="G699" s="16" t="s">
        <v>3715</v>
      </c>
      <c r="H699" s="16" t="s">
        <v>1476</v>
      </c>
      <c r="I699" s="17"/>
      <c r="J699" s="16" t="s">
        <v>13</v>
      </c>
      <c r="K699" s="16" t="s">
        <v>93</v>
      </c>
      <c r="L699" s="154">
        <v>44243.0</v>
      </c>
      <c r="M699" s="16">
        <f t="shared" si="1"/>
        <v>5</v>
      </c>
      <c r="N699" s="17"/>
      <c r="O699" s="16" t="s">
        <v>3542</v>
      </c>
      <c r="Q699" s="153"/>
      <c r="R699" s="17"/>
      <c r="S699" s="16" t="s">
        <v>3671</v>
      </c>
      <c r="T699" s="17"/>
      <c r="U699" s="17"/>
      <c r="V699" s="17"/>
      <c r="W699" s="17"/>
      <c r="X699" s="17"/>
      <c r="Y699" s="17"/>
      <c r="Z699" s="17"/>
      <c r="AA699" s="17"/>
      <c r="AB699" s="17"/>
    </row>
    <row r="700">
      <c r="A700" s="16">
        <f t="shared" si="2"/>
        <v>699</v>
      </c>
      <c r="B700" s="17"/>
      <c r="C700" s="16" t="s">
        <v>1842</v>
      </c>
      <c r="D700" s="16" t="s">
        <v>1843</v>
      </c>
      <c r="E700" s="16" t="s">
        <v>3106</v>
      </c>
      <c r="F700" s="16" t="s">
        <v>10</v>
      </c>
      <c r="G700" s="16" t="s">
        <v>4511</v>
      </c>
      <c r="H700" s="16" t="s">
        <v>1476</v>
      </c>
      <c r="I700" s="17"/>
      <c r="J700" s="16" t="s">
        <v>13</v>
      </c>
      <c r="K700" s="16" t="s">
        <v>1844</v>
      </c>
      <c r="L700" s="154">
        <v>44243.0</v>
      </c>
      <c r="M700" s="16">
        <f t="shared" si="1"/>
        <v>5</v>
      </c>
      <c r="N700" s="17"/>
      <c r="O700" s="16" t="s">
        <v>3542</v>
      </c>
      <c r="Q700" s="153"/>
      <c r="R700" s="17"/>
      <c r="S700" s="16" t="s">
        <v>3671</v>
      </c>
      <c r="T700" s="17"/>
      <c r="U700" s="17"/>
      <c r="V700" s="17"/>
      <c r="W700" s="17"/>
      <c r="X700" s="17"/>
      <c r="Y700" s="17"/>
      <c r="Z700" s="17"/>
      <c r="AA700" s="17"/>
      <c r="AB700" s="17"/>
    </row>
    <row r="701">
      <c r="A701" s="16">
        <f t="shared" si="2"/>
        <v>700</v>
      </c>
      <c r="B701" s="17"/>
      <c r="C701" s="16" t="s">
        <v>1845</v>
      </c>
      <c r="D701" s="16" t="s">
        <v>1846</v>
      </c>
      <c r="E701" s="16" t="s">
        <v>3106</v>
      </c>
      <c r="F701" s="16" t="s">
        <v>10</v>
      </c>
      <c r="G701" s="16" t="s">
        <v>4486</v>
      </c>
      <c r="H701" s="16" t="s">
        <v>1476</v>
      </c>
      <c r="I701" s="17"/>
      <c r="J701" s="16" t="s">
        <v>13</v>
      </c>
      <c r="K701" s="16" t="s">
        <v>1746</v>
      </c>
      <c r="L701" s="154">
        <v>44243.0</v>
      </c>
      <c r="M701" s="16">
        <f t="shared" si="1"/>
        <v>5</v>
      </c>
      <c r="N701" s="17"/>
      <c r="O701" s="16" t="s">
        <v>3542</v>
      </c>
      <c r="Q701" s="153"/>
      <c r="R701" s="17"/>
      <c r="S701" s="16" t="s">
        <v>3671</v>
      </c>
      <c r="T701" s="17"/>
      <c r="U701" s="17"/>
      <c r="V701" s="17"/>
      <c r="W701" s="17"/>
      <c r="X701" s="17"/>
      <c r="Y701" s="17"/>
      <c r="Z701" s="17"/>
      <c r="AA701" s="17"/>
      <c r="AB701" s="17"/>
    </row>
    <row r="702">
      <c r="A702" s="16">
        <f t="shared" si="2"/>
        <v>701</v>
      </c>
      <c r="B702" s="17"/>
      <c r="C702" s="16" t="s">
        <v>1847</v>
      </c>
      <c r="D702" s="16" t="s">
        <v>1848</v>
      </c>
      <c r="E702" s="16" t="s">
        <v>3106</v>
      </c>
      <c r="F702" s="16" t="s">
        <v>10</v>
      </c>
      <c r="G702" s="16" t="s">
        <v>4512</v>
      </c>
      <c r="H702" s="16" t="s">
        <v>1476</v>
      </c>
      <c r="I702" s="17"/>
      <c r="J702" s="16" t="s">
        <v>13</v>
      </c>
      <c r="K702" s="16" t="s">
        <v>1849</v>
      </c>
      <c r="L702" s="154">
        <v>44105.0</v>
      </c>
      <c r="M702" s="16">
        <f t="shared" si="1"/>
        <v>6</v>
      </c>
      <c r="N702" s="17"/>
      <c r="O702" s="16" t="s">
        <v>3542</v>
      </c>
      <c r="Q702" s="153"/>
      <c r="R702" s="17"/>
      <c r="S702" s="16" t="s">
        <v>3671</v>
      </c>
      <c r="T702" s="17"/>
      <c r="U702" s="17"/>
      <c r="V702" s="17"/>
      <c r="W702" s="17"/>
      <c r="X702" s="17"/>
      <c r="Y702" s="17"/>
      <c r="Z702" s="17"/>
      <c r="AA702" s="17"/>
      <c r="AB702" s="17"/>
    </row>
    <row r="703">
      <c r="A703" s="16">
        <f t="shared" si="2"/>
        <v>702</v>
      </c>
      <c r="B703" s="17"/>
      <c r="C703" s="16" t="s">
        <v>1850</v>
      </c>
      <c r="D703" s="16" t="s">
        <v>1851</v>
      </c>
      <c r="E703" s="16" t="s">
        <v>3106</v>
      </c>
      <c r="F703" s="16" t="s">
        <v>10</v>
      </c>
      <c r="G703" s="16" t="s">
        <v>3669</v>
      </c>
      <c r="H703" s="16" t="s">
        <v>1476</v>
      </c>
      <c r="I703" s="17"/>
      <c r="J703" s="16" t="s">
        <v>13</v>
      </c>
      <c r="K703" s="16" t="s">
        <v>11</v>
      </c>
      <c r="L703" s="154">
        <v>44182.0</v>
      </c>
      <c r="M703" s="16">
        <f t="shared" si="1"/>
        <v>6</v>
      </c>
      <c r="N703" s="17"/>
      <c r="O703" s="16" t="s">
        <v>3542</v>
      </c>
      <c r="Q703" s="153"/>
      <c r="R703" s="17"/>
      <c r="S703" s="16" t="s">
        <v>3671</v>
      </c>
      <c r="T703" s="17"/>
      <c r="U703" s="17"/>
      <c r="V703" s="17"/>
      <c r="W703" s="17"/>
      <c r="X703" s="17"/>
      <c r="Y703" s="17"/>
      <c r="Z703" s="17"/>
      <c r="AA703" s="17"/>
      <c r="AB703" s="17"/>
    </row>
    <row r="704">
      <c r="A704" s="16">
        <f t="shared" si="2"/>
        <v>703</v>
      </c>
      <c r="B704" s="17"/>
      <c r="C704" s="16" t="s">
        <v>1852</v>
      </c>
      <c r="D704" s="16" t="s">
        <v>1853</v>
      </c>
      <c r="E704" s="16" t="s">
        <v>3106</v>
      </c>
      <c r="F704" s="16" t="s">
        <v>10</v>
      </c>
      <c r="G704" s="16" t="s">
        <v>3669</v>
      </c>
      <c r="H704" s="16" t="s">
        <v>1476</v>
      </c>
      <c r="I704" s="17"/>
      <c r="J704" s="16" t="s">
        <v>13</v>
      </c>
      <c r="K704" s="16" t="s">
        <v>11</v>
      </c>
      <c r="L704" s="154">
        <v>44182.0</v>
      </c>
      <c r="M704" s="16">
        <f t="shared" si="1"/>
        <v>6</v>
      </c>
      <c r="N704" s="17"/>
      <c r="O704" s="16" t="s">
        <v>3542</v>
      </c>
      <c r="Q704" s="153"/>
      <c r="R704" s="17"/>
      <c r="S704" s="16" t="s">
        <v>3671</v>
      </c>
      <c r="T704" s="17"/>
      <c r="U704" s="17"/>
      <c r="V704" s="17"/>
      <c r="W704" s="17"/>
      <c r="X704" s="17"/>
      <c r="Y704" s="17"/>
      <c r="Z704" s="17"/>
      <c r="AA704" s="17"/>
      <c r="AB704" s="17"/>
    </row>
    <row r="705">
      <c r="A705" s="16">
        <f t="shared" si="2"/>
        <v>704</v>
      </c>
      <c r="B705" s="17"/>
      <c r="C705" s="16">
        <v>6.0020898E7</v>
      </c>
      <c r="D705" s="16" t="s">
        <v>1854</v>
      </c>
      <c r="E705" s="16" t="s">
        <v>3106</v>
      </c>
      <c r="F705" s="16" t="s">
        <v>10</v>
      </c>
      <c r="G705" s="16" t="s">
        <v>4513</v>
      </c>
      <c r="H705" s="16" t="s">
        <v>12</v>
      </c>
      <c r="I705" s="16" t="s">
        <v>3396</v>
      </c>
      <c r="J705" s="16" t="s">
        <v>13</v>
      </c>
      <c r="K705" s="16" t="s">
        <v>1855</v>
      </c>
      <c r="L705" s="123">
        <v>45237.0</v>
      </c>
      <c r="M705" s="16">
        <f t="shared" si="1"/>
        <v>3</v>
      </c>
      <c r="N705" s="16">
        <v>4.500013694E9</v>
      </c>
      <c r="O705" s="17"/>
      <c r="Q705" s="153"/>
      <c r="R705" s="118">
        <v>45676.0</v>
      </c>
      <c r="S705" s="17"/>
      <c r="T705" s="17"/>
      <c r="U705" s="16" t="s">
        <v>4514</v>
      </c>
      <c r="V705" s="17"/>
      <c r="W705" s="17"/>
      <c r="X705" s="17"/>
      <c r="Y705" s="17"/>
      <c r="Z705" s="17"/>
      <c r="AA705" s="17"/>
      <c r="AB705" s="17"/>
    </row>
    <row r="706">
      <c r="A706" s="16">
        <f t="shared" si="2"/>
        <v>705</v>
      </c>
      <c r="B706" s="17"/>
      <c r="C706" s="16">
        <v>6.0020899E7</v>
      </c>
      <c r="D706" s="16" t="s">
        <v>1856</v>
      </c>
      <c r="E706" s="16" t="s">
        <v>3106</v>
      </c>
      <c r="F706" s="16" t="s">
        <v>10</v>
      </c>
      <c r="G706" s="16" t="s">
        <v>4513</v>
      </c>
      <c r="H706" s="16" t="s">
        <v>1836</v>
      </c>
      <c r="I706" s="16" t="s">
        <v>3396</v>
      </c>
      <c r="J706" s="16" t="s">
        <v>13</v>
      </c>
      <c r="K706" s="16" t="s">
        <v>1855</v>
      </c>
      <c r="L706" s="123">
        <v>45237.0</v>
      </c>
      <c r="M706" s="16">
        <f t="shared" si="1"/>
        <v>3</v>
      </c>
      <c r="N706" s="16">
        <v>4.500013694E9</v>
      </c>
      <c r="O706" s="17"/>
      <c r="Q706" s="153"/>
      <c r="R706" s="140"/>
      <c r="S706" s="17"/>
      <c r="T706" s="17"/>
      <c r="U706" s="16" t="s">
        <v>4514</v>
      </c>
      <c r="V706" s="17"/>
      <c r="W706" s="17"/>
      <c r="X706" s="17"/>
      <c r="Y706" s="17"/>
      <c r="Z706" s="17"/>
      <c r="AA706" s="17"/>
      <c r="AB706" s="17"/>
    </row>
    <row r="707">
      <c r="A707" s="16">
        <f t="shared" si="2"/>
        <v>706</v>
      </c>
      <c r="B707" s="17"/>
      <c r="C707" s="16">
        <v>6.00209E7</v>
      </c>
      <c r="D707" s="16" t="s">
        <v>1857</v>
      </c>
      <c r="E707" s="16" t="s">
        <v>3106</v>
      </c>
      <c r="F707" s="16" t="s">
        <v>10</v>
      </c>
      <c r="G707" s="16" t="s">
        <v>4513</v>
      </c>
      <c r="H707" s="16" t="s">
        <v>12</v>
      </c>
      <c r="I707" s="16" t="s">
        <v>3396</v>
      </c>
      <c r="J707" s="16" t="s">
        <v>13</v>
      </c>
      <c r="K707" s="16" t="s">
        <v>1855</v>
      </c>
      <c r="L707" s="123">
        <v>45237.0</v>
      </c>
      <c r="M707" s="16">
        <f t="shared" si="1"/>
        <v>3</v>
      </c>
      <c r="N707" s="16">
        <v>4.500013694E9</v>
      </c>
      <c r="O707" s="17"/>
      <c r="Q707" s="153"/>
      <c r="R707" s="118">
        <v>45676.0</v>
      </c>
      <c r="S707" s="17"/>
      <c r="T707" s="17"/>
      <c r="U707" s="16" t="s">
        <v>4514</v>
      </c>
      <c r="V707" s="17"/>
      <c r="W707" s="17"/>
      <c r="X707" s="17"/>
      <c r="Y707" s="17"/>
      <c r="Z707" s="17"/>
      <c r="AA707" s="17"/>
      <c r="AB707" s="17"/>
    </row>
    <row r="708">
      <c r="A708" s="16">
        <f t="shared" si="2"/>
        <v>707</v>
      </c>
      <c r="B708" s="16" t="s">
        <v>1858</v>
      </c>
      <c r="C708" s="16">
        <v>6.0020914E7</v>
      </c>
      <c r="D708" s="16" t="s">
        <v>1859</v>
      </c>
      <c r="E708" s="16" t="s">
        <v>3106</v>
      </c>
      <c r="F708" s="16" t="s">
        <v>10</v>
      </c>
      <c r="G708" s="16" t="s">
        <v>4513</v>
      </c>
      <c r="H708" s="16" t="s">
        <v>12</v>
      </c>
      <c r="I708" s="16" t="s">
        <v>3396</v>
      </c>
      <c r="J708" s="16" t="s">
        <v>13</v>
      </c>
      <c r="K708" s="16" t="s">
        <v>1855</v>
      </c>
      <c r="L708" s="123">
        <v>45266.0</v>
      </c>
      <c r="M708" s="16">
        <f t="shared" si="1"/>
        <v>3</v>
      </c>
      <c r="N708" s="16">
        <v>4.500013875E9</v>
      </c>
      <c r="O708" s="17"/>
      <c r="Q708" s="153"/>
      <c r="R708" s="17"/>
      <c r="S708" s="17"/>
      <c r="T708" s="17"/>
      <c r="U708" s="16" t="s">
        <v>3988</v>
      </c>
      <c r="V708" s="17"/>
      <c r="W708" s="17"/>
      <c r="X708" s="16" t="s">
        <v>4515</v>
      </c>
      <c r="Y708" s="16" t="s">
        <v>3988</v>
      </c>
      <c r="Z708" s="16" t="s">
        <v>3760</v>
      </c>
      <c r="AA708" s="17"/>
      <c r="AB708" s="17"/>
    </row>
    <row r="709">
      <c r="A709" s="16">
        <f t="shared" si="2"/>
        <v>708</v>
      </c>
      <c r="B709" s="16" t="s">
        <v>1860</v>
      </c>
      <c r="C709" s="16">
        <v>6.0020915E7</v>
      </c>
      <c r="D709" s="16" t="s">
        <v>1861</v>
      </c>
      <c r="E709" s="16" t="s">
        <v>3106</v>
      </c>
      <c r="F709" s="16" t="s">
        <v>10</v>
      </c>
      <c r="G709" s="16" t="s">
        <v>4513</v>
      </c>
      <c r="H709" s="16" t="s">
        <v>12</v>
      </c>
      <c r="I709" s="16" t="s">
        <v>3396</v>
      </c>
      <c r="J709" s="16" t="s">
        <v>13</v>
      </c>
      <c r="K709" s="16" t="s">
        <v>1855</v>
      </c>
      <c r="L709" s="123">
        <v>45266.0</v>
      </c>
      <c r="M709" s="16">
        <f t="shared" si="1"/>
        <v>3</v>
      </c>
      <c r="N709" s="16">
        <v>4.500013875E9</v>
      </c>
      <c r="O709" s="17"/>
      <c r="Q709" s="153"/>
      <c r="R709" s="17"/>
      <c r="S709" s="17"/>
      <c r="T709" s="17"/>
      <c r="U709" s="16" t="s">
        <v>3988</v>
      </c>
      <c r="V709" s="17"/>
      <c r="W709" s="17"/>
      <c r="X709" s="16" t="s">
        <v>4516</v>
      </c>
      <c r="Y709" s="16" t="s">
        <v>3150</v>
      </c>
      <c r="Z709" s="16" t="s">
        <v>3760</v>
      </c>
      <c r="AA709" s="17"/>
      <c r="AB709" s="17"/>
    </row>
    <row r="710">
      <c r="A710" s="16">
        <f t="shared" si="2"/>
        <v>709</v>
      </c>
      <c r="B710" s="16" t="s">
        <v>1862</v>
      </c>
      <c r="C710" s="16">
        <v>6.0020916E7</v>
      </c>
      <c r="D710" s="16" t="s">
        <v>1863</v>
      </c>
      <c r="E710" s="16" t="s">
        <v>3106</v>
      </c>
      <c r="F710" s="16" t="s">
        <v>10</v>
      </c>
      <c r="G710" s="16" t="s">
        <v>4513</v>
      </c>
      <c r="H710" s="16" t="s">
        <v>12</v>
      </c>
      <c r="I710" s="16" t="s">
        <v>3396</v>
      </c>
      <c r="J710" s="16" t="s">
        <v>13</v>
      </c>
      <c r="K710" s="16" t="s">
        <v>1855</v>
      </c>
      <c r="L710" s="123">
        <v>45266.0</v>
      </c>
      <c r="M710" s="16">
        <f t="shared" si="1"/>
        <v>3</v>
      </c>
      <c r="N710" s="16">
        <v>4.500013875E9</v>
      </c>
      <c r="O710" s="17"/>
      <c r="Q710" s="153"/>
      <c r="R710" s="17"/>
      <c r="S710" s="17"/>
      <c r="T710" s="17"/>
      <c r="U710" s="16" t="s">
        <v>3988</v>
      </c>
      <c r="V710" s="17"/>
      <c r="W710" s="17"/>
      <c r="X710" s="16" t="s">
        <v>4517</v>
      </c>
      <c r="Y710" s="16" t="s">
        <v>3150</v>
      </c>
      <c r="Z710" s="16" t="s">
        <v>3760</v>
      </c>
      <c r="AA710" s="17"/>
      <c r="AB710" s="17"/>
    </row>
    <row r="711">
      <c r="A711" s="16">
        <f t="shared" si="2"/>
        <v>710</v>
      </c>
      <c r="B711" s="17"/>
      <c r="C711" s="16">
        <v>6.0021411E7</v>
      </c>
      <c r="D711" s="16" t="s">
        <v>1864</v>
      </c>
      <c r="E711" s="16" t="s">
        <v>3106</v>
      </c>
      <c r="F711" s="16" t="s">
        <v>10</v>
      </c>
      <c r="G711" s="16" t="s">
        <v>4518</v>
      </c>
      <c r="H711" s="16" t="s">
        <v>12</v>
      </c>
      <c r="I711" s="16" t="s">
        <v>4491</v>
      </c>
      <c r="J711" s="16" t="s">
        <v>36</v>
      </c>
      <c r="K711" s="16" t="s">
        <v>1719</v>
      </c>
      <c r="L711" s="123">
        <v>45398.0</v>
      </c>
      <c r="M711" s="16">
        <f t="shared" si="1"/>
        <v>2</v>
      </c>
      <c r="N711" s="16">
        <v>4.50001443E8</v>
      </c>
      <c r="O711" s="17"/>
      <c r="Q711" s="153"/>
      <c r="R711" s="17"/>
      <c r="S711" s="17"/>
      <c r="T711" s="17"/>
      <c r="U711" s="16" t="s">
        <v>2968</v>
      </c>
      <c r="V711" s="17"/>
      <c r="W711" s="17"/>
      <c r="X711" s="16" t="s">
        <v>4519</v>
      </c>
      <c r="Y711" s="16" t="s">
        <v>3171</v>
      </c>
      <c r="Z711" s="17"/>
      <c r="AA711" s="17"/>
      <c r="AB711" s="17"/>
    </row>
    <row r="712">
      <c r="A712" s="16">
        <f t="shared" si="2"/>
        <v>711</v>
      </c>
      <c r="B712" s="17"/>
      <c r="C712" s="16">
        <v>6.0021416E7</v>
      </c>
      <c r="D712" s="16" t="s">
        <v>1865</v>
      </c>
      <c r="E712" s="16" t="s">
        <v>3106</v>
      </c>
      <c r="F712" s="16" t="s">
        <v>10</v>
      </c>
      <c r="G712" s="16" t="s">
        <v>4518</v>
      </c>
      <c r="H712" s="16" t="s">
        <v>12</v>
      </c>
      <c r="I712" s="16" t="s">
        <v>4491</v>
      </c>
      <c r="J712" s="16" t="s">
        <v>36</v>
      </c>
      <c r="K712" s="16" t="s">
        <v>1719</v>
      </c>
      <c r="L712" s="123">
        <v>45398.0</v>
      </c>
      <c r="M712" s="16">
        <f t="shared" si="1"/>
        <v>2</v>
      </c>
      <c r="N712" s="16">
        <v>4.50001443E8</v>
      </c>
      <c r="O712" s="17"/>
      <c r="Q712" s="153"/>
      <c r="R712" s="17"/>
      <c r="S712" s="17"/>
      <c r="T712" s="17"/>
      <c r="U712" s="16" t="s">
        <v>3732</v>
      </c>
      <c r="V712" s="17"/>
      <c r="W712" s="17"/>
      <c r="X712" s="16" t="s">
        <v>4520</v>
      </c>
      <c r="Y712" s="17"/>
      <c r="Z712" s="17"/>
      <c r="AA712" s="17"/>
      <c r="AB712" s="17"/>
    </row>
    <row r="713">
      <c r="A713" s="16">
        <f t="shared" si="2"/>
        <v>712</v>
      </c>
      <c r="B713" s="17"/>
      <c r="C713" s="16">
        <v>6.0021417E7</v>
      </c>
      <c r="D713" s="16" t="s">
        <v>1866</v>
      </c>
      <c r="E713" s="16" t="s">
        <v>3106</v>
      </c>
      <c r="F713" s="16" t="s">
        <v>10</v>
      </c>
      <c r="G713" s="16" t="s">
        <v>4518</v>
      </c>
      <c r="H713" s="16" t="s">
        <v>12</v>
      </c>
      <c r="I713" s="16" t="s">
        <v>4491</v>
      </c>
      <c r="J713" s="16" t="s">
        <v>36</v>
      </c>
      <c r="K713" s="16" t="s">
        <v>1719</v>
      </c>
      <c r="L713" s="123">
        <v>45398.0</v>
      </c>
      <c r="M713" s="16">
        <f t="shared" si="1"/>
        <v>2</v>
      </c>
      <c r="N713" s="16">
        <v>4.50001443E8</v>
      </c>
      <c r="O713" s="17"/>
      <c r="Q713" s="153"/>
      <c r="R713" s="17"/>
      <c r="S713" s="17"/>
      <c r="T713" s="17"/>
      <c r="U713" s="16" t="s">
        <v>3732</v>
      </c>
      <c r="V713" s="17"/>
      <c r="W713" s="17"/>
      <c r="X713" s="16" t="s">
        <v>4521</v>
      </c>
      <c r="Y713" s="17"/>
      <c r="Z713" s="17"/>
      <c r="AA713" s="17"/>
      <c r="AB713" s="17"/>
    </row>
    <row r="714">
      <c r="A714" s="16">
        <f t="shared" si="2"/>
        <v>713</v>
      </c>
      <c r="B714" s="17"/>
      <c r="C714" s="16">
        <v>6.0021425E7</v>
      </c>
      <c r="D714" s="16" t="s">
        <v>1867</v>
      </c>
      <c r="E714" s="16" t="s">
        <v>3106</v>
      </c>
      <c r="F714" s="16" t="s">
        <v>10</v>
      </c>
      <c r="G714" s="16" t="s">
        <v>4518</v>
      </c>
      <c r="H714" s="16" t="s">
        <v>17</v>
      </c>
      <c r="I714" s="16" t="s">
        <v>4491</v>
      </c>
      <c r="J714" s="16" t="s">
        <v>36</v>
      </c>
      <c r="K714" s="16" t="s">
        <v>1719</v>
      </c>
      <c r="L714" s="123">
        <v>45398.0</v>
      </c>
      <c r="M714" s="16">
        <f t="shared" si="1"/>
        <v>2</v>
      </c>
      <c r="N714" s="16">
        <v>4.50001443E8</v>
      </c>
      <c r="O714" s="17"/>
      <c r="Q714" s="153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6" t="s">
        <v>2669</v>
      </c>
    </row>
    <row r="715">
      <c r="A715" s="16">
        <f t="shared" si="2"/>
        <v>714</v>
      </c>
      <c r="B715" s="17"/>
      <c r="C715" s="16">
        <v>6.0021426E7</v>
      </c>
      <c r="D715" s="16" t="s">
        <v>1868</v>
      </c>
      <c r="E715" s="16" t="s">
        <v>3106</v>
      </c>
      <c r="F715" s="16" t="s">
        <v>10</v>
      </c>
      <c r="G715" s="16" t="s">
        <v>4518</v>
      </c>
      <c r="H715" s="16" t="s">
        <v>17</v>
      </c>
      <c r="I715" s="16" t="s">
        <v>4491</v>
      </c>
      <c r="J715" s="16" t="s">
        <v>36</v>
      </c>
      <c r="K715" s="16" t="s">
        <v>1719</v>
      </c>
      <c r="L715" s="123">
        <v>45398.0</v>
      </c>
      <c r="M715" s="16">
        <f t="shared" si="1"/>
        <v>2</v>
      </c>
      <c r="N715" s="16">
        <v>4.50001443E8</v>
      </c>
      <c r="O715" s="17"/>
      <c r="Q715" s="153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6" t="s">
        <v>2669</v>
      </c>
    </row>
    <row r="716">
      <c r="A716" s="16">
        <f t="shared" si="2"/>
        <v>715</v>
      </c>
      <c r="B716" s="17"/>
      <c r="C716" s="16">
        <v>6.0021427E7</v>
      </c>
      <c r="D716" s="16" t="s">
        <v>1869</v>
      </c>
      <c r="E716" s="16" t="s">
        <v>3106</v>
      </c>
      <c r="F716" s="16" t="s">
        <v>10</v>
      </c>
      <c r="G716" s="16" t="s">
        <v>4518</v>
      </c>
      <c r="H716" s="16" t="s">
        <v>17</v>
      </c>
      <c r="I716" s="16" t="s">
        <v>4491</v>
      </c>
      <c r="J716" s="16" t="s">
        <v>36</v>
      </c>
      <c r="K716" s="16" t="s">
        <v>1719</v>
      </c>
      <c r="L716" s="123">
        <v>45398.0</v>
      </c>
      <c r="M716" s="16">
        <f t="shared" si="1"/>
        <v>2</v>
      </c>
      <c r="N716" s="16">
        <v>4.50001443E8</v>
      </c>
      <c r="O716" s="17"/>
      <c r="Q716" s="153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6" t="s">
        <v>2669</v>
      </c>
    </row>
    <row r="717">
      <c r="A717" s="16">
        <f t="shared" si="2"/>
        <v>716</v>
      </c>
      <c r="B717" s="17"/>
      <c r="C717" s="16">
        <v>6.0021777E7</v>
      </c>
      <c r="D717" s="16" t="s">
        <v>1870</v>
      </c>
      <c r="E717" s="16" t="s">
        <v>3106</v>
      </c>
      <c r="F717" s="16" t="s">
        <v>10</v>
      </c>
      <c r="G717" s="16" t="s">
        <v>4513</v>
      </c>
      <c r="H717" s="16" t="s">
        <v>12</v>
      </c>
      <c r="I717" s="16" t="s">
        <v>3396</v>
      </c>
      <c r="J717" s="16" t="s">
        <v>13</v>
      </c>
      <c r="K717" s="16" t="s">
        <v>1855</v>
      </c>
      <c r="L717" s="123">
        <v>45489.0</v>
      </c>
      <c r="M717" s="16">
        <f t="shared" si="1"/>
        <v>2</v>
      </c>
      <c r="N717" s="16">
        <v>4.500015094E9</v>
      </c>
      <c r="O717" s="17"/>
      <c r="Q717" s="153"/>
      <c r="R717" s="17"/>
      <c r="S717" s="17"/>
      <c r="T717" s="17"/>
      <c r="U717" s="16" t="s">
        <v>4522</v>
      </c>
      <c r="V717" s="17"/>
      <c r="W717" s="17"/>
      <c r="X717" s="16" t="s">
        <v>4400</v>
      </c>
      <c r="Y717" s="17"/>
      <c r="Z717" s="17"/>
      <c r="AA717" s="17"/>
      <c r="AB717" s="17"/>
    </row>
    <row r="718">
      <c r="A718" s="16">
        <f t="shared" si="2"/>
        <v>717</v>
      </c>
      <c r="B718" s="17"/>
      <c r="C718" s="16">
        <v>6.0021778E7</v>
      </c>
      <c r="D718" s="16" t="s">
        <v>1871</v>
      </c>
      <c r="E718" s="16" t="s">
        <v>3106</v>
      </c>
      <c r="F718" s="16" t="s">
        <v>10</v>
      </c>
      <c r="G718" s="16" t="s">
        <v>4513</v>
      </c>
      <c r="H718" s="16" t="s">
        <v>12</v>
      </c>
      <c r="I718" s="16" t="s">
        <v>3396</v>
      </c>
      <c r="J718" s="16" t="s">
        <v>13</v>
      </c>
      <c r="K718" s="16" t="s">
        <v>1855</v>
      </c>
      <c r="L718" s="123">
        <v>45489.0</v>
      </c>
      <c r="M718" s="16">
        <f t="shared" si="1"/>
        <v>2</v>
      </c>
      <c r="N718" s="16">
        <v>4.500015094E9</v>
      </c>
      <c r="O718" s="17"/>
      <c r="Q718" s="153"/>
      <c r="R718" s="17"/>
      <c r="S718" s="17"/>
      <c r="T718" s="17"/>
      <c r="U718" s="16" t="s">
        <v>4522</v>
      </c>
      <c r="V718" s="17"/>
      <c r="W718" s="17"/>
      <c r="X718" s="16" t="s">
        <v>4523</v>
      </c>
      <c r="Y718" s="17"/>
      <c r="Z718" s="17"/>
      <c r="AA718" s="17"/>
      <c r="AB718" s="17"/>
    </row>
    <row r="719">
      <c r="A719" s="16">
        <f t="shared" si="2"/>
        <v>718</v>
      </c>
      <c r="B719" s="17"/>
      <c r="C719" s="16">
        <v>6.0021779E7</v>
      </c>
      <c r="D719" s="16" t="s">
        <v>1872</v>
      </c>
      <c r="E719" s="16" t="s">
        <v>3106</v>
      </c>
      <c r="F719" s="16" t="s">
        <v>10</v>
      </c>
      <c r="G719" s="16" t="s">
        <v>4513</v>
      </c>
      <c r="H719" s="16" t="s">
        <v>12</v>
      </c>
      <c r="I719" s="16" t="s">
        <v>3396</v>
      </c>
      <c r="J719" s="16" t="s">
        <v>13</v>
      </c>
      <c r="K719" s="16" t="s">
        <v>1855</v>
      </c>
      <c r="L719" s="123">
        <v>45489.0</v>
      </c>
      <c r="M719" s="16">
        <f t="shared" si="1"/>
        <v>2</v>
      </c>
      <c r="N719" s="16">
        <v>4.500015094E9</v>
      </c>
      <c r="O719" s="17"/>
      <c r="Q719" s="153"/>
      <c r="R719" s="17"/>
      <c r="S719" s="17"/>
      <c r="T719" s="17"/>
      <c r="U719" s="16" t="s">
        <v>4524</v>
      </c>
      <c r="V719" s="17"/>
      <c r="W719" s="17"/>
      <c r="X719" s="16" t="s">
        <v>4525</v>
      </c>
      <c r="Y719" s="16" t="s">
        <v>3171</v>
      </c>
      <c r="Z719" s="17"/>
      <c r="AA719" s="17"/>
      <c r="AB719" s="17"/>
    </row>
    <row r="720">
      <c r="A720" s="16">
        <f t="shared" si="2"/>
        <v>719</v>
      </c>
      <c r="B720" s="17"/>
      <c r="C720" s="16">
        <v>6.002178E7</v>
      </c>
      <c r="D720" s="16" t="s">
        <v>1873</v>
      </c>
      <c r="E720" s="16" t="s">
        <v>3106</v>
      </c>
      <c r="F720" s="16" t="s">
        <v>10</v>
      </c>
      <c r="G720" s="16" t="s">
        <v>4513</v>
      </c>
      <c r="H720" s="16" t="s">
        <v>12</v>
      </c>
      <c r="I720" s="16" t="s">
        <v>3396</v>
      </c>
      <c r="J720" s="16" t="s">
        <v>13</v>
      </c>
      <c r="K720" s="16" t="s">
        <v>1855</v>
      </c>
      <c r="L720" s="123">
        <v>45489.0</v>
      </c>
      <c r="M720" s="16">
        <f t="shared" si="1"/>
        <v>2</v>
      </c>
      <c r="N720" s="16">
        <v>4.500015094E9</v>
      </c>
      <c r="O720" s="17"/>
      <c r="Q720" s="153"/>
      <c r="R720" s="17"/>
      <c r="S720" s="17"/>
      <c r="T720" s="17"/>
      <c r="U720" s="16" t="s">
        <v>4524</v>
      </c>
      <c r="V720" s="17"/>
      <c r="W720" s="17"/>
      <c r="X720" s="16" t="s">
        <v>4526</v>
      </c>
      <c r="Y720" s="16" t="s">
        <v>3171</v>
      </c>
      <c r="Z720" s="17"/>
      <c r="AA720" s="17"/>
      <c r="AB720" s="17"/>
    </row>
    <row r="721">
      <c r="A721" s="16">
        <f t="shared" si="2"/>
        <v>720</v>
      </c>
      <c r="B721" s="17"/>
      <c r="C721" s="16">
        <v>6.0021781E7</v>
      </c>
      <c r="D721" s="16" t="s">
        <v>1874</v>
      </c>
      <c r="E721" s="16" t="s">
        <v>3106</v>
      </c>
      <c r="F721" s="16" t="s">
        <v>10</v>
      </c>
      <c r="G721" s="16" t="s">
        <v>4513</v>
      </c>
      <c r="H721" s="16" t="s">
        <v>12</v>
      </c>
      <c r="I721" s="16" t="s">
        <v>3396</v>
      </c>
      <c r="J721" s="16" t="s">
        <v>13</v>
      </c>
      <c r="K721" s="16" t="s">
        <v>1855</v>
      </c>
      <c r="L721" s="123">
        <v>45489.0</v>
      </c>
      <c r="M721" s="16">
        <f t="shared" si="1"/>
        <v>2</v>
      </c>
      <c r="N721" s="16">
        <v>4.500015094E9</v>
      </c>
      <c r="O721" s="17"/>
      <c r="Q721" s="153"/>
      <c r="R721" s="118">
        <v>45676.0</v>
      </c>
      <c r="S721" s="17"/>
      <c r="T721" s="17"/>
      <c r="U721" s="16" t="s">
        <v>4514</v>
      </c>
      <c r="V721" s="17"/>
      <c r="W721" s="17"/>
      <c r="X721" s="17"/>
      <c r="Y721" s="17"/>
      <c r="Z721" s="17"/>
      <c r="AA721" s="17"/>
      <c r="AB721" s="17"/>
    </row>
    <row r="722">
      <c r="A722" s="16">
        <f t="shared" si="2"/>
        <v>721</v>
      </c>
      <c r="B722" s="17"/>
      <c r="C722" s="16">
        <v>6.0021782E7</v>
      </c>
      <c r="D722" s="16" t="s">
        <v>1875</v>
      </c>
      <c r="E722" s="16" t="s">
        <v>3106</v>
      </c>
      <c r="F722" s="16" t="s">
        <v>10</v>
      </c>
      <c r="G722" s="16" t="s">
        <v>4513</v>
      </c>
      <c r="H722" s="16" t="s">
        <v>12</v>
      </c>
      <c r="I722" s="16" t="s">
        <v>3396</v>
      </c>
      <c r="J722" s="16" t="s">
        <v>13</v>
      </c>
      <c r="K722" s="16" t="s">
        <v>1855</v>
      </c>
      <c r="L722" s="123">
        <v>45489.0</v>
      </c>
      <c r="M722" s="16">
        <f t="shared" si="1"/>
        <v>2</v>
      </c>
      <c r="N722" s="16">
        <v>4.500015094E9</v>
      </c>
      <c r="O722" s="17"/>
      <c r="Q722" s="153"/>
      <c r="R722" s="118">
        <v>45676.0</v>
      </c>
      <c r="S722" s="17"/>
      <c r="T722" s="17"/>
      <c r="U722" s="16" t="s">
        <v>4514</v>
      </c>
      <c r="V722" s="17"/>
      <c r="W722" s="17"/>
      <c r="X722" s="17"/>
      <c r="Y722" s="17"/>
      <c r="Z722" s="17"/>
      <c r="AA722" s="17"/>
      <c r="AB722" s="17"/>
    </row>
    <row r="723">
      <c r="A723" s="16">
        <f t="shared" si="2"/>
        <v>722</v>
      </c>
      <c r="B723" s="17"/>
      <c r="C723" s="16">
        <v>6.0021783E7</v>
      </c>
      <c r="D723" s="16" t="s">
        <v>1876</v>
      </c>
      <c r="E723" s="16" t="s">
        <v>3106</v>
      </c>
      <c r="F723" s="16" t="s">
        <v>10</v>
      </c>
      <c r="G723" s="16" t="s">
        <v>4513</v>
      </c>
      <c r="H723" s="16" t="s">
        <v>12</v>
      </c>
      <c r="I723" s="16" t="s">
        <v>3396</v>
      </c>
      <c r="J723" s="16" t="s">
        <v>13</v>
      </c>
      <c r="K723" s="16" t="s">
        <v>1855</v>
      </c>
      <c r="L723" s="123">
        <v>45489.0</v>
      </c>
      <c r="M723" s="16">
        <f t="shared" si="1"/>
        <v>2</v>
      </c>
      <c r="N723" s="16">
        <v>4.500015094E9</v>
      </c>
      <c r="O723" s="17"/>
      <c r="Q723" s="153"/>
      <c r="R723" s="118">
        <v>45676.0</v>
      </c>
      <c r="S723" s="17"/>
      <c r="T723" s="17"/>
      <c r="U723" s="16" t="s">
        <v>4514</v>
      </c>
      <c r="V723" s="17"/>
      <c r="W723" s="17"/>
      <c r="X723" s="17"/>
      <c r="Y723" s="17"/>
      <c r="Z723" s="17"/>
      <c r="AA723" s="17"/>
      <c r="AB723" s="17"/>
    </row>
    <row r="724">
      <c r="A724" s="16">
        <f t="shared" si="2"/>
        <v>723</v>
      </c>
      <c r="B724" s="17"/>
      <c r="C724" s="16">
        <v>6.0021784E7</v>
      </c>
      <c r="D724" s="16" t="s">
        <v>1877</v>
      </c>
      <c r="E724" s="16" t="s">
        <v>3106</v>
      </c>
      <c r="F724" s="16" t="s">
        <v>10</v>
      </c>
      <c r="G724" s="16" t="s">
        <v>4513</v>
      </c>
      <c r="H724" s="16" t="s">
        <v>12</v>
      </c>
      <c r="I724" s="16" t="s">
        <v>3396</v>
      </c>
      <c r="J724" s="16" t="s">
        <v>13</v>
      </c>
      <c r="K724" s="16" t="s">
        <v>1855</v>
      </c>
      <c r="L724" s="123">
        <v>45489.0</v>
      </c>
      <c r="M724" s="16">
        <f t="shared" si="1"/>
        <v>2</v>
      </c>
      <c r="N724" s="16">
        <v>4.500015094E9</v>
      </c>
      <c r="O724" s="17"/>
      <c r="Q724" s="153"/>
      <c r="R724" s="118">
        <v>45676.0</v>
      </c>
      <c r="S724" s="17"/>
      <c r="T724" s="17"/>
      <c r="U724" s="16" t="s">
        <v>4514</v>
      </c>
      <c r="V724" s="17"/>
      <c r="W724" s="17"/>
      <c r="X724" s="17"/>
      <c r="Y724" s="17"/>
      <c r="Z724" s="17"/>
      <c r="AA724" s="17"/>
      <c r="AB724" s="17"/>
    </row>
    <row r="725">
      <c r="A725" s="16">
        <f t="shared" si="2"/>
        <v>724</v>
      </c>
      <c r="B725" s="17"/>
      <c r="C725" s="16" t="s">
        <v>1878</v>
      </c>
      <c r="D725" s="16" t="s">
        <v>1879</v>
      </c>
      <c r="E725" s="16" t="s">
        <v>3106</v>
      </c>
      <c r="F725" s="16" t="s">
        <v>10</v>
      </c>
      <c r="G725" s="16" t="s">
        <v>775</v>
      </c>
      <c r="H725" s="16" t="s">
        <v>12</v>
      </c>
      <c r="I725" s="17"/>
      <c r="J725" s="16" t="s">
        <v>79</v>
      </c>
      <c r="K725" s="16" t="s">
        <v>775</v>
      </c>
      <c r="L725" s="16" t="s">
        <v>3128</v>
      </c>
      <c r="M725" s="16" t="str">
        <f t="shared" si="1"/>
        <v>#VALUE!</v>
      </c>
      <c r="N725" s="17"/>
      <c r="O725" s="17"/>
      <c r="Q725" s="153"/>
      <c r="R725" s="17"/>
      <c r="S725" s="17"/>
      <c r="T725" s="17"/>
      <c r="U725" s="17"/>
      <c r="V725" s="17"/>
      <c r="W725" s="17"/>
      <c r="X725" s="16" t="s">
        <v>4527</v>
      </c>
      <c r="Y725" s="16" t="s">
        <v>3165</v>
      </c>
      <c r="Z725" s="16" t="s">
        <v>3734</v>
      </c>
      <c r="AA725" s="17"/>
      <c r="AB725" s="17"/>
    </row>
    <row r="726">
      <c r="A726" s="16">
        <f t="shared" si="2"/>
        <v>725</v>
      </c>
      <c r="B726" s="17"/>
      <c r="C726" s="16" t="s">
        <v>1880</v>
      </c>
      <c r="D726" s="16" t="s">
        <v>1881</v>
      </c>
      <c r="E726" s="16" t="s">
        <v>3106</v>
      </c>
      <c r="F726" s="16" t="s">
        <v>10</v>
      </c>
      <c r="G726" s="16" t="s">
        <v>3715</v>
      </c>
      <c r="H726" s="16" t="s">
        <v>17</v>
      </c>
      <c r="I726" s="17"/>
      <c r="J726" s="16" t="s">
        <v>13</v>
      </c>
      <c r="K726" s="16" t="s">
        <v>93</v>
      </c>
      <c r="L726" s="154">
        <v>44105.0</v>
      </c>
      <c r="M726" s="16">
        <f t="shared" si="1"/>
        <v>6</v>
      </c>
      <c r="N726" s="17"/>
      <c r="O726" s="17"/>
      <c r="Q726" s="153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>
      <c r="A727" s="16">
        <f t="shared" si="2"/>
        <v>726</v>
      </c>
      <c r="B727" s="17"/>
      <c r="C727" s="16" t="s">
        <v>1882</v>
      </c>
      <c r="D727" s="16" t="s">
        <v>1883</v>
      </c>
      <c r="E727" s="16" t="s">
        <v>3106</v>
      </c>
      <c r="F727" s="16" t="s">
        <v>10</v>
      </c>
      <c r="G727" s="16" t="s">
        <v>3715</v>
      </c>
      <c r="H727" s="16" t="s">
        <v>17</v>
      </c>
      <c r="I727" s="17"/>
      <c r="J727" s="16" t="s">
        <v>13</v>
      </c>
      <c r="K727" s="16" t="s">
        <v>93</v>
      </c>
      <c r="L727" s="154">
        <v>44243.0</v>
      </c>
      <c r="M727" s="16">
        <f t="shared" si="1"/>
        <v>5</v>
      </c>
      <c r="N727" s="17"/>
      <c r="O727" s="17"/>
      <c r="Q727" s="153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>
      <c r="A728" s="16">
        <f t="shared" si="2"/>
        <v>727</v>
      </c>
      <c r="B728" s="16" t="s">
        <v>1884</v>
      </c>
      <c r="C728" s="16" t="s">
        <v>1885</v>
      </c>
      <c r="D728" s="16" t="s">
        <v>1886</v>
      </c>
      <c r="E728" s="16" t="s">
        <v>3106</v>
      </c>
      <c r="F728" s="16" t="s">
        <v>10</v>
      </c>
      <c r="G728" s="16" t="s">
        <v>3715</v>
      </c>
      <c r="H728" s="16" t="s">
        <v>12</v>
      </c>
      <c r="I728" s="17"/>
      <c r="J728" s="16" t="s">
        <v>13</v>
      </c>
      <c r="K728" s="16" t="s">
        <v>93</v>
      </c>
      <c r="L728" s="154">
        <v>44090.0</v>
      </c>
      <c r="M728" s="16">
        <f t="shared" si="1"/>
        <v>6</v>
      </c>
      <c r="N728" s="17"/>
      <c r="O728" s="16" t="s">
        <v>3612</v>
      </c>
      <c r="Q728" s="153"/>
      <c r="R728" s="118">
        <v>45977.0</v>
      </c>
      <c r="S728" s="16" t="s">
        <v>3671</v>
      </c>
      <c r="T728" s="17"/>
      <c r="U728" s="17"/>
      <c r="V728" s="17"/>
      <c r="W728" s="17"/>
      <c r="X728" s="17"/>
      <c r="Y728" s="16" t="s">
        <v>3165</v>
      </c>
      <c r="Z728" s="16" t="s">
        <v>3681</v>
      </c>
      <c r="AA728" s="17"/>
      <c r="AB728" s="16" t="s">
        <v>4216</v>
      </c>
    </row>
    <row r="729">
      <c r="A729" s="16">
        <f t="shared" si="2"/>
        <v>728</v>
      </c>
      <c r="B729" s="16" t="s">
        <v>1887</v>
      </c>
      <c r="C729" s="17"/>
      <c r="D729" s="155" t="s">
        <v>1872</v>
      </c>
      <c r="E729" s="156"/>
      <c r="F729" s="16" t="s">
        <v>10</v>
      </c>
      <c r="G729" s="16" t="s">
        <v>3715</v>
      </c>
      <c r="H729" s="16" t="s">
        <v>12</v>
      </c>
      <c r="I729" s="16" t="s">
        <v>3396</v>
      </c>
      <c r="J729" s="16" t="s">
        <v>13</v>
      </c>
      <c r="K729" s="16" t="s">
        <v>93</v>
      </c>
      <c r="L729" s="17"/>
      <c r="M729" s="17"/>
      <c r="N729" s="17"/>
      <c r="O729" s="17"/>
      <c r="Q729" s="153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>
      <c r="A730" s="16">
        <f t="shared" si="2"/>
        <v>729</v>
      </c>
      <c r="B730" s="16" t="s">
        <v>1888</v>
      </c>
      <c r="C730" s="17"/>
      <c r="D730" s="16" t="s">
        <v>1889</v>
      </c>
      <c r="E730" s="17"/>
      <c r="F730" s="16" t="s">
        <v>10</v>
      </c>
      <c r="G730" s="17"/>
      <c r="H730" s="17"/>
      <c r="I730" s="17"/>
      <c r="J730" s="17"/>
      <c r="K730" s="17"/>
      <c r="L730" s="118">
        <v>45783.0</v>
      </c>
      <c r="M730" s="17"/>
      <c r="N730" s="17"/>
      <c r="O730" s="17"/>
      <c r="Q730" s="153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>
      <c r="A731" s="16">
        <f t="shared" si="2"/>
        <v>730</v>
      </c>
      <c r="B731" s="16" t="s">
        <v>1890</v>
      </c>
      <c r="C731" s="17"/>
      <c r="D731" s="16" t="s">
        <v>1891</v>
      </c>
      <c r="E731" s="17"/>
      <c r="F731" s="16" t="s">
        <v>10</v>
      </c>
      <c r="G731" s="17"/>
      <c r="H731" s="17"/>
      <c r="I731" s="17"/>
      <c r="J731" s="17"/>
      <c r="K731" s="17"/>
      <c r="L731" s="118">
        <v>45783.0</v>
      </c>
      <c r="M731" s="17"/>
      <c r="N731" s="17"/>
      <c r="O731" s="17"/>
      <c r="Q731" s="153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>
      <c r="A732" s="16">
        <f t="shared" si="2"/>
        <v>731</v>
      </c>
      <c r="B732" s="16" t="s">
        <v>1892</v>
      </c>
      <c r="C732" s="17"/>
      <c r="D732" s="16" t="s">
        <v>1893</v>
      </c>
      <c r="E732" s="17"/>
      <c r="F732" s="16" t="s">
        <v>10</v>
      </c>
      <c r="G732" s="17"/>
      <c r="H732" s="17"/>
      <c r="I732" s="17"/>
      <c r="J732" s="17"/>
      <c r="K732" s="17"/>
      <c r="L732" s="118">
        <v>45783.0</v>
      </c>
      <c r="M732" s="17"/>
      <c r="N732" s="17"/>
      <c r="O732" s="17"/>
      <c r="Q732" s="153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>
      <c r="A733" s="16">
        <f t="shared" si="2"/>
        <v>732</v>
      </c>
      <c r="B733" s="16" t="s">
        <v>1894</v>
      </c>
      <c r="C733" s="17"/>
      <c r="D733" s="16" t="s">
        <v>1895</v>
      </c>
      <c r="E733" s="17"/>
      <c r="F733" s="16" t="s">
        <v>10</v>
      </c>
      <c r="G733" s="17"/>
      <c r="H733" s="17"/>
      <c r="I733" s="17"/>
      <c r="J733" s="17"/>
      <c r="K733" s="17"/>
      <c r="L733" s="118">
        <v>45783.0</v>
      </c>
      <c r="M733" s="17"/>
      <c r="N733" s="17"/>
      <c r="O733" s="17"/>
      <c r="Q733" s="153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>
      <c r="A734" s="16">
        <f t="shared" si="2"/>
        <v>733</v>
      </c>
      <c r="B734" s="16" t="s">
        <v>1896</v>
      </c>
      <c r="C734" s="17"/>
      <c r="D734" s="16" t="s">
        <v>1897</v>
      </c>
      <c r="E734" s="17"/>
      <c r="F734" s="16" t="s">
        <v>10</v>
      </c>
      <c r="G734" s="17"/>
      <c r="H734" s="17"/>
      <c r="I734" s="17"/>
      <c r="J734" s="17"/>
      <c r="K734" s="17"/>
      <c r="L734" s="118">
        <v>45783.0</v>
      </c>
      <c r="M734" s="17"/>
      <c r="N734" s="17"/>
      <c r="O734" s="17"/>
      <c r="Q734" s="153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>
      <c r="A735" s="16">
        <f t="shared" si="2"/>
        <v>734</v>
      </c>
      <c r="B735" s="16" t="s">
        <v>1898</v>
      </c>
      <c r="C735" s="17"/>
      <c r="D735" s="16" t="s">
        <v>1899</v>
      </c>
      <c r="E735" s="17"/>
      <c r="F735" s="16" t="s">
        <v>10</v>
      </c>
      <c r="G735" s="17"/>
      <c r="H735" s="17"/>
      <c r="I735" s="17"/>
      <c r="J735" s="17"/>
      <c r="K735" s="17"/>
      <c r="L735" s="118">
        <v>45783.0</v>
      </c>
      <c r="M735" s="17"/>
      <c r="N735" s="17"/>
      <c r="O735" s="17"/>
      <c r="Q735" s="153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>
      <c r="A736" s="16">
        <f t="shared" si="2"/>
        <v>735</v>
      </c>
      <c r="B736" s="16" t="s">
        <v>1900</v>
      </c>
      <c r="C736" s="17"/>
      <c r="D736" s="16" t="s">
        <v>1901</v>
      </c>
      <c r="E736" s="17"/>
      <c r="F736" s="16" t="s">
        <v>10</v>
      </c>
      <c r="G736" s="17"/>
      <c r="H736" s="17"/>
      <c r="I736" s="17"/>
      <c r="J736" s="17"/>
      <c r="K736" s="17"/>
      <c r="L736" s="118">
        <v>45783.0</v>
      </c>
      <c r="M736" s="17"/>
      <c r="N736" s="17"/>
      <c r="O736" s="17"/>
      <c r="Q736" s="153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>
      <c r="A737" s="16">
        <f t="shared" si="2"/>
        <v>736</v>
      </c>
      <c r="B737" s="16" t="s">
        <v>1902</v>
      </c>
      <c r="C737" s="17"/>
      <c r="D737" s="16" t="s">
        <v>1903</v>
      </c>
      <c r="E737" s="17"/>
      <c r="F737" s="16" t="s">
        <v>10</v>
      </c>
      <c r="G737" s="17"/>
      <c r="H737" s="17"/>
      <c r="I737" s="17"/>
      <c r="J737" s="17"/>
      <c r="K737" s="17"/>
      <c r="L737" s="118">
        <v>45783.0</v>
      </c>
      <c r="M737" s="17"/>
      <c r="N737" s="17"/>
      <c r="O737" s="17"/>
      <c r="Q737" s="153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>
      <c r="A738" s="16">
        <f t="shared" si="2"/>
        <v>737</v>
      </c>
      <c r="B738" s="16" t="s">
        <v>1803</v>
      </c>
      <c r="C738" s="17"/>
      <c r="D738" s="16" t="s">
        <v>1804</v>
      </c>
      <c r="E738" s="17"/>
      <c r="F738" s="16" t="s">
        <v>10</v>
      </c>
      <c r="G738" s="17"/>
      <c r="H738" s="17"/>
      <c r="I738" s="17"/>
      <c r="J738" s="17"/>
      <c r="K738" s="17"/>
      <c r="L738" s="118">
        <v>45601.0</v>
      </c>
      <c r="M738" s="17"/>
      <c r="N738" s="17"/>
      <c r="O738" s="17"/>
      <c r="Q738" s="153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>
      <c r="A739" s="16">
        <f t="shared" si="2"/>
        <v>738</v>
      </c>
      <c r="B739" s="16" t="s">
        <v>1806</v>
      </c>
      <c r="C739" s="17"/>
      <c r="D739" s="16" t="s">
        <v>1807</v>
      </c>
      <c r="E739" s="17"/>
      <c r="F739" s="16" t="s">
        <v>10</v>
      </c>
      <c r="G739" s="17"/>
      <c r="H739" s="17"/>
      <c r="I739" s="17"/>
      <c r="J739" s="17"/>
      <c r="K739" s="17"/>
      <c r="L739" s="118">
        <v>45601.0</v>
      </c>
      <c r="M739" s="17"/>
      <c r="N739" s="17"/>
      <c r="O739" s="17"/>
      <c r="Q739" s="153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>
      <c r="A740" s="16">
        <f t="shared" si="2"/>
        <v>739</v>
      </c>
      <c r="B740" s="16" t="s">
        <v>1808</v>
      </c>
      <c r="C740" s="17"/>
      <c r="D740" s="16" t="s">
        <v>1809</v>
      </c>
      <c r="E740" s="17"/>
      <c r="F740" s="16" t="s">
        <v>10</v>
      </c>
      <c r="G740" s="17"/>
      <c r="H740" s="17"/>
      <c r="I740" s="17"/>
      <c r="J740" s="17"/>
      <c r="K740" s="17"/>
      <c r="L740" s="118">
        <v>45601.0</v>
      </c>
      <c r="M740" s="17"/>
      <c r="N740" s="17"/>
      <c r="O740" s="17"/>
      <c r="Q740" s="153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>
      <c r="A741" s="16">
        <f t="shared" si="2"/>
        <v>740</v>
      </c>
      <c r="B741" s="16" t="s">
        <v>1810</v>
      </c>
      <c r="C741" s="17"/>
      <c r="D741" s="16" t="s">
        <v>1811</v>
      </c>
      <c r="E741" s="17"/>
      <c r="F741" s="16" t="s">
        <v>10</v>
      </c>
      <c r="G741" s="17"/>
      <c r="H741" s="17"/>
      <c r="I741" s="17"/>
      <c r="J741" s="17"/>
      <c r="K741" s="17"/>
      <c r="L741" s="118">
        <v>45601.0</v>
      </c>
      <c r="M741" s="17"/>
      <c r="N741" s="17"/>
      <c r="O741" s="17"/>
      <c r="Q741" s="153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>
      <c r="A742" s="16">
        <f t="shared" si="2"/>
        <v>741</v>
      </c>
      <c r="B742" s="16" t="s">
        <v>1812</v>
      </c>
      <c r="C742" s="17"/>
      <c r="D742" s="16" t="s">
        <v>1813</v>
      </c>
      <c r="E742" s="17"/>
      <c r="F742" s="16" t="s">
        <v>10</v>
      </c>
      <c r="G742" s="17"/>
      <c r="H742" s="17"/>
      <c r="I742" s="17"/>
      <c r="J742" s="17"/>
      <c r="K742" s="17"/>
      <c r="L742" s="118">
        <v>45601.0</v>
      </c>
      <c r="M742" s="17"/>
      <c r="N742" s="17"/>
      <c r="O742" s="17"/>
      <c r="Q742" s="153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>
      <c r="A743" s="16">
        <f t="shared" si="2"/>
        <v>742</v>
      </c>
      <c r="B743" s="16" t="s">
        <v>1814</v>
      </c>
      <c r="C743" s="17"/>
      <c r="D743" s="16" t="s">
        <v>1815</v>
      </c>
      <c r="E743" s="17"/>
      <c r="F743" s="16" t="s">
        <v>10</v>
      </c>
      <c r="G743" s="17"/>
      <c r="H743" s="17"/>
      <c r="I743" s="17"/>
      <c r="J743" s="17"/>
      <c r="K743" s="17"/>
      <c r="L743" s="118">
        <v>45601.0</v>
      </c>
      <c r="M743" s="17"/>
      <c r="N743" s="17"/>
      <c r="O743" s="17"/>
      <c r="Q743" s="153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>
      <c r="A744" s="16">
        <f t="shared" si="2"/>
        <v>743</v>
      </c>
      <c r="B744" s="16" t="s">
        <v>1816</v>
      </c>
      <c r="C744" s="17"/>
      <c r="D744" s="16" t="s">
        <v>1817</v>
      </c>
      <c r="E744" s="17"/>
      <c r="F744" s="16" t="s">
        <v>10</v>
      </c>
      <c r="G744" s="17"/>
      <c r="H744" s="17"/>
      <c r="I744" s="17"/>
      <c r="J744" s="17"/>
      <c r="K744" s="17"/>
      <c r="L744" s="118">
        <v>45601.0</v>
      </c>
      <c r="M744" s="17"/>
      <c r="N744" s="17"/>
      <c r="O744" s="17"/>
      <c r="Q744" s="153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>
      <c r="A745" s="16">
        <f t="shared" si="2"/>
        <v>744</v>
      </c>
      <c r="B745" s="16" t="s">
        <v>1818</v>
      </c>
      <c r="C745" s="17"/>
      <c r="D745" s="16" t="s">
        <v>1819</v>
      </c>
      <c r="E745" s="17"/>
      <c r="F745" s="16" t="s">
        <v>10</v>
      </c>
      <c r="G745" s="17"/>
      <c r="H745" s="17"/>
      <c r="I745" s="17"/>
      <c r="J745" s="17"/>
      <c r="K745" s="17"/>
      <c r="L745" s="118">
        <v>45601.0</v>
      </c>
      <c r="M745" s="17"/>
      <c r="N745" s="17"/>
      <c r="O745" s="17"/>
      <c r="Q745" s="153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>
      <c r="A746" s="16">
        <f t="shared" si="2"/>
        <v>745</v>
      </c>
      <c r="B746" s="16" t="s">
        <v>1820</v>
      </c>
      <c r="C746" s="17"/>
      <c r="D746" s="16" t="s">
        <v>1821</v>
      </c>
      <c r="E746" s="17"/>
      <c r="F746" s="16" t="s">
        <v>10</v>
      </c>
      <c r="G746" s="17"/>
      <c r="H746" s="17"/>
      <c r="I746" s="17"/>
      <c r="J746" s="17"/>
      <c r="K746" s="17"/>
      <c r="L746" s="118">
        <v>45601.0</v>
      </c>
      <c r="M746" s="17"/>
      <c r="N746" s="17"/>
      <c r="O746" s="17"/>
      <c r="Q746" s="153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>
      <c r="A747" s="16">
        <f t="shared" si="2"/>
        <v>746</v>
      </c>
      <c r="B747" s="16" t="s">
        <v>1822</v>
      </c>
      <c r="C747" s="17"/>
      <c r="D747" s="16" t="s">
        <v>1823</v>
      </c>
      <c r="E747" s="17"/>
      <c r="F747" s="16" t="s">
        <v>10</v>
      </c>
      <c r="G747" s="17"/>
      <c r="H747" s="17"/>
      <c r="I747" s="17"/>
      <c r="J747" s="17"/>
      <c r="K747" s="17"/>
      <c r="L747" s="118">
        <v>45601.0</v>
      </c>
      <c r="M747" s="17"/>
      <c r="N747" s="17"/>
      <c r="O747" s="17"/>
      <c r="Q747" s="153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>
      <c r="A748" s="16">
        <f t="shared" si="2"/>
        <v>747</v>
      </c>
      <c r="B748" s="16" t="s">
        <v>1824</v>
      </c>
      <c r="C748" s="17"/>
      <c r="D748" s="16" t="s">
        <v>1825</v>
      </c>
      <c r="E748" s="17"/>
      <c r="F748" s="16" t="s">
        <v>10</v>
      </c>
      <c r="G748" s="17"/>
      <c r="H748" s="17"/>
      <c r="I748" s="17"/>
      <c r="J748" s="17"/>
      <c r="K748" s="17"/>
      <c r="L748" s="118">
        <v>45601.0</v>
      </c>
      <c r="M748" s="17"/>
      <c r="N748" s="17"/>
      <c r="O748" s="17"/>
      <c r="Q748" s="153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>
      <c r="A749" s="16">
        <f t="shared" si="2"/>
        <v>748</v>
      </c>
      <c r="B749" s="16" t="s">
        <v>1826</v>
      </c>
      <c r="C749" s="17"/>
      <c r="D749" s="16" t="s">
        <v>1827</v>
      </c>
      <c r="E749" s="17"/>
      <c r="F749" s="16" t="s">
        <v>10</v>
      </c>
      <c r="G749" s="17"/>
      <c r="H749" s="17"/>
      <c r="I749" s="17"/>
      <c r="J749" s="17"/>
      <c r="K749" s="17"/>
      <c r="L749" s="118">
        <v>45601.0</v>
      </c>
      <c r="M749" s="17"/>
      <c r="N749" s="17"/>
      <c r="O749" s="17"/>
      <c r="Q749" s="153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>
      <c r="A750" s="16">
        <f t="shared" si="2"/>
        <v>749</v>
      </c>
      <c r="B750" s="16" t="s">
        <v>1828</v>
      </c>
      <c r="C750" s="17"/>
      <c r="D750" s="16" t="s">
        <v>1829</v>
      </c>
      <c r="E750" s="17"/>
      <c r="F750" s="16" t="s">
        <v>10</v>
      </c>
      <c r="G750" s="17"/>
      <c r="H750" s="17"/>
      <c r="I750" s="17"/>
      <c r="J750" s="17"/>
      <c r="K750" s="17"/>
      <c r="L750" s="118">
        <v>45601.0</v>
      </c>
      <c r="M750" s="17"/>
      <c r="N750" s="17"/>
      <c r="O750" s="17"/>
      <c r="Q750" s="153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>
      <c r="A751" s="16">
        <f t="shared" si="2"/>
        <v>750</v>
      </c>
      <c r="B751" s="16" t="s">
        <v>1830</v>
      </c>
      <c r="C751" s="17"/>
      <c r="D751" s="16" t="s">
        <v>1831</v>
      </c>
      <c r="E751" s="17"/>
      <c r="F751" s="16" t="s">
        <v>10</v>
      </c>
      <c r="G751" s="17"/>
      <c r="H751" s="17"/>
      <c r="I751" s="17"/>
      <c r="J751" s="17"/>
      <c r="K751" s="17"/>
      <c r="L751" s="118">
        <v>45601.0</v>
      </c>
      <c r="M751" s="17"/>
      <c r="N751" s="17"/>
      <c r="O751" s="17"/>
      <c r="Q751" s="153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>
      <c r="A752" s="16">
        <f t="shared" si="2"/>
        <v>751</v>
      </c>
      <c r="B752" s="16" t="s">
        <v>1904</v>
      </c>
      <c r="C752" s="17"/>
      <c r="D752" s="16" t="s">
        <v>1870</v>
      </c>
      <c r="E752" s="17"/>
      <c r="F752" s="16" t="s">
        <v>10</v>
      </c>
      <c r="G752" s="17"/>
      <c r="H752" s="17"/>
      <c r="I752" s="17"/>
      <c r="J752" s="17"/>
      <c r="K752" s="17"/>
      <c r="L752" s="118">
        <v>45489.0</v>
      </c>
      <c r="M752" s="17"/>
      <c r="N752" s="17"/>
      <c r="O752" s="17"/>
      <c r="Q752" s="153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>
      <c r="A753" s="16">
        <f t="shared" si="2"/>
        <v>752</v>
      </c>
      <c r="B753" s="16" t="s">
        <v>1905</v>
      </c>
      <c r="C753" s="17"/>
      <c r="D753" s="16" t="s">
        <v>1871</v>
      </c>
      <c r="E753" s="17"/>
      <c r="F753" s="16" t="s">
        <v>10</v>
      </c>
      <c r="G753" s="17"/>
      <c r="H753" s="17"/>
      <c r="I753" s="17"/>
      <c r="J753" s="17"/>
      <c r="K753" s="17"/>
      <c r="L753" s="118">
        <v>45489.0</v>
      </c>
      <c r="M753" s="17"/>
      <c r="N753" s="17"/>
      <c r="O753" s="17"/>
      <c r="Q753" s="153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>
      <c r="A754" s="16">
        <f t="shared" si="2"/>
        <v>753</v>
      </c>
      <c r="B754" s="16" t="s">
        <v>1887</v>
      </c>
      <c r="C754" s="17"/>
      <c r="D754" s="16" t="s">
        <v>1872</v>
      </c>
      <c r="E754" s="17"/>
      <c r="F754" s="16" t="s">
        <v>10</v>
      </c>
      <c r="G754" s="17"/>
      <c r="H754" s="17"/>
      <c r="I754" s="17"/>
      <c r="J754" s="17"/>
      <c r="K754" s="17"/>
      <c r="L754" s="118">
        <v>45489.0</v>
      </c>
      <c r="M754" s="17"/>
      <c r="N754" s="17"/>
      <c r="O754" s="17"/>
      <c r="Q754" s="153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>
      <c r="A755" s="16">
        <f t="shared" si="2"/>
        <v>754</v>
      </c>
      <c r="B755" s="16" t="s">
        <v>1906</v>
      </c>
      <c r="C755" s="17"/>
      <c r="D755" s="16" t="s">
        <v>1873</v>
      </c>
      <c r="E755" s="17"/>
      <c r="F755" s="16" t="s">
        <v>10</v>
      </c>
      <c r="G755" s="17"/>
      <c r="H755" s="17"/>
      <c r="I755" s="17"/>
      <c r="J755" s="17"/>
      <c r="K755" s="17"/>
      <c r="L755" s="118">
        <v>45489.0</v>
      </c>
      <c r="M755" s="17"/>
      <c r="N755" s="17"/>
      <c r="O755" s="17"/>
      <c r="Q755" s="153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>
      <c r="A756" s="16">
        <f t="shared" si="2"/>
        <v>755</v>
      </c>
      <c r="B756" s="16" t="s">
        <v>1907</v>
      </c>
      <c r="C756" s="17"/>
      <c r="D756" s="16" t="s">
        <v>1874</v>
      </c>
      <c r="E756" s="17"/>
      <c r="F756" s="16" t="s">
        <v>10</v>
      </c>
      <c r="G756" s="17"/>
      <c r="H756" s="17"/>
      <c r="I756" s="17"/>
      <c r="J756" s="17"/>
      <c r="K756" s="17"/>
      <c r="L756" s="118">
        <v>45489.0</v>
      </c>
      <c r="M756" s="17"/>
      <c r="N756" s="17"/>
      <c r="O756" s="17"/>
      <c r="Q756" s="153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>
      <c r="A757" s="16">
        <f t="shared" si="2"/>
        <v>756</v>
      </c>
      <c r="B757" s="16" t="s">
        <v>1908</v>
      </c>
      <c r="C757" s="17"/>
      <c r="D757" s="16" t="s">
        <v>1875</v>
      </c>
      <c r="E757" s="17"/>
      <c r="F757" s="16" t="s">
        <v>10</v>
      </c>
      <c r="G757" s="17"/>
      <c r="H757" s="17"/>
      <c r="I757" s="17"/>
      <c r="J757" s="17"/>
      <c r="K757" s="17"/>
      <c r="L757" s="118">
        <v>45489.0</v>
      </c>
      <c r="M757" s="17"/>
      <c r="N757" s="17"/>
      <c r="O757" s="17"/>
      <c r="Q757" s="153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>
      <c r="A758" s="16">
        <f t="shared" si="2"/>
        <v>757</v>
      </c>
      <c r="B758" s="16" t="s">
        <v>1909</v>
      </c>
      <c r="C758" s="17"/>
      <c r="D758" s="16" t="s">
        <v>1876</v>
      </c>
      <c r="E758" s="17"/>
      <c r="F758" s="16" t="s">
        <v>10</v>
      </c>
      <c r="G758" s="17"/>
      <c r="H758" s="17"/>
      <c r="I758" s="17"/>
      <c r="J758" s="17"/>
      <c r="K758" s="17"/>
      <c r="L758" s="118">
        <v>45489.0</v>
      </c>
      <c r="M758" s="17"/>
      <c r="N758" s="17"/>
      <c r="O758" s="17"/>
      <c r="Q758" s="153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>
      <c r="A759" s="16">
        <f t="shared" si="2"/>
        <v>758</v>
      </c>
      <c r="B759" s="16" t="s">
        <v>1910</v>
      </c>
      <c r="C759" s="17"/>
      <c r="D759" s="16" t="s">
        <v>1877</v>
      </c>
      <c r="E759" s="17"/>
      <c r="F759" s="16" t="s">
        <v>10</v>
      </c>
      <c r="G759" s="17"/>
      <c r="H759" s="17"/>
      <c r="I759" s="17"/>
      <c r="J759" s="17"/>
      <c r="K759" s="17"/>
      <c r="L759" s="118">
        <v>45489.0</v>
      </c>
      <c r="M759" s="17"/>
      <c r="N759" s="17"/>
      <c r="O759" s="17"/>
      <c r="Q759" s="153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>
      <c r="A760" s="16">
        <f t="shared" si="2"/>
        <v>759</v>
      </c>
      <c r="B760" s="16" t="s">
        <v>1911</v>
      </c>
      <c r="C760" s="17"/>
      <c r="D760" s="16" t="s">
        <v>1912</v>
      </c>
      <c r="E760" s="17"/>
      <c r="F760" s="16" t="s">
        <v>10</v>
      </c>
      <c r="G760" s="17"/>
      <c r="H760" s="17"/>
      <c r="I760" s="17"/>
      <c r="J760" s="17"/>
      <c r="K760" s="17"/>
      <c r="L760" s="118">
        <v>45398.0</v>
      </c>
      <c r="M760" s="17"/>
      <c r="N760" s="17"/>
      <c r="O760" s="17"/>
      <c r="Q760" s="153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>
      <c r="A761" s="16">
        <f t="shared" si="2"/>
        <v>760</v>
      </c>
      <c r="B761" s="16" t="s">
        <v>1913</v>
      </c>
      <c r="C761" s="17"/>
      <c r="D761" s="16" t="s">
        <v>1914</v>
      </c>
      <c r="E761" s="17"/>
      <c r="F761" s="16" t="s">
        <v>10</v>
      </c>
      <c r="G761" s="17"/>
      <c r="H761" s="17"/>
      <c r="I761" s="17"/>
      <c r="J761" s="17"/>
      <c r="K761" s="17"/>
      <c r="L761" s="118">
        <v>45398.0</v>
      </c>
      <c r="M761" s="17"/>
      <c r="N761" s="17"/>
      <c r="O761" s="17"/>
      <c r="Q761" s="153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>
      <c r="A762" s="16">
        <f t="shared" si="2"/>
        <v>761</v>
      </c>
      <c r="B762" s="16" t="s">
        <v>1915</v>
      </c>
      <c r="C762" s="17"/>
      <c r="D762" s="16" t="s">
        <v>1916</v>
      </c>
      <c r="E762" s="17"/>
      <c r="F762" s="16" t="s">
        <v>10</v>
      </c>
      <c r="G762" s="17"/>
      <c r="H762" s="17"/>
      <c r="I762" s="17"/>
      <c r="J762" s="17"/>
      <c r="K762" s="17"/>
      <c r="L762" s="118">
        <v>45398.0</v>
      </c>
      <c r="M762" s="17"/>
      <c r="N762" s="17"/>
      <c r="O762" s="17"/>
      <c r="Q762" s="153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>
      <c r="A763" s="16">
        <f t="shared" si="2"/>
        <v>762</v>
      </c>
      <c r="B763" s="16" t="s">
        <v>1917</v>
      </c>
      <c r="C763" s="17"/>
      <c r="D763" s="16" t="s">
        <v>1918</v>
      </c>
      <c r="E763" s="17"/>
      <c r="F763" s="16" t="s">
        <v>10</v>
      </c>
      <c r="G763" s="17"/>
      <c r="H763" s="17"/>
      <c r="I763" s="17"/>
      <c r="J763" s="17"/>
      <c r="K763" s="17"/>
      <c r="L763" s="118">
        <v>45398.0</v>
      </c>
      <c r="M763" s="17"/>
      <c r="N763" s="17"/>
      <c r="O763" s="17"/>
      <c r="Q763" s="153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>
      <c r="A764" s="16">
        <f t="shared" si="2"/>
        <v>763</v>
      </c>
      <c r="B764" s="16" t="s">
        <v>1919</v>
      </c>
      <c r="C764" s="17"/>
      <c r="D764" s="16" t="s">
        <v>1920</v>
      </c>
      <c r="E764" s="17"/>
      <c r="F764" s="16" t="s">
        <v>10</v>
      </c>
      <c r="G764" s="17"/>
      <c r="H764" s="17"/>
      <c r="I764" s="17"/>
      <c r="J764" s="17"/>
      <c r="K764" s="17"/>
      <c r="L764" s="118">
        <v>45398.0</v>
      </c>
      <c r="M764" s="17"/>
      <c r="N764" s="17"/>
      <c r="O764" s="17"/>
      <c r="Q764" s="153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>
      <c r="A765" s="16">
        <f t="shared" si="2"/>
        <v>764</v>
      </c>
      <c r="B765" s="16" t="s">
        <v>1921</v>
      </c>
      <c r="C765" s="17"/>
      <c r="D765" s="16" t="s">
        <v>1922</v>
      </c>
      <c r="E765" s="17"/>
      <c r="F765" s="16" t="s">
        <v>10</v>
      </c>
      <c r="G765" s="17"/>
      <c r="H765" s="17"/>
      <c r="I765" s="17"/>
      <c r="J765" s="17"/>
      <c r="K765" s="17"/>
      <c r="L765" s="118">
        <v>45398.0</v>
      </c>
      <c r="M765" s="17"/>
      <c r="N765" s="17"/>
      <c r="O765" s="17"/>
      <c r="Q765" s="153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>
      <c r="A766" s="16">
        <f t="shared" si="2"/>
        <v>765</v>
      </c>
      <c r="B766" s="16" t="s">
        <v>1923</v>
      </c>
      <c r="C766" s="17"/>
      <c r="D766" s="16" t="s">
        <v>1924</v>
      </c>
      <c r="E766" s="17"/>
      <c r="F766" s="16" t="s">
        <v>10</v>
      </c>
      <c r="G766" s="17"/>
      <c r="H766" s="17"/>
      <c r="I766" s="17"/>
      <c r="J766" s="17"/>
      <c r="K766" s="17"/>
      <c r="L766" s="118">
        <v>45398.0</v>
      </c>
      <c r="M766" s="17"/>
      <c r="N766" s="17"/>
      <c r="O766" s="17"/>
      <c r="Q766" s="153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>
      <c r="A767" s="16">
        <f t="shared" si="2"/>
        <v>766</v>
      </c>
      <c r="B767" s="16" t="s">
        <v>1925</v>
      </c>
      <c r="C767" s="17"/>
      <c r="D767" s="16" t="s">
        <v>1926</v>
      </c>
      <c r="E767" s="17"/>
      <c r="F767" s="16" t="s">
        <v>10</v>
      </c>
      <c r="G767" s="17"/>
      <c r="H767" s="17"/>
      <c r="I767" s="17"/>
      <c r="J767" s="17"/>
      <c r="K767" s="17"/>
      <c r="L767" s="118">
        <v>45398.0</v>
      </c>
      <c r="M767" s="17"/>
      <c r="N767" s="17"/>
      <c r="O767" s="17"/>
      <c r="Q767" s="153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>
      <c r="A768" s="16">
        <f t="shared" si="2"/>
        <v>767</v>
      </c>
      <c r="B768" s="16" t="s">
        <v>1927</v>
      </c>
      <c r="C768" s="17"/>
      <c r="D768" s="16" t="s">
        <v>1928</v>
      </c>
      <c r="E768" s="17"/>
      <c r="F768" s="16" t="s">
        <v>10</v>
      </c>
      <c r="G768" s="17"/>
      <c r="H768" s="17"/>
      <c r="I768" s="17"/>
      <c r="J768" s="17"/>
      <c r="K768" s="17"/>
      <c r="L768" s="118">
        <v>45398.0</v>
      </c>
      <c r="M768" s="17"/>
      <c r="N768" s="17"/>
      <c r="O768" s="17"/>
      <c r="Q768" s="153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>
      <c r="A769" s="16">
        <f t="shared" si="2"/>
        <v>768</v>
      </c>
      <c r="B769" s="16" t="s">
        <v>1929</v>
      </c>
      <c r="C769" s="17"/>
      <c r="D769" s="16" t="s">
        <v>1930</v>
      </c>
      <c r="E769" s="17"/>
      <c r="F769" s="16" t="s">
        <v>10</v>
      </c>
      <c r="G769" s="17"/>
      <c r="H769" s="17"/>
      <c r="I769" s="17"/>
      <c r="J769" s="17"/>
      <c r="K769" s="17"/>
      <c r="L769" s="118">
        <v>45398.0</v>
      </c>
      <c r="M769" s="17"/>
      <c r="N769" s="17"/>
      <c r="O769" s="17"/>
      <c r="Q769" s="153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>
      <c r="A770" s="16">
        <f t="shared" si="2"/>
        <v>769</v>
      </c>
      <c r="B770" s="16" t="s">
        <v>1931</v>
      </c>
      <c r="C770" s="17"/>
      <c r="D770" s="16" t="s">
        <v>1932</v>
      </c>
      <c r="E770" s="17"/>
      <c r="F770" s="16" t="s">
        <v>10</v>
      </c>
      <c r="G770" s="17"/>
      <c r="H770" s="17"/>
      <c r="I770" s="17"/>
      <c r="J770" s="17"/>
      <c r="K770" s="17"/>
      <c r="L770" s="118">
        <v>45398.0</v>
      </c>
      <c r="M770" s="17"/>
      <c r="N770" s="17"/>
      <c r="O770" s="17"/>
      <c r="Q770" s="153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>
      <c r="A771" s="16">
        <f t="shared" si="2"/>
        <v>770</v>
      </c>
      <c r="B771" s="16" t="s">
        <v>1933</v>
      </c>
      <c r="C771" s="17"/>
      <c r="D771" s="16" t="s">
        <v>1934</v>
      </c>
      <c r="E771" s="17"/>
      <c r="F771" s="16" t="s">
        <v>10</v>
      </c>
      <c r="G771" s="17"/>
      <c r="H771" s="17"/>
      <c r="I771" s="17"/>
      <c r="J771" s="17"/>
      <c r="K771" s="17"/>
      <c r="L771" s="118">
        <v>45398.0</v>
      </c>
      <c r="M771" s="17"/>
      <c r="N771" s="17"/>
      <c r="O771" s="17"/>
      <c r="Q771" s="153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>
      <c r="A772" s="16">
        <f t="shared" si="2"/>
        <v>771</v>
      </c>
      <c r="B772" s="16" t="s">
        <v>1935</v>
      </c>
      <c r="C772" s="17"/>
      <c r="D772" s="16" t="s">
        <v>1936</v>
      </c>
      <c r="E772" s="17"/>
      <c r="F772" s="16" t="s">
        <v>10</v>
      </c>
      <c r="G772" s="17"/>
      <c r="H772" s="17"/>
      <c r="I772" s="17"/>
      <c r="J772" s="17"/>
      <c r="K772" s="17"/>
      <c r="L772" s="118">
        <v>45398.0</v>
      </c>
      <c r="M772" s="17"/>
      <c r="N772" s="17"/>
      <c r="O772" s="17"/>
      <c r="Q772" s="153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>
      <c r="A773" s="16">
        <f t="shared" si="2"/>
        <v>772</v>
      </c>
      <c r="B773" s="16" t="s">
        <v>1937</v>
      </c>
      <c r="C773" s="17"/>
      <c r="D773" s="16" t="s">
        <v>1938</v>
      </c>
      <c r="E773" s="17"/>
      <c r="F773" s="16" t="s">
        <v>10</v>
      </c>
      <c r="G773" s="17"/>
      <c r="H773" s="17"/>
      <c r="I773" s="17"/>
      <c r="J773" s="17"/>
      <c r="K773" s="17"/>
      <c r="L773" s="118">
        <v>45398.0</v>
      </c>
      <c r="M773" s="17"/>
      <c r="N773" s="17"/>
      <c r="O773" s="17"/>
      <c r="Q773" s="153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>
      <c r="A774" s="16">
        <f t="shared" si="2"/>
        <v>773</v>
      </c>
      <c r="B774" s="16" t="s">
        <v>1939</v>
      </c>
      <c r="C774" s="17"/>
      <c r="D774" s="16" t="s">
        <v>1940</v>
      </c>
      <c r="E774" s="17"/>
      <c r="F774" s="16" t="s">
        <v>10</v>
      </c>
      <c r="G774" s="17"/>
      <c r="H774" s="17"/>
      <c r="I774" s="17"/>
      <c r="J774" s="17"/>
      <c r="K774" s="17"/>
      <c r="L774" s="118">
        <v>45398.0</v>
      </c>
      <c r="M774" s="17"/>
      <c r="N774" s="17"/>
      <c r="O774" s="17"/>
      <c r="Q774" s="153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>
      <c r="A775" s="16">
        <f t="shared" si="2"/>
        <v>774</v>
      </c>
      <c r="B775" s="16" t="s">
        <v>1941</v>
      </c>
      <c r="C775" s="17"/>
      <c r="D775" s="16" t="s">
        <v>1942</v>
      </c>
      <c r="E775" s="17"/>
      <c r="F775" s="16" t="s">
        <v>10</v>
      </c>
      <c r="G775" s="17"/>
      <c r="H775" s="17"/>
      <c r="I775" s="17"/>
      <c r="J775" s="17"/>
      <c r="K775" s="17"/>
      <c r="L775" s="118">
        <v>45398.0</v>
      </c>
      <c r="M775" s="17"/>
      <c r="N775" s="17"/>
      <c r="O775" s="17"/>
      <c r="Q775" s="153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>
      <c r="A776" s="16">
        <f t="shared" si="2"/>
        <v>775</v>
      </c>
      <c r="B776" s="16" t="s">
        <v>1943</v>
      </c>
      <c r="C776" s="17"/>
      <c r="D776" s="16" t="s">
        <v>1944</v>
      </c>
      <c r="E776" s="17"/>
      <c r="F776" s="16" t="s">
        <v>10</v>
      </c>
      <c r="G776" s="17"/>
      <c r="H776" s="17"/>
      <c r="I776" s="17"/>
      <c r="J776" s="17"/>
      <c r="K776" s="17"/>
      <c r="L776" s="118">
        <v>45398.0</v>
      </c>
      <c r="M776" s="17"/>
      <c r="N776" s="17"/>
      <c r="O776" s="17"/>
      <c r="Q776" s="153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>
      <c r="A777" s="16">
        <f t="shared" si="2"/>
        <v>776</v>
      </c>
      <c r="B777" s="16" t="s">
        <v>1945</v>
      </c>
      <c r="C777" s="17"/>
      <c r="D777" s="16" t="s">
        <v>1946</v>
      </c>
      <c r="E777" s="17"/>
      <c r="F777" s="16" t="s">
        <v>10</v>
      </c>
      <c r="G777" s="17"/>
      <c r="H777" s="17"/>
      <c r="I777" s="17"/>
      <c r="J777" s="17"/>
      <c r="K777" s="17"/>
      <c r="L777" s="118">
        <v>45398.0</v>
      </c>
      <c r="M777" s="17"/>
      <c r="N777" s="17"/>
      <c r="O777" s="17"/>
      <c r="Q777" s="153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>
      <c r="A778" s="16">
        <f t="shared" si="2"/>
        <v>777</v>
      </c>
      <c r="B778" s="16" t="s">
        <v>1789</v>
      </c>
      <c r="C778" s="17"/>
      <c r="D778" s="16" t="s">
        <v>1790</v>
      </c>
      <c r="E778" s="17"/>
      <c r="F778" s="16" t="s">
        <v>10</v>
      </c>
      <c r="G778" s="17"/>
      <c r="H778" s="17"/>
      <c r="I778" s="17"/>
      <c r="J778" s="17"/>
      <c r="K778" s="17"/>
      <c r="L778" s="118">
        <v>45398.0</v>
      </c>
      <c r="M778" s="17"/>
      <c r="N778" s="17"/>
      <c r="O778" s="17"/>
      <c r="Q778" s="153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>
      <c r="A779" s="16">
        <f t="shared" si="2"/>
        <v>778</v>
      </c>
      <c r="B779" s="16" t="s">
        <v>1791</v>
      </c>
      <c r="C779" s="17"/>
      <c r="D779" s="16" t="s">
        <v>1792</v>
      </c>
      <c r="E779" s="17"/>
      <c r="F779" s="16" t="s">
        <v>10</v>
      </c>
      <c r="G779" s="17"/>
      <c r="H779" s="17"/>
      <c r="I779" s="17"/>
      <c r="J779" s="17"/>
      <c r="K779" s="17"/>
      <c r="L779" s="118">
        <v>45398.0</v>
      </c>
      <c r="M779" s="17"/>
      <c r="N779" s="17"/>
      <c r="O779" s="17"/>
      <c r="Q779" s="153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>
      <c r="A780" s="16">
        <f t="shared" si="2"/>
        <v>779</v>
      </c>
      <c r="B780" s="16" t="s">
        <v>1732</v>
      </c>
      <c r="C780" s="17"/>
      <c r="D780" s="16" t="s">
        <v>1733</v>
      </c>
      <c r="E780" s="17"/>
      <c r="F780" s="16" t="s">
        <v>10</v>
      </c>
      <c r="G780" s="17"/>
      <c r="H780" s="17"/>
      <c r="I780" s="17"/>
      <c r="J780" s="17"/>
      <c r="K780" s="17"/>
      <c r="L780" s="118">
        <v>45398.0</v>
      </c>
      <c r="M780" s="17"/>
      <c r="N780" s="17"/>
      <c r="O780" s="17"/>
      <c r="Q780" s="153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>
      <c r="A781" s="16">
        <f t="shared" si="2"/>
        <v>780</v>
      </c>
      <c r="B781" s="16" t="s">
        <v>1734</v>
      </c>
      <c r="C781" s="17"/>
      <c r="D781" s="16" t="s">
        <v>1735</v>
      </c>
      <c r="E781" s="17"/>
      <c r="F781" s="16" t="s">
        <v>10</v>
      </c>
      <c r="G781" s="17"/>
      <c r="H781" s="17"/>
      <c r="I781" s="17"/>
      <c r="J781" s="17"/>
      <c r="K781" s="17"/>
      <c r="L781" s="118">
        <v>45398.0</v>
      </c>
      <c r="M781" s="17"/>
      <c r="N781" s="17"/>
      <c r="O781" s="17"/>
      <c r="Q781" s="153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>
      <c r="A782" s="16">
        <f t="shared" si="2"/>
        <v>781</v>
      </c>
      <c r="B782" s="16" t="s">
        <v>1736</v>
      </c>
      <c r="C782" s="17"/>
      <c r="D782" s="16" t="s">
        <v>1737</v>
      </c>
      <c r="E782" s="17"/>
      <c r="F782" s="16" t="s">
        <v>10</v>
      </c>
      <c r="G782" s="17"/>
      <c r="H782" s="17"/>
      <c r="I782" s="17"/>
      <c r="J782" s="17"/>
      <c r="K782" s="17"/>
      <c r="L782" s="118">
        <v>45398.0</v>
      </c>
      <c r="M782" s="17"/>
      <c r="N782" s="17"/>
      <c r="O782" s="17"/>
      <c r="Q782" s="153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>
      <c r="A783" s="16">
        <f t="shared" si="2"/>
        <v>782</v>
      </c>
      <c r="B783" s="16" t="s">
        <v>1738</v>
      </c>
      <c r="C783" s="17"/>
      <c r="D783" s="16" t="s">
        <v>1739</v>
      </c>
      <c r="E783" s="17"/>
      <c r="F783" s="16" t="s">
        <v>10</v>
      </c>
      <c r="G783" s="17"/>
      <c r="H783" s="17"/>
      <c r="I783" s="17"/>
      <c r="J783" s="17"/>
      <c r="K783" s="17"/>
      <c r="L783" s="118">
        <v>45398.0</v>
      </c>
      <c r="M783" s="17"/>
      <c r="N783" s="17"/>
      <c r="O783" s="17"/>
      <c r="Q783" s="153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>
      <c r="A784" s="16">
        <f t="shared" si="2"/>
        <v>783</v>
      </c>
      <c r="B784" s="16" t="s">
        <v>1740</v>
      </c>
      <c r="C784" s="17"/>
      <c r="D784" s="16" t="s">
        <v>1741</v>
      </c>
      <c r="E784" s="17"/>
      <c r="F784" s="16" t="s">
        <v>10</v>
      </c>
      <c r="G784" s="17"/>
      <c r="H784" s="17"/>
      <c r="I784" s="17"/>
      <c r="J784" s="17"/>
      <c r="K784" s="17"/>
      <c r="L784" s="118">
        <v>45398.0</v>
      </c>
      <c r="M784" s="17"/>
      <c r="N784" s="17"/>
      <c r="O784" s="17"/>
      <c r="Q784" s="153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>
      <c r="A785" s="16">
        <f t="shared" si="2"/>
        <v>784</v>
      </c>
      <c r="B785" s="16" t="s">
        <v>1742</v>
      </c>
      <c r="C785" s="17"/>
      <c r="D785" s="16" t="s">
        <v>1743</v>
      </c>
      <c r="E785" s="17"/>
      <c r="F785" s="16" t="s">
        <v>10</v>
      </c>
      <c r="G785" s="17"/>
      <c r="H785" s="17"/>
      <c r="I785" s="17"/>
      <c r="J785" s="17"/>
      <c r="K785" s="17"/>
      <c r="L785" s="118">
        <v>45398.0</v>
      </c>
      <c r="M785" s="17"/>
      <c r="N785" s="17"/>
      <c r="O785" s="17"/>
      <c r="Q785" s="153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>
      <c r="A786" s="16">
        <f t="shared" si="2"/>
        <v>785</v>
      </c>
      <c r="B786" s="16" t="s">
        <v>1717</v>
      </c>
      <c r="C786" s="17"/>
      <c r="D786" s="16" t="s">
        <v>1718</v>
      </c>
      <c r="E786" s="17"/>
      <c r="F786" s="16" t="s">
        <v>10</v>
      </c>
      <c r="G786" s="17"/>
      <c r="H786" s="17"/>
      <c r="I786" s="17"/>
      <c r="J786" s="17"/>
      <c r="K786" s="17"/>
      <c r="L786" s="118">
        <v>45398.0</v>
      </c>
      <c r="M786" s="17"/>
      <c r="N786" s="17"/>
      <c r="O786" s="17"/>
      <c r="Q786" s="153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>
      <c r="A787" s="16">
        <f t="shared" si="2"/>
        <v>786</v>
      </c>
      <c r="B787" s="16" t="s">
        <v>1720</v>
      </c>
      <c r="C787" s="17"/>
      <c r="D787" s="16" t="s">
        <v>1721</v>
      </c>
      <c r="E787" s="17"/>
      <c r="F787" s="16" t="s">
        <v>10</v>
      </c>
      <c r="G787" s="17"/>
      <c r="H787" s="17"/>
      <c r="I787" s="17"/>
      <c r="J787" s="17"/>
      <c r="K787" s="17"/>
      <c r="L787" s="118">
        <v>45398.0</v>
      </c>
      <c r="M787" s="17"/>
      <c r="N787" s="17"/>
      <c r="O787" s="17"/>
      <c r="Q787" s="153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>
      <c r="A788" s="16">
        <f t="shared" si="2"/>
        <v>787</v>
      </c>
      <c r="B788" s="16" t="s">
        <v>1722</v>
      </c>
      <c r="C788" s="17"/>
      <c r="D788" s="16" t="s">
        <v>1723</v>
      </c>
      <c r="E788" s="17"/>
      <c r="F788" s="16" t="s">
        <v>10</v>
      </c>
      <c r="G788" s="17"/>
      <c r="H788" s="17"/>
      <c r="I788" s="17"/>
      <c r="J788" s="17"/>
      <c r="K788" s="17"/>
      <c r="L788" s="118">
        <v>45398.0</v>
      </c>
      <c r="M788" s="17"/>
      <c r="N788" s="17"/>
      <c r="O788" s="17"/>
      <c r="Q788" s="153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>
      <c r="A789" s="16">
        <f t="shared" si="2"/>
        <v>788</v>
      </c>
      <c r="B789" s="16" t="s">
        <v>1724</v>
      </c>
      <c r="C789" s="17"/>
      <c r="D789" s="16" t="s">
        <v>1725</v>
      </c>
      <c r="E789" s="17"/>
      <c r="F789" s="16" t="s">
        <v>10</v>
      </c>
      <c r="G789" s="17"/>
      <c r="H789" s="17"/>
      <c r="I789" s="17"/>
      <c r="J789" s="17"/>
      <c r="K789" s="17"/>
      <c r="L789" s="118">
        <v>45398.0</v>
      </c>
      <c r="M789" s="17"/>
      <c r="N789" s="17"/>
      <c r="O789" s="17"/>
      <c r="Q789" s="153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>
      <c r="A790" s="16">
        <f t="shared" si="2"/>
        <v>789</v>
      </c>
      <c r="B790" s="16" t="s">
        <v>1726</v>
      </c>
      <c r="C790" s="17"/>
      <c r="D790" s="16" t="s">
        <v>1727</v>
      </c>
      <c r="E790" s="17"/>
      <c r="F790" s="16" t="s">
        <v>10</v>
      </c>
      <c r="G790" s="17"/>
      <c r="H790" s="17"/>
      <c r="I790" s="17"/>
      <c r="J790" s="17"/>
      <c r="K790" s="17"/>
      <c r="L790" s="118">
        <v>45398.0</v>
      </c>
      <c r="M790" s="17"/>
      <c r="N790" s="17"/>
      <c r="O790" s="17"/>
      <c r="Q790" s="153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>
      <c r="A791" s="16">
        <f t="shared" si="2"/>
        <v>790</v>
      </c>
      <c r="B791" s="16" t="s">
        <v>1728</v>
      </c>
      <c r="C791" s="17"/>
      <c r="D791" s="16" t="s">
        <v>1729</v>
      </c>
      <c r="E791" s="17"/>
      <c r="F791" s="16" t="s">
        <v>10</v>
      </c>
      <c r="G791" s="17"/>
      <c r="H791" s="17"/>
      <c r="I791" s="17"/>
      <c r="J791" s="17"/>
      <c r="K791" s="17"/>
      <c r="L791" s="118">
        <v>45398.0</v>
      </c>
      <c r="M791" s="17"/>
      <c r="N791" s="17"/>
      <c r="O791" s="17"/>
      <c r="Q791" s="153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>
      <c r="A792" s="16">
        <f t="shared" si="2"/>
        <v>791</v>
      </c>
      <c r="B792" s="16" t="s">
        <v>1730</v>
      </c>
      <c r="C792" s="17"/>
      <c r="D792" s="16" t="s">
        <v>1731</v>
      </c>
      <c r="E792" s="17"/>
      <c r="F792" s="16" t="s">
        <v>10</v>
      </c>
      <c r="G792" s="17"/>
      <c r="H792" s="17"/>
      <c r="I792" s="17"/>
      <c r="J792" s="17"/>
      <c r="K792" s="17"/>
      <c r="L792" s="118">
        <v>45398.0</v>
      </c>
      <c r="M792" s="17"/>
      <c r="N792" s="17"/>
      <c r="O792" s="17"/>
      <c r="Q792" s="153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>
      <c r="A793" s="16">
        <f t="shared" si="2"/>
        <v>792</v>
      </c>
      <c r="B793" s="16" t="s">
        <v>1947</v>
      </c>
      <c r="C793" s="17"/>
      <c r="D793" s="16" t="s">
        <v>1864</v>
      </c>
      <c r="E793" s="17"/>
      <c r="F793" s="16" t="s">
        <v>10</v>
      </c>
      <c r="G793" s="17"/>
      <c r="H793" s="17"/>
      <c r="I793" s="17"/>
      <c r="J793" s="17"/>
      <c r="K793" s="17"/>
      <c r="L793" s="118">
        <v>45398.0</v>
      </c>
      <c r="M793" s="17"/>
      <c r="N793" s="17"/>
      <c r="O793" s="17"/>
      <c r="Q793" s="153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>
      <c r="A794" s="16">
        <f t="shared" si="2"/>
        <v>793</v>
      </c>
      <c r="B794" s="16" t="s">
        <v>1768</v>
      </c>
      <c r="C794" s="17"/>
      <c r="D794" s="16" t="s">
        <v>1769</v>
      </c>
      <c r="E794" s="17"/>
      <c r="F794" s="16" t="s">
        <v>10</v>
      </c>
      <c r="G794" s="17"/>
      <c r="H794" s="17"/>
      <c r="I794" s="17"/>
      <c r="J794" s="17"/>
      <c r="K794" s="17"/>
      <c r="L794" s="118">
        <v>45398.0</v>
      </c>
      <c r="M794" s="17"/>
      <c r="N794" s="17"/>
      <c r="O794" s="17"/>
      <c r="Q794" s="153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>
      <c r="A795" s="16">
        <f t="shared" si="2"/>
        <v>794</v>
      </c>
      <c r="B795" s="16" t="s">
        <v>1770</v>
      </c>
      <c r="C795" s="17"/>
      <c r="D795" s="16" t="s">
        <v>1771</v>
      </c>
      <c r="E795" s="17"/>
      <c r="F795" s="16" t="s">
        <v>10</v>
      </c>
      <c r="G795" s="17"/>
      <c r="H795" s="17"/>
      <c r="I795" s="17"/>
      <c r="J795" s="17"/>
      <c r="K795" s="17"/>
      <c r="L795" s="118">
        <v>45398.0</v>
      </c>
      <c r="M795" s="17"/>
      <c r="N795" s="17"/>
      <c r="O795" s="17"/>
      <c r="Q795" s="153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>
      <c r="A796" s="16">
        <f t="shared" si="2"/>
        <v>795</v>
      </c>
      <c r="B796" s="16" t="s">
        <v>1787</v>
      </c>
      <c r="C796" s="17"/>
      <c r="D796" s="16" t="s">
        <v>1788</v>
      </c>
      <c r="E796" s="17"/>
      <c r="F796" s="16" t="s">
        <v>10</v>
      </c>
      <c r="G796" s="17"/>
      <c r="H796" s="17"/>
      <c r="I796" s="17"/>
      <c r="J796" s="17"/>
      <c r="K796" s="17"/>
      <c r="L796" s="118">
        <v>45398.0</v>
      </c>
      <c r="M796" s="17"/>
      <c r="N796" s="17"/>
      <c r="O796" s="17"/>
      <c r="Q796" s="153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>
      <c r="A797" s="16">
        <f t="shared" si="2"/>
        <v>796</v>
      </c>
      <c r="B797" s="16" t="s">
        <v>1785</v>
      </c>
      <c r="C797" s="17"/>
      <c r="D797" s="16" t="s">
        <v>1786</v>
      </c>
      <c r="E797" s="17"/>
      <c r="F797" s="16" t="s">
        <v>10</v>
      </c>
      <c r="G797" s="17"/>
      <c r="H797" s="17"/>
      <c r="I797" s="17"/>
      <c r="J797" s="17"/>
      <c r="K797" s="17"/>
      <c r="L797" s="118">
        <v>45398.0</v>
      </c>
      <c r="M797" s="17"/>
      <c r="N797" s="17"/>
      <c r="O797" s="17"/>
      <c r="Q797" s="153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>
      <c r="A798" s="16">
        <f t="shared" si="2"/>
        <v>797</v>
      </c>
      <c r="B798" s="16" t="s">
        <v>1948</v>
      </c>
      <c r="C798" s="17"/>
      <c r="D798" s="16" t="s">
        <v>1865</v>
      </c>
      <c r="E798" s="17"/>
      <c r="F798" s="16" t="s">
        <v>10</v>
      </c>
      <c r="G798" s="17"/>
      <c r="H798" s="17"/>
      <c r="I798" s="17"/>
      <c r="J798" s="17"/>
      <c r="K798" s="17"/>
      <c r="L798" s="118">
        <v>45398.0</v>
      </c>
      <c r="M798" s="17"/>
      <c r="N798" s="17"/>
      <c r="O798" s="17"/>
      <c r="Q798" s="153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>
      <c r="A799" s="16">
        <f t="shared" si="2"/>
        <v>798</v>
      </c>
      <c r="B799" s="16" t="s">
        <v>1949</v>
      </c>
      <c r="C799" s="17"/>
      <c r="D799" s="16" t="s">
        <v>1866</v>
      </c>
      <c r="E799" s="17"/>
      <c r="F799" s="16" t="s">
        <v>10</v>
      </c>
      <c r="G799" s="17"/>
      <c r="H799" s="17"/>
      <c r="I799" s="17"/>
      <c r="J799" s="17"/>
      <c r="K799" s="17"/>
      <c r="L799" s="118">
        <v>45398.0</v>
      </c>
      <c r="M799" s="17"/>
      <c r="N799" s="17"/>
      <c r="O799" s="17"/>
      <c r="Q799" s="153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>
      <c r="A800" s="16">
        <f t="shared" si="2"/>
        <v>799</v>
      </c>
      <c r="B800" s="16" t="s">
        <v>1793</v>
      </c>
      <c r="C800" s="17"/>
      <c r="D800" s="16" t="s">
        <v>1794</v>
      </c>
      <c r="E800" s="17"/>
      <c r="F800" s="16" t="s">
        <v>10</v>
      </c>
      <c r="G800" s="17"/>
      <c r="H800" s="17"/>
      <c r="I800" s="17"/>
      <c r="J800" s="17"/>
      <c r="K800" s="17"/>
      <c r="L800" s="118">
        <v>45398.0</v>
      </c>
      <c r="M800" s="17"/>
      <c r="N800" s="17"/>
      <c r="O800" s="17"/>
      <c r="Q800" s="153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>
      <c r="A801" s="16">
        <f t="shared" si="2"/>
        <v>800</v>
      </c>
      <c r="B801" s="16" t="s">
        <v>1795</v>
      </c>
      <c r="C801" s="17"/>
      <c r="D801" s="16" t="s">
        <v>1796</v>
      </c>
      <c r="E801" s="17"/>
      <c r="F801" s="16" t="s">
        <v>10</v>
      </c>
      <c r="G801" s="17"/>
      <c r="H801" s="17"/>
      <c r="I801" s="17"/>
      <c r="J801" s="17"/>
      <c r="K801" s="17"/>
      <c r="L801" s="118">
        <v>45398.0</v>
      </c>
      <c r="M801" s="17"/>
      <c r="N801" s="17"/>
      <c r="O801" s="17"/>
      <c r="Q801" s="153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>
      <c r="A802" s="16">
        <f t="shared" si="2"/>
        <v>801</v>
      </c>
      <c r="B802" s="16" t="s">
        <v>1797</v>
      </c>
      <c r="C802" s="17"/>
      <c r="D802" s="16" t="s">
        <v>1798</v>
      </c>
      <c r="E802" s="17"/>
      <c r="F802" s="16" t="s">
        <v>10</v>
      </c>
      <c r="G802" s="17"/>
      <c r="H802" s="17"/>
      <c r="I802" s="17"/>
      <c r="J802" s="17"/>
      <c r="K802" s="17"/>
      <c r="L802" s="118">
        <v>45398.0</v>
      </c>
      <c r="M802" s="17"/>
      <c r="N802" s="17"/>
      <c r="O802" s="17"/>
      <c r="Q802" s="153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>
      <c r="A803" s="16">
        <f t="shared" si="2"/>
        <v>802</v>
      </c>
      <c r="B803" s="16" t="s">
        <v>1799</v>
      </c>
      <c r="C803" s="17"/>
      <c r="D803" s="16" t="s">
        <v>1800</v>
      </c>
      <c r="E803" s="17"/>
      <c r="F803" s="16" t="s">
        <v>10</v>
      </c>
      <c r="G803" s="17"/>
      <c r="H803" s="17"/>
      <c r="I803" s="17"/>
      <c r="J803" s="17"/>
      <c r="K803" s="17"/>
      <c r="L803" s="118">
        <v>45398.0</v>
      </c>
      <c r="M803" s="17"/>
      <c r="N803" s="17"/>
      <c r="O803" s="17"/>
      <c r="Q803" s="153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>
      <c r="A804" s="16">
        <f t="shared" si="2"/>
        <v>803</v>
      </c>
      <c r="B804" s="16" t="s">
        <v>1760</v>
      </c>
      <c r="C804" s="17"/>
      <c r="D804" s="16" t="s">
        <v>1761</v>
      </c>
      <c r="E804" s="17"/>
      <c r="F804" s="16" t="s">
        <v>10</v>
      </c>
      <c r="G804" s="17"/>
      <c r="H804" s="17"/>
      <c r="I804" s="17"/>
      <c r="J804" s="17"/>
      <c r="K804" s="17"/>
      <c r="L804" s="118">
        <v>45398.0</v>
      </c>
      <c r="M804" s="17"/>
      <c r="N804" s="17"/>
      <c r="O804" s="17"/>
      <c r="Q804" s="153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>
      <c r="A805" s="16">
        <f t="shared" si="2"/>
        <v>804</v>
      </c>
      <c r="B805" s="16" t="s">
        <v>1762</v>
      </c>
      <c r="C805" s="17"/>
      <c r="D805" s="16" t="s">
        <v>1763</v>
      </c>
      <c r="E805" s="17"/>
      <c r="F805" s="16" t="s">
        <v>10</v>
      </c>
      <c r="G805" s="17"/>
      <c r="H805" s="17"/>
      <c r="I805" s="17"/>
      <c r="J805" s="17"/>
      <c r="K805" s="17"/>
      <c r="L805" s="118">
        <v>45398.0</v>
      </c>
      <c r="M805" s="17"/>
      <c r="N805" s="17"/>
      <c r="O805" s="17"/>
      <c r="Q805" s="153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>
      <c r="A806" s="16">
        <f t="shared" si="2"/>
        <v>805</v>
      </c>
      <c r="B806" s="16" t="s">
        <v>1764</v>
      </c>
      <c r="C806" s="17"/>
      <c r="D806" s="16" t="s">
        <v>1765</v>
      </c>
      <c r="E806" s="17"/>
      <c r="F806" s="16" t="s">
        <v>10</v>
      </c>
      <c r="G806" s="17"/>
      <c r="H806" s="17"/>
      <c r="I806" s="17"/>
      <c r="J806" s="17"/>
      <c r="K806" s="17"/>
      <c r="L806" s="118">
        <v>45398.0</v>
      </c>
      <c r="M806" s="17"/>
      <c r="N806" s="17"/>
      <c r="O806" s="17"/>
      <c r="Q806" s="153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>
      <c r="A807" s="16">
        <f t="shared" si="2"/>
        <v>806</v>
      </c>
      <c r="B807" s="16" t="s">
        <v>1950</v>
      </c>
      <c r="C807" s="17"/>
      <c r="D807" s="16" t="s">
        <v>1867</v>
      </c>
      <c r="E807" s="17"/>
      <c r="F807" s="16" t="s">
        <v>10</v>
      </c>
      <c r="G807" s="17"/>
      <c r="H807" s="17"/>
      <c r="I807" s="17"/>
      <c r="J807" s="17"/>
      <c r="K807" s="17"/>
      <c r="L807" s="118">
        <v>45398.0</v>
      </c>
      <c r="M807" s="17"/>
      <c r="N807" s="17"/>
      <c r="O807" s="17"/>
      <c r="Q807" s="153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>
      <c r="A808" s="16">
        <f t="shared" si="2"/>
        <v>807</v>
      </c>
      <c r="B808" s="16" t="s">
        <v>1951</v>
      </c>
      <c r="C808" s="17"/>
      <c r="D808" s="16" t="s">
        <v>1868</v>
      </c>
      <c r="E808" s="17"/>
      <c r="F808" s="16" t="s">
        <v>10</v>
      </c>
      <c r="G808" s="17"/>
      <c r="H808" s="17"/>
      <c r="I808" s="17"/>
      <c r="J808" s="17"/>
      <c r="K808" s="17"/>
      <c r="L808" s="118">
        <v>45398.0</v>
      </c>
      <c r="M808" s="17"/>
      <c r="N808" s="17"/>
      <c r="O808" s="17"/>
      <c r="Q808" s="153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>
      <c r="A809" s="16">
        <f t="shared" si="2"/>
        <v>808</v>
      </c>
      <c r="B809" s="16" t="s">
        <v>1952</v>
      </c>
      <c r="C809" s="17"/>
      <c r="D809" s="16" t="s">
        <v>1869</v>
      </c>
      <c r="E809" s="17"/>
      <c r="F809" s="16" t="s">
        <v>10</v>
      </c>
      <c r="G809" s="17"/>
      <c r="H809" s="17"/>
      <c r="I809" s="17"/>
      <c r="J809" s="17"/>
      <c r="K809" s="17"/>
      <c r="L809" s="118">
        <v>45398.0</v>
      </c>
      <c r="M809" s="17"/>
      <c r="N809" s="17"/>
      <c r="O809" s="17"/>
      <c r="Q809" s="153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>
      <c r="A810" s="16">
        <f t="shared" si="2"/>
        <v>809</v>
      </c>
      <c r="B810" s="16" t="s">
        <v>1772</v>
      </c>
      <c r="C810" s="17"/>
      <c r="D810" s="16" t="s">
        <v>1773</v>
      </c>
      <c r="E810" s="17"/>
      <c r="F810" s="16" t="s">
        <v>10</v>
      </c>
      <c r="G810" s="17"/>
      <c r="H810" s="17"/>
      <c r="I810" s="17"/>
      <c r="J810" s="17"/>
      <c r="K810" s="17"/>
      <c r="L810" s="118">
        <v>45463.0</v>
      </c>
      <c r="M810" s="17"/>
      <c r="N810" s="17"/>
      <c r="O810" s="17"/>
      <c r="Q810" s="153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>
      <c r="A811" s="16">
        <f t="shared" si="2"/>
        <v>810</v>
      </c>
      <c r="B811" s="16" t="s">
        <v>1775</v>
      </c>
      <c r="C811" s="17"/>
      <c r="D811" s="16" t="s">
        <v>1776</v>
      </c>
      <c r="E811" s="17"/>
      <c r="F811" s="16" t="s">
        <v>10</v>
      </c>
      <c r="G811" s="17"/>
      <c r="H811" s="17"/>
      <c r="I811" s="17"/>
      <c r="J811" s="17"/>
      <c r="K811" s="17"/>
      <c r="L811" s="118">
        <v>45463.0</v>
      </c>
      <c r="M811" s="17"/>
      <c r="N811" s="17"/>
      <c r="O811" s="17"/>
      <c r="Q811" s="153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>
      <c r="A812" s="16">
        <f t="shared" si="2"/>
        <v>811</v>
      </c>
      <c r="B812" s="16" t="s">
        <v>1777</v>
      </c>
      <c r="C812" s="17"/>
      <c r="D812" s="16" t="s">
        <v>1778</v>
      </c>
      <c r="E812" s="17"/>
      <c r="F812" s="16" t="s">
        <v>10</v>
      </c>
      <c r="G812" s="17"/>
      <c r="H812" s="17"/>
      <c r="I812" s="17"/>
      <c r="J812" s="17"/>
      <c r="K812" s="17"/>
      <c r="L812" s="118">
        <v>45463.0</v>
      </c>
      <c r="M812" s="17"/>
      <c r="N812" s="17"/>
      <c r="O812" s="17"/>
      <c r="Q812" s="153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>
      <c r="A813" s="16">
        <f t="shared" si="2"/>
        <v>812</v>
      </c>
      <c r="B813" s="16" t="s">
        <v>1781</v>
      </c>
      <c r="C813" s="17"/>
      <c r="D813" s="16" t="s">
        <v>1782</v>
      </c>
      <c r="E813" s="17"/>
      <c r="F813" s="16" t="s">
        <v>10</v>
      </c>
      <c r="G813" s="17"/>
      <c r="H813" s="17"/>
      <c r="I813" s="17"/>
      <c r="J813" s="17"/>
      <c r="K813" s="17"/>
      <c r="L813" s="118">
        <v>45463.0</v>
      </c>
      <c r="M813" s="17"/>
      <c r="N813" s="17"/>
      <c r="O813" s="17"/>
      <c r="Q813" s="153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>
      <c r="A814" s="16">
        <f t="shared" si="2"/>
        <v>813</v>
      </c>
      <c r="B814" s="16" t="s">
        <v>1779</v>
      </c>
      <c r="C814" s="17"/>
      <c r="D814" s="16" t="s">
        <v>1780</v>
      </c>
      <c r="E814" s="17"/>
      <c r="F814" s="16" t="s">
        <v>10</v>
      </c>
      <c r="G814" s="17"/>
      <c r="H814" s="17"/>
      <c r="I814" s="17"/>
      <c r="J814" s="17"/>
      <c r="K814" s="17"/>
      <c r="L814" s="118">
        <v>45463.0</v>
      </c>
      <c r="M814" s="17"/>
      <c r="N814" s="17"/>
      <c r="O814" s="17"/>
      <c r="Q814" s="153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>
      <c r="A815" s="16">
        <f t="shared" si="2"/>
        <v>814</v>
      </c>
      <c r="B815" s="16" t="s">
        <v>1783</v>
      </c>
      <c r="C815" s="17"/>
      <c r="D815" s="16" t="s">
        <v>1784</v>
      </c>
      <c r="E815" s="17"/>
      <c r="F815" s="16" t="s">
        <v>10</v>
      </c>
      <c r="G815" s="17"/>
      <c r="H815" s="17"/>
      <c r="I815" s="17"/>
      <c r="J815" s="17"/>
      <c r="K815" s="17"/>
      <c r="L815" s="118">
        <v>45463.0</v>
      </c>
      <c r="M815" s="17"/>
      <c r="N815" s="17"/>
      <c r="O815" s="17"/>
      <c r="Q815" s="153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>
      <c r="A816" s="17"/>
      <c r="B816" s="16" t="s">
        <v>1953</v>
      </c>
      <c r="C816" s="134">
        <v>6.0022519E7</v>
      </c>
      <c r="D816" s="16" t="s">
        <v>1954</v>
      </c>
      <c r="E816" s="17"/>
      <c r="F816" s="16" t="s">
        <v>10</v>
      </c>
      <c r="G816" s="16" t="s">
        <v>4528</v>
      </c>
      <c r="H816" s="16" t="s">
        <v>12</v>
      </c>
      <c r="I816" s="17"/>
      <c r="J816" s="16" t="s">
        <v>13</v>
      </c>
      <c r="K816" s="16" t="s">
        <v>1955</v>
      </c>
      <c r="L816" s="17"/>
      <c r="M816" s="17"/>
      <c r="N816" s="17"/>
      <c r="O816" s="16" t="s">
        <v>2557</v>
      </c>
      <c r="Q816" s="153"/>
      <c r="R816" s="123">
        <v>45975.0</v>
      </c>
      <c r="S816" s="17"/>
      <c r="T816" s="17"/>
      <c r="U816" s="17"/>
      <c r="V816" s="17"/>
      <c r="W816" s="17"/>
      <c r="X816" s="16" t="s">
        <v>4529</v>
      </c>
      <c r="Y816" s="17"/>
      <c r="Z816" s="17"/>
      <c r="AA816" s="17"/>
      <c r="AB816" s="16" t="s">
        <v>4530</v>
      </c>
    </row>
    <row r="817">
      <c r="A817" s="17"/>
      <c r="B817" s="16" t="s">
        <v>1956</v>
      </c>
      <c r="C817" s="16" t="s">
        <v>1957</v>
      </c>
      <c r="D817" s="16" t="s">
        <v>1048</v>
      </c>
      <c r="E817" s="16" t="s">
        <v>3106</v>
      </c>
      <c r="F817" s="16" t="s">
        <v>10</v>
      </c>
      <c r="G817" s="16" t="s">
        <v>3715</v>
      </c>
      <c r="H817" s="16" t="s">
        <v>12</v>
      </c>
      <c r="I817" s="17"/>
      <c r="J817" s="16" t="s">
        <v>13</v>
      </c>
      <c r="K817" s="16" t="s">
        <v>93</v>
      </c>
      <c r="L817" s="154">
        <v>44152.0</v>
      </c>
      <c r="M817" s="16">
        <f>YEAR(TODAY()) - YEAR(DATEVALUE(L817))
</f>
        <v>6</v>
      </c>
      <c r="N817" s="17"/>
      <c r="O817" s="111"/>
      <c r="Q817" s="153"/>
      <c r="R817" s="17"/>
      <c r="S817" s="16" t="s">
        <v>3671</v>
      </c>
      <c r="T817" s="17"/>
      <c r="U817" s="16" t="s">
        <v>3165</v>
      </c>
      <c r="V817" s="16" t="s">
        <v>3681</v>
      </c>
      <c r="W817" s="17"/>
      <c r="X817" s="17"/>
      <c r="Y817" s="16" t="s">
        <v>3165</v>
      </c>
      <c r="Z817" s="16" t="s">
        <v>3681</v>
      </c>
      <c r="AA817" s="17"/>
      <c r="AB817" s="17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Q818" s="153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Q819" s="153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Q820" s="153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Q821" s="153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Q822" s="153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Q823" s="153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Q824" s="153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Q825" s="153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Q826" s="153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Q827" s="153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Q828" s="153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Q829" s="153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Q830" s="153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Q831" s="153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Q832" s="153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Q833" s="153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Q834" s="153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Q835" s="153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Q836" s="153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Q837" s="153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Q838" s="153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Q839" s="153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Q840" s="153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Q841" s="153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Q842" s="153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Q843" s="153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Q844" s="153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Q845" s="153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Q846" s="153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Q847" s="153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Q848" s="153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Q849" s="153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Q850" s="153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Q851" s="153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Q852" s="153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Q853" s="153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Q854" s="153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Q855" s="153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Q856" s="153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Q857" s="153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Q858" s="153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Q859" s="153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Q860" s="153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Q861" s="153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Q862" s="153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Q863" s="153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Q864" s="153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Q865" s="153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Q866" s="153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Q867" s="153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Q868" s="153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Q869" s="153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Q870" s="153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Q871" s="153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Q872" s="153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Q873" s="153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Q874" s="153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Q875" s="153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Q876" s="153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Q877" s="153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Q878" s="153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Q879" s="153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Q880" s="153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Q881" s="153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Q882" s="153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Q883" s="153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Q884" s="153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Q885" s="153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Q886" s="153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Q887" s="153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Q888" s="153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Q889" s="153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Q890" s="153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Q891" s="153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Q892" s="153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Q893" s="153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Q894" s="153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Q895" s="153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Q896" s="153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Q897" s="153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Q898" s="153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Q899" s="153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Q900" s="153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Q901" s="153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Q902" s="153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Q903" s="153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Q904" s="153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Q905" s="153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Q906" s="153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Q907" s="153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Q908" s="153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Q909" s="153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Q910" s="153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Q911" s="153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Q912" s="153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Q913" s="153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Q914" s="153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Q915" s="153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Q916" s="153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Q917" s="153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Q918" s="153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Q919" s="153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Q920" s="153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Q921" s="153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Q922" s="153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Q923" s="153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Q924" s="153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Q925" s="153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Q926" s="153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Q927" s="153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Q928" s="153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Q929" s="153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Q930" s="153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Q931" s="153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Q932" s="153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Q933" s="153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Q934" s="153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Q935" s="153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Q936" s="153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Q937" s="153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Q938" s="153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Q939" s="153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Q940" s="153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Q941" s="153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Q942" s="153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Q943" s="153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Q944" s="153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Q945" s="153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Q946" s="153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Q947" s="153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Q948" s="153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Q949" s="153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Q950" s="153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Q951" s="153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Q952" s="153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Q953" s="153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Q954" s="153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Q955" s="153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Q956" s="153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Q957" s="153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Q958" s="153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Q959" s="153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Q960" s="153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Q961" s="153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Q962" s="153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Q963" s="153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Q964" s="153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Q965" s="153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Q966" s="153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Q967" s="153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Q968" s="153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Q969" s="153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Q970" s="153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Q971" s="153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Q972" s="153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Q973" s="153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Q974" s="153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Q975" s="153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Q976" s="153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Q977" s="153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Q978" s="153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Q979" s="153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Q980" s="153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Q981" s="153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Q982" s="153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Q983" s="153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Q984" s="153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Q985" s="153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Q986" s="153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Q987" s="153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Q988" s="153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Q989" s="153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Q990" s="153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Q991" s="153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Q992" s="153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Q993" s="153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Q994" s="153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Q995" s="153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Q996" s="153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Q997" s="153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53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53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53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</row>
    <row r="103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</row>
    <row r="103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</row>
    <row r="103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</row>
    <row r="1037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</row>
    <row r="1038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</row>
    <row r="1039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</row>
    <row r="1040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</row>
    <row r="104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</row>
    <row r="1042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</row>
    <row r="1043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</row>
    <row r="1044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</row>
    <row r="1045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</row>
    <row r="104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</row>
    <row r="1047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</row>
    <row r="1048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</row>
    <row r="1049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</row>
    <row r="1050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</row>
    <row r="105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</row>
    <row r="1052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</row>
    <row r="1053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</row>
    <row r="1054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</row>
    <row r="1055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</row>
    <row r="105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</row>
    <row r="1057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</row>
    <row r="1058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</row>
    <row r="1059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</row>
    <row r="1060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</row>
    <row r="106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</row>
    <row r="1062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</row>
    <row r="1063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</row>
    <row r="1064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</row>
    <row r="1065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</row>
    <row r="1066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</row>
    <row r="1067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</row>
    <row r="1068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</row>
    <row r="1069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</row>
    <row r="1070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</row>
    <row r="1071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</row>
    <row r="1072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</row>
    <row r="1073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</row>
    <row r="1074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</row>
    <row r="1075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</row>
    <row r="1076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</row>
    <row r="1077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</row>
    <row r="1078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</row>
    <row r="1079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</row>
    <row r="1080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</row>
    <row r="1081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</row>
    <row r="1082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</row>
    <row r="1083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</row>
    <row r="1084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</row>
    <row r="1085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</row>
    <row r="1086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</row>
    <row r="1087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</row>
    <row r="1088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</row>
    <row r="1089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</row>
    <row r="1090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</row>
    <row r="1091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</row>
    <row r="1092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</row>
    <row r="1093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</row>
    <row r="1094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</row>
    <row r="1095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</row>
    <row r="1096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</row>
    <row r="1097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</row>
    <row r="1098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</row>
    <row r="1099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</row>
    <row r="1100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</row>
    <row r="1101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</row>
    <row r="1102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</row>
    <row r="1103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</row>
    <row r="1104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</row>
    <row r="1105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</row>
    <row r="1106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</row>
    <row r="1107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</row>
    <row r="1108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</row>
    <row r="1109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</row>
    <row r="1110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</row>
    <row r="1111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</row>
    <row r="1112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</row>
    <row r="1113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</row>
    <row r="1114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</row>
    <row r="1115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</row>
    <row r="1116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</row>
    <row r="1117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</row>
    <row r="1118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</row>
    <row r="1119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</row>
    <row r="1120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</row>
    <row r="1121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</row>
    <row r="1122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</row>
    <row r="1123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</row>
    <row r="1124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</row>
    <row r="1125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</row>
    <row r="1126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</row>
    <row r="1127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</row>
    <row r="1128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</row>
    <row r="1129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</row>
    <row r="1130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</row>
    <row r="1131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</row>
    <row r="1132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</row>
    <row r="1133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</row>
    <row r="1134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</row>
    <row r="1135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</row>
    <row r="1136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</row>
    <row r="1137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</row>
    <row r="1138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</row>
    <row r="1139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</row>
    <row r="1140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</row>
    <row r="1141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</row>
    <row r="1142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</row>
    <row r="1143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</row>
    <row r="1144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</row>
    <row r="1145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</row>
    <row r="1146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</row>
    <row r="1147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</row>
    <row r="1148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</row>
    <row r="1149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</row>
    <row r="1150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</row>
    <row r="1151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</row>
    <row r="1152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</row>
    <row r="1153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</row>
    <row r="1154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</row>
    <row r="1155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</row>
    <row r="1156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</row>
    <row r="1157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</row>
    <row r="1158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</row>
    <row r="1159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</row>
    <row r="1160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</row>
    <row r="1161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</row>
    <row r="1162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</row>
    <row r="1163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</row>
    <row r="1164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</row>
    <row r="1165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</row>
    <row r="1166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</row>
    <row r="1167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</row>
    <row r="1168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</row>
    <row r="1169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</row>
    <row r="1170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</row>
    <row r="1171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</row>
    <row r="1172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</row>
    <row r="1173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</row>
    <row r="1174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</row>
    <row r="1175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</row>
    <row r="1176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</row>
    <row r="1177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</row>
    <row r="1178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</row>
    <row r="1179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</row>
    <row r="1180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</row>
    <row r="1181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</row>
    <row r="1182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</row>
    <row r="1183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</row>
    <row r="1184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</row>
    <row r="1185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</row>
    <row r="1186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</row>
    <row r="1187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</row>
    <row r="1188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</row>
    <row r="1189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</row>
    <row r="1190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</row>
    <row r="1191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</row>
    <row r="1192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</row>
    <row r="1193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</row>
    <row r="1194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</row>
    <row r="1195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</row>
    <row r="1196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</row>
    <row r="1197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</row>
    <row r="1198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</row>
    <row r="1199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</row>
    <row r="1200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</row>
    <row r="1201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</row>
    <row r="1202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</row>
    <row r="1203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</row>
    <row r="1204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</row>
    <row r="1205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</row>
    <row r="1206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</row>
    <row r="1207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</row>
    <row r="1208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</row>
    <row r="1209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</row>
    <row r="1210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</row>
    <row r="1211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</row>
    <row r="1212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</row>
    <row r="1213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</row>
    <row r="1214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</row>
    <row r="1215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</row>
    <row r="1216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</row>
    <row r="1217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</row>
    <row r="1218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</row>
    <row r="1219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</row>
    <row r="1220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</row>
    <row r="1221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</row>
    <row r="1222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</row>
    <row r="1223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</row>
    <row r="1224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</row>
    <row r="1225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</row>
    <row r="1226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</row>
    <row r="1227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</row>
    <row r="1228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</row>
    <row r="1229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</row>
    <row r="1230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</row>
    <row r="1231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</row>
    <row r="1232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</row>
    <row r="1233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</row>
    <row r="1234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</row>
    <row r="1235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</row>
    <row r="1236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</row>
    <row r="1237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</row>
    <row r="1238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</row>
    <row r="1239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</row>
    <row r="1240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</row>
    <row r="1241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</row>
    <row r="1242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</row>
    <row r="1243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</row>
    <row r="1244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</row>
    <row r="1245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</row>
    <row r="1246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</row>
    <row r="1247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</row>
    <row r="1248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</row>
    <row r="1249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</row>
    <row r="1250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</row>
    <row r="1251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</row>
    <row r="1252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</row>
    <row r="1253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</row>
    <row r="1254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</row>
    <row r="1255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</row>
    <row r="1256">
      <c r="A1256" s="11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</row>
    <row r="1257">
      <c r="A1257" s="11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</row>
    <row r="1258">
      <c r="A1258" s="11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</row>
    <row r="1259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</row>
    <row r="1260">
      <c r="A1260" s="11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</row>
    <row r="1261">
      <c r="A1261" s="11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</row>
    <row r="1262">
      <c r="A1262" s="11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</row>
    <row r="1263">
      <c r="A1263" s="11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</row>
    <row r="1264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</row>
    <row r="1265">
      <c r="A1265" s="11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</row>
    <row r="1266">
      <c r="A1266" s="11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</row>
    <row r="1267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</row>
    <row r="1268">
      <c r="A1268" s="11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</row>
    <row r="1269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</row>
    <row r="1270">
      <c r="A1270" s="11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</row>
    <row r="1271">
      <c r="A1271" s="11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</row>
    <row r="1272">
      <c r="A1272" s="11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</row>
    <row r="1273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</row>
    <row r="1274">
      <c r="A1274" s="11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</row>
    <row r="1275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</row>
    <row r="1276">
      <c r="A1276" s="11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</row>
    <row r="1277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</row>
    <row r="1278">
      <c r="A1278" s="11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</row>
    <row r="1279">
      <c r="A1279" s="11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</row>
    <row r="1280">
      <c r="A1280" s="11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</row>
    <row r="1281">
      <c r="A1281" s="11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</row>
    <row r="1282">
      <c r="A1282" s="11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</row>
    <row r="1283">
      <c r="A1283" s="11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</row>
    <row r="1284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</row>
    <row r="1285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</row>
    <row r="1286">
      <c r="A1286" s="11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</row>
    <row r="1287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</row>
    <row r="1288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</row>
    <row r="1289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</row>
    <row r="1290">
      <c r="A1290" s="11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</row>
    <row r="1291">
      <c r="A1291" s="11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</row>
    <row r="1292">
      <c r="A1292" s="11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</row>
    <row r="1293">
      <c r="A1293" s="11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</row>
    <row r="1294">
      <c r="A1294" s="11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</row>
    <row r="1295">
      <c r="A1295" s="11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</row>
    <row r="1296">
      <c r="A1296" s="11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</row>
    <row r="1297">
      <c r="A1297" s="11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</row>
    <row r="1298">
      <c r="A1298" s="11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</row>
    <row r="1299">
      <c r="A1299" s="11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</row>
    <row r="1300">
      <c r="A1300" s="11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</row>
    <row r="1301">
      <c r="A1301" s="11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</row>
    <row r="1302">
      <c r="A1302" s="11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</row>
    <row r="1303">
      <c r="A1303" s="11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</row>
    <row r="1304">
      <c r="A1304" s="11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</row>
    <row r="1305">
      <c r="A1305" s="11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</row>
    <row r="1306">
      <c r="A1306" s="11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</row>
    <row r="1307">
      <c r="A1307" s="11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</row>
    <row r="1308">
      <c r="A1308" s="11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</row>
    <row r="1309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</row>
    <row r="1310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</row>
    <row r="1311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</row>
    <row r="1312">
      <c r="A1312" s="11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</row>
    <row r="1313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</row>
    <row r="1314">
      <c r="A1314" s="11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</row>
    <row r="1315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</row>
    <row r="1316">
      <c r="A1316" s="11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</row>
    <row r="1317">
      <c r="A1317" s="11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</row>
    <row r="1318">
      <c r="A1318" s="11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</row>
    <row r="1319">
      <c r="A1319" s="11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</row>
    <row r="1320">
      <c r="A1320" s="11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</row>
    <row r="1321">
      <c r="A1321" s="11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</row>
    <row r="1322">
      <c r="A1322" s="11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</row>
    <row r="1323">
      <c r="A1323" s="11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</row>
    <row r="1324">
      <c r="A1324" s="11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</row>
    <row r="1325">
      <c r="A1325" s="11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</row>
    <row r="1326">
      <c r="A1326" s="11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</row>
    <row r="1327">
      <c r="A1327" s="11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</row>
    <row r="1328">
      <c r="A1328" s="11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</row>
    <row r="1329">
      <c r="A1329" s="11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</row>
    <row r="1330">
      <c r="A1330" s="11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</row>
    <row r="1331">
      <c r="A1331" s="11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</row>
    <row r="1332">
      <c r="A1332" s="11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</row>
    <row r="1333">
      <c r="A1333" s="11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</row>
    <row r="1334">
      <c r="A1334" s="11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</row>
    <row r="1335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</row>
    <row r="1336">
      <c r="A1336" s="11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</row>
    <row r="1337">
      <c r="A1337" s="11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</row>
    <row r="1338">
      <c r="A1338" s="11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</row>
    <row r="1339">
      <c r="A1339" s="11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</row>
    <row r="1340">
      <c r="A1340" s="11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</row>
    <row r="1341">
      <c r="A1341" s="11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</row>
    <row r="1342">
      <c r="A1342" s="11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</row>
    <row r="1343">
      <c r="A1343" s="11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</row>
    <row r="1344">
      <c r="A1344" s="11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</row>
    <row r="1345">
      <c r="A1345" s="11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</row>
    <row r="1346">
      <c r="A1346" s="11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</row>
    <row r="1347">
      <c r="A1347" s="11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</row>
    <row r="1348">
      <c r="A1348" s="11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</row>
    <row r="1349">
      <c r="A1349" s="11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</row>
    <row r="1350">
      <c r="A1350" s="11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</row>
    <row r="1351">
      <c r="A1351" s="11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</row>
    <row r="1352">
      <c r="A1352" s="11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</row>
    <row r="1353">
      <c r="A1353" s="11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</row>
    <row r="1354">
      <c r="A1354" s="11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</row>
    <row r="1355">
      <c r="A1355" s="11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</row>
    <row r="1356">
      <c r="A1356" s="11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</row>
    <row r="1357">
      <c r="A1357" s="11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</row>
    <row r="1358">
      <c r="A1358" s="11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</row>
    <row r="1359">
      <c r="A1359" s="11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</row>
    <row r="1360">
      <c r="A1360" s="11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</row>
    <row r="1361">
      <c r="A1361" s="11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</row>
    <row r="1362">
      <c r="A1362" s="11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</row>
    <row r="1363">
      <c r="A1363" s="11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</row>
    <row r="1364">
      <c r="A1364" s="11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</row>
    <row r="1365">
      <c r="A1365" s="11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</row>
    <row r="1366">
      <c r="A1366" s="11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</row>
    <row r="1367">
      <c r="A1367" s="11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</row>
    <row r="1368">
      <c r="A1368" s="11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</row>
    <row r="1369">
      <c r="A1369" s="11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</row>
    <row r="1370">
      <c r="A1370" s="11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</row>
    <row r="1371">
      <c r="A1371" s="11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</row>
    <row r="1372">
      <c r="A1372" s="11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</row>
    <row r="1373">
      <c r="A1373" s="11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</row>
    <row r="1374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</row>
    <row r="1375">
      <c r="A1375" s="11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</row>
    <row r="1376">
      <c r="A1376" s="11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</row>
    <row r="1377">
      <c r="A1377" s="11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</row>
    <row r="1378">
      <c r="A1378" s="11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</row>
    <row r="1379">
      <c r="A1379" s="11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</row>
    <row r="1380">
      <c r="A1380" s="11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</row>
    <row r="1381">
      <c r="A1381" s="11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</row>
    <row r="1382">
      <c r="A1382" s="11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</row>
    <row r="1383">
      <c r="A1383" s="11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</row>
    <row r="1384">
      <c r="A1384" s="11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</row>
    <row r="1385">
      <c r="A1385" s="11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</row>
    <row r="1386">
      <c r="A1386" s="11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</row>
    <row r="1387">
      <c r="A1387" s="11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</row>
    <row r="1388">
      <c r="A1388" s="11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</row>
    <row r="1389">
      <c r="A1389" s="11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</row>
    <row r="1390">
      <c r="A1390" s="11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</row>
    <row r="1391">
      <c r="A1391" s="11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</row>
    <row r="1392">
      <c r="A1392" s="11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</row>
    <row r="1393">
      <c r="A1393" s="11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</row>
    <row r="1394">
      <c r="A1394" s="11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</row>
    <row r="1395">
      <c r="A1395" s="11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</row>
    <row r="1396">
      <c r="A1396" s="11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</row>
    <row r="1397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</row>
    <row r="1398">
      <c r="A1398" s="11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</row>
    <row r="1399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</row>
    <row r="1400">
      <c r="A1400" s="11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</row>
    <row r="1401">
      <c r="A1401" s="11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</row>
    <row r="1402">
      <c r="A1402" s="11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</row>
    <row r="1403">
      <c r="A1403" s="11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</row>
    <row r="1404">
      <c r="A1404" s="11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</row>
    <row r="1405">
      <c r="A1405" s="11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</row>
    <row r="1406">
      <c r="A1406" s="11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</row>
    <row r="1407">
      <c r="A1407" s="11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</row>
    <row r="1408">
      <c r="A1408" s="11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</row>
    <row r="1409">
      <c r="A1409" s="11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</row>
    <row r="1410">
      <c r="A1410" s="11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</row>
    <row r="1411">
      <c r="A1411" s="11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</row>
    <row r="1412">
      <c r="A1412" s="11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</row>
    <row r="1413">
      <c r="A1413" s="11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</row>
    <row r="1414">
      <c r="A1414" s="11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</row>
    <row r="1415">
      <c r="A1415" s="11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</row>
    <row r="1416">
      <c r="A1416" s="11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</row>
    <row r="1417">
      <c r="A1417" s="11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</row>
    <row r="1418">
      <c r="A1418" s="11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</row>
    <row r="1419">
      <c r="A1419" s="11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</row>
    <row r="1420">
      <c r="A1420" s="11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</row>
    <row r="1421">
      <c r="A1421" s="11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</row>
    <row r="1422">
      <c r="A1422" s="11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</row>
    <row r="1423">
      <c r="A1423" s="11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</row>
    <row r="1424">
      <c r="A1424" s="11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</row>
    <row r="1425">
      <c r="A1425" s="11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</row>
    <row r="1426">
      <c r="A1426" s="11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</row>
    <row r="1427">
      <c r="A1427" s="11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</row>
    <row r="1428">
      <c r="A1428" s="11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</row>
    <row r="1429">
      <c r="A1429" s="11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</row>
    <row r="1430">
      <c r="A1430" s="11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</row>
    <row r="1431">
      <c r="A1431" s="11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</row>
    <row r="1432">
      <c r="A1432" s="11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</row>
    <row r="1433">
      <c r="A1433" s="11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</row>
    <row r="1434">
      <c r="A1434" s="11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</row>
    <row r="1435">
      <c r="A1435" s="11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</row>
    <row r="1436">
      <c r="A1436" s="11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</row>
    <row r="1437">
      <c r="A1437" s="11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</row>
    <row r="1438">
      <c r="A1438" s="11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</row>
    <row r="1439">
      <c r="A1439" s="11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</row>
    <row r="1440">
      <c r="A1440" s="11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</row>
    <row r="1441">
      <c r="A1441" s="11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</row>
    <row r="1442">
      <c r="A1442" s="11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</row>
    <row r="1443">
      <c r="A1443" s="11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</row>
    <row r="1444">
      <c r="A1444" s="11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</row>
    <row r="1445">
      <c r="A1445" s="11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</row>
    <row r="1446">
      <c r="A1446" s="11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</row>
    <row r="1447">
      <c r="A1447" s="11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</row>
    <row r="1448">
      <c r="A1448" s="11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</row>
    <row r="1449">
      <c r="A1449" s="11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</row>
    <row r="1450">
      <c r="A1450" s="11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</row>
    <row r="1451">
      <c r="A1451" s="11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</row>
    <row r="1452">
      <c r="A1452" s="11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</row>
    <row r="1453">
      <c r="A1453" s="11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</row>
    <row r="1454">
      <c r="A1454" s="11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</row>
    <row r="1455">
      <c r="A1455" s="11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</row>
    <row r="1456">
      <c r="A1456" s="11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</row>
    <row r="1457">
      <c r="A1457" s="11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</row>
    <row r="1458">
      <c r="A1458" s="11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</row>
    <row r="1459">
      <c r="A1459" s="11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</row>
    <row r="1460">
      <c r="A1460" s="11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</row>
    <row r="1461">
      <c r="A1461" s="11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</row>
    <row r="1462">
      <c r="A1462" s="11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</row>
    <row r="1463">
      <c r="A1463" s="11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</row>
    <row r="1464">
      <c r="A1464" s="11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</row>
    <row r="1465">
      <c r="A1465" s="11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</row>
    <row r="1466">
      <c r="A1466" s="11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</row>
    <row r="1467">
      <c r="A1467" s="11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</row>
    <row r="1468">
      <c r="A1468" s="11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</row>
    <row r="1469">
      <c r="A1469" s="11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</row>
    <row r="1470">
      <c r="A1470" s="11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</row>
    <row r="1471">
      <c r="A1471" s="11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</row>
    <row r="1472">
      <c r="A1472" s="11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</row>
    <row r="1473">
      <c r="A1473" s="11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</row>
    <row r="1474">
      <c r="A1474" s="11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</row>
    <row r="1475">
      <c r="A1475" s="11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</row>
    <row r="1476">
      <c r="A1476" s="11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</row>
    <row r="1477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</row>
    <row r="1478">
      <c r="A1478" s="11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</row>
    <row r="1479">
      <c r="A1479" s="11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</row>
    <row r="1480">
      <c r="A1480" s="11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</row>
    <row r="1481">
      <c r="A1481" s="11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</row>
    <row r="1482">
      <c r="A1482" s="11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</row>
    <row r="1483">
      <c r="A1483" s="11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</row>
    <row r="1484">
      <c r="A1484" s="11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</row>
    <row r="1485">
      <c r="A1485" s="11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</row>
    <row r="1486">
      <c r="A1486" s="11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</row>
    <row r="1487">
      <c r="A1487" s="11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</row>
    <row r="1488">
      <c r="A1488" s="11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</row>
    <row r="1489">
      <c r="A1489" s="11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</row>
    <row r="1490">
      <c r="A1490" s="11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</row>
    <row r="1491">
      <c r="A1491" s="11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</row>
    <row r="1492">
      <c r="A1492" s="11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</row>
    <row r="1493">
      <c r="A1493" s="11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</row>
    <row r="1494">
      <c r="A1494" s="11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</row>
    <row r="1495">
      <c r="A1495" s="11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</row>
    <row r="1496">
      <c r="A1496" s="11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</row>
    <row r="1497">
      <c r="A1497" s="11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</row>
    <row r="1498">
      <c r="A1498" s="11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</row>
    <row r="1499">
      <c r="A1499" s="11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</row>
    <row r="1500">
      <c r="A1500" s="11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</row>
    <row r="1501">
      <c r="A1501" s="11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</row>
    <row r="1502">
      <c r="A1502" s="11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</row>
    <row r="1503">
      <c r="A1503" s="11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</row>
    <row r="1504">
      <c r="A1504" s="11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</row>
    <row r="1505">
      <c r="A1505" s="11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</row>
    <row r="1506">
      <c r="A1506" s="11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</row>
    <row r="1507">
      <c r="A1507" s="11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</row>
    <row r="1508">
      <c r="A1508" s="11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</row>
    <row r="1509">
      <c r="A1509" s="11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</row>
    <row r="1510">
      <c r="A1510" s="11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</row>
    <row r="1511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</row>
    <row r="1512">
      <c r="A1512" s="11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</row>
    <row r="1513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</row>
    <row r="1514">
      <c r="A1514" s="11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</row>
    <row r="1515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</row>
    <row r="1516">
      <c r="A1516" s="11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</row>
    <row r="1517">
      <c r="A1517" s="11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</row>
    <row r="1518">
      <c r="A1518" s="11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</row>
    <row r="1519">
      <c r="A1519" s="11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</row>
    <row r="1520">
      <c r="A1520" s="11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</row>
    <row r="1521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</row>
    <row r="1522">
      <c r="A1522" s="11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</row>
    <row r="1523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</row>
    <row r="1524">
      <c r="A1524" s="11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</row>
    <row r="1525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</row>
    <row r="1526">
      <c r="A1526" s="11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</row>
    <row r="1527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</row>
    <row r="1528">
      <c r="A1528" s="11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</row>
    <row r="1529">
      <c r="A1529" s="11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</row>
    <row r="1530">
      <c r="A1530" s="11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</row>
    <row r="1531">
      <c r="A1531" s="11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</row>
    <row r="1532">
      <c r="A1532" s="11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</row>
    <row r="1533">
      <c r="A1533" s="11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</row>
    <row r="1534">
      <c r="A1534" s="11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</row>
    <row r="1535">
      <c r="A1535" s="11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</row>
    <row r="1536">
      <c r="A1536" s="11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</row>
    <row r="1537">
      <c r="A1537" s="11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</row>
    <row r="1538">
      <c r="A1538" s="11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</row>
    <row r="1539">
      <c r="A1539" s="11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</row>
    <row r="1540">
      <c r="A1540" s="11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</row>
    <row r="1541">
      <c r="A1541" s="11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</row>
    <row r="1542">
      <c r="A1542" s="11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</row>
    <row r="1543">
      <c r="A1543" s="11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</row>
    <row r="1544">
      <c r="A1544" s="11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</row>
    <row r="1545">
      <c r="A1545" s="11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</row>
    <row r="1546">
      <c r="A1546" s="11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</row>
    <row r="1547">
      <c r="A1547" s="11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</row>
    <row r="1548">
      <c r="A1548" s="11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</row>
    <row r="1549">
      <c r="A1549" s="11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</row>
    <row r="1550">
      <c r="A1550" s="11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</row>
    <row r="1551">
      <c r="A1551" s="11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</row>
    <row r="1552">
      <c r="A1552" s="11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</row>
    <row r="1553">
      <c r="A1553" s="11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</row>
    <row r="1554">
      <c r="A1554" s="11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</row>
    <row r="1555">
      <c r="A1555" s="11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</row>
    <row r="1556">
      <c r="A1556" s="11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</row>
    <row r="1557">
      <c r="A1557" s="11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</row>
    <row r="1558">
      <c r="A1558" s="11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</row>
    <row r="1559">
      <c r="A1559" s="11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</row>
    <row r="1560">
      <c r="A1560" s="11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</row>
    <row r="1561">
      <c r="A1561" s="11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</row>
    <row r="1562">
      <c r="A1562" s="11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</row>
    <row r="1563">
      <c r="A1563" s="11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</row>
    <row r="1564">
      <c r="A1564" s="11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</row>
    <row r="1565">
      <c r="A1565" s="11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</row>
    <row r="1566">
      <c r="A1566" s="11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</row>
    <row r="1567">
      <c r="A1567" s="11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</row>
    <row r="1568">
      <c r="A1568" s="11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</row>
    <row r="1569">
      <c r="A1569" s="11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</row>
    <row r="1570">
      <c r="A1570" s="11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</row>
    <row r="1571">
      <c r="A1571" s="11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</row>
    <row r="1572">
      <c r="A1572" s="11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</row>
    <row r="1573">
      <c r="A1573" s="11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</row>
    <row r="1574">
      <c r="A1574" s="11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</row>
    <row r="1575">
      <c r="A1575" s="11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</row>
    <row r="1576">
      <c r="A1576" s="11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</row>
    <row r="1577">
      <c r="A1577" s="11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</row>
    <row r="1578">
      <c r="A1578" s="11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</row>
    <row r="1579">
      <c r="A1579" s="11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</row>
    <row r="1580">
      <c r="A1580" s="11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</row>
    <row r="1581">
      <c r="A1581" s="11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</row>
    <row r="1582">
      <c r="A1582" s="11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</row>
    <row r="1583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</row>
    <row r="1584">
      <c r="A1584" s="11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</row>
    <row r="1585">
      <c r="A1585" s="11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</row>
    <row r="1586">
      <c r="A1586" s="11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</row>
    <row r="1587">
      <c r="A1587" s="11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</row>
    <row r="1588">
      <c r="A1588" s="11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</row>
    <row r="1589">
      <c r="A1589" s="11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</row>
    <row r="1590">
      <c r="A1590" s="11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</row>
    <row r="1591">
      <c r="A1591" s="11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</row>
    <row r="1592">
      <c r="A1592" s="11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</row>
    <row r="1593">
      <c r="A1593" s="11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</row>
    <row r="1594">
      <c r="A1594" s="11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</row>
    <row r="1595">
      <c r="A1595" s="11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</row>
    <row r="1596">
      <c r="A1596" s="11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</row>
    <row r="1597">
      <c r="A1597" s="11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</row>
    <row r="1598">
      <c r="A1598" s="11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</row>
    <row r="1599">
      <c r="A1599" s="11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</row>
    <row r="1600">
      <c r="A1600" s="11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</row>
    <row r="1601">
      <c r="A1601" s="11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</row>
    <row r="1602">
      <c r="A1602" s="11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</row>
    <row r="1603">
      <c r="A1603" s="11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</row>
    <row r="1604">
      <c r="A1604" s="11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</row>
    <row r="1605">
      <c r="A1605" s="11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</row>
    <row r="1606">
      <c r="A1606" s="11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</row>
    <row r="1607">
      <c r="A1607" s="11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</row>
    <row r="1608">
      <c r="A1608" s="11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</row>
    <row r="1609">
      <c r="A1609" s="11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</row>
    <row r="1610">
      <c r="A1610" s="11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</row>
    <row r="1611">
      <c r="A1611" s="11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</row>
    <row r="1612">
      <c r="A1612" s="11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</row>
    <row r="1613">
      <c r="A1613" s="11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</row>
    <row r="1614">
      <c r="A1614" s="11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</row>
    <row r="1615">
      <c r="A1615" s="11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</row>
    <row r="1616">
      <c r="A1616" s="11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</row>
    <row r="1617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</row>
    <row r="1618">
      <c r="A1618" s="11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</row>
    <row r="1619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</row>
    <row r="1620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</row>
    <row r="1621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</row>
    <row r="1622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</row>
    <row r="1623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</row>
    <row r="1624">
      <c r="A1624" s="11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</row>
    <row r="1625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</row>
    <row r="1626">
      <c r="A1626" s="11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</row>
    <row r="1627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</row>
    <row r="1628">
      <c r="A1628" s="11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</row>
    <row r="1629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</row>
    <row r="1630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</row>
    <row r="1631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</row>
    <row r="1632">
      <c r="A1632" s="11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</row>
    <row r="1633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</row>
    <row r="1634">
      <c r="A1634" s="11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</row>
    <row r="1635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</row>
    <row r="1636">
      <c r="A1636" s="11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</row>
    <row r="1637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</row>
    <row r="1638">
      <c r="A1638" s="11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</row>
    <row r="1639">
      <c r="A1639" s="11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</row>
    <row r="1640">
      <c r="A1640" s="11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</row>
    <row r="1641">
      <c r="A1641" s="11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</row>
    <row r="1642">
      <c r="A1642" s="11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</row>
    <row r="1643">
      <c r="A1643" s="11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</row>
    <row r="1644">
      <c r="A1644" s="11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</row>
    <row r="1645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</row>
    <row r="1646">
      <c r="A1646" s="11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</row>
    <row r="1647">
      <c r="A1647" s="11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</row>
    <row r="1648">
      <c r="A1648" s="11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</row>
    <row r="1649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</row>
    <row r="1650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</row>
    <row r="1651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</row>
    <row r="1652">
      <c r="A1652" s="11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</row>
    <row r="1653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</row>
    <row r="1654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</row>
    <row r="1655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</row>
    <row r="1656">
      <c r="A1656" s="11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</row>
    <row r="1657">
      <c r="A1657" s="11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</row>
    <row r="1658">
      <c r="A1658" s="11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</row>
    <row r="1659">
      <c r="A1659" s="11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</row>
    <row r="1660">
      <c r="A1660" s="11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</row>
    <row r="1661">
      <c r="A1661" s="11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</row>
    <row r="1662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</row>
    <row r="1663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</row>
    <row r="1664">
      <c r="A1664" s="11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</row>
    <row r="1665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</row>
    <row r="1666">
      <c r="A1666" s="11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</row>
    <row r="1667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</row>
    <row r="1668">
      <c r="A1668" s="11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</row>
    <row r="1669">
      <c r="A1669" s="11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</row>
    <row r="1670">
      <c r="A1670" s="11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</row>
    <row r="1671">
      <c r="A1671" s="11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</row>
    <row r="1672">
      <c r="A1672" s="11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</row>
    <row r="1673">
      <c r="A1673" s="11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</row>
    <row r="1674">
      <c r="A1674" s="11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</row>
    <row r="1675">
      <c r="A1675" s="11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</row>
    <row r="1676">
      <c r="A1676" s="11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</row>
    <row r="1677">
      <c r="A1677" s="11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</row>
    <row r="1678">
      <c r="A1678" s="11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</row>
    <row r="1679">
      <c r="A1679" s="11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</row>
    <row r="1680">
      <c r="A1680" s="11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</row>
    <row r="1681">
      <c r="A1681" s="11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</row>
    <row r="1682">
      <c r="A1682" s="11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</row>
    <row r="1683">
      <c r="A1683" s="11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</row>
    <row r="1684">
      <c r="A1684" s="11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</row>
    <row r="1685">
      <c r="A1685" s="11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</row>
    <row r="1686">
      <c r="A1686" s="11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</row>
    <row r="1687">
      <c r="A1687" s="11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</row>
    <row r="1688">
      <c r="A1688" s="11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</row>
    <row r="1689">
      <c r="A1689" s="11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</row>
    <row r="1690">
      <c r="A1690" s="11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</row>
    <row r="1691">
      <c r="A1691" s="11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</row>
    <row r="1692">
      <c r="A1692" s="11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</row>
    <row r="1693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</row>
    <row r="1694">
      <c r="A1694" s="11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</row>
    <row r="1695">
      <c r="A1695" s="11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</row>
    <row r="1696">
      <c r="A1696" s="11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</row>
    <row r="1697">
      <c r="A1697" s="11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</row>
    <row r="1698">
      <c r="A1698" s="11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</row>
    <row r="1699">
      <c r="A1699" s="11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</row>
    <row r="1700">
      <c r="A1700" s="11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</row>
    <row r="1701">
      <c r="A1701" s="11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</row>
    <row r="1702">
      <c r="A1702" s="11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</row>
    <row r="1703">
      <c r="A1703" s="11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</row>
    <row r="1704">
      <c r="A1704" s="11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</row>
    <row r="1705">
      <c r="A1705" s="11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</row>
    <row r="1706">
      <c r="A1706" s="11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</row>
    <row r="1707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</row>
    <row r="1708">
      <c r="A1708" s="11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</row>
    <row r="1709">
      <c r="A1709" s="11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</row>
    <row r="1710">
      <c r="A1710" s="11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</row>
    <row r="1711">
      <c r="A1711" s="11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</row>
    <row r="1712">
      <c r="A1712" s="11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</row>
    <row r="1713">
      <c r="A1713" s="11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</row>
    <row r="1714">
      <c r="A1714" s="11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</row>
    <row r="1715">
      <c r="A1715" s="11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</row>
    <row r="1716">
      <c r="A1716" s="11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</row>
    <row r="1717">
      <c r="A1717" s="11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</row>
    <row r="1718">
      <c r="A1718" s="11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</row>
    <row r="1719">
      <c r="A1719" s="11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</row>
    <row r="1720">
      <c r="A1720" s="11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</row>
    <row r="1721">
      <c r="A1721" s="11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</row>
    <row r="1722">
      <c r="A1722" s="11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</row>
    <row r="1723">
      <c r="A1723" s="11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</row>
    <row r="1724">
      <c r="A1724" s="11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</row>
    <row r="1725">
      <c r="A1725" s="11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</row>
    <row r="1726">
      <c r="A1726" s="11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</row>
    <row r="1727">
      <c r="A1727" s="11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</row>
    <row r="1728">
      <c r="A1728" s="11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</row>
    <row r="1729">
      <c r="A1729" s="11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</row>
    <row r="1730">
      <c r="A1730" s="11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</row>
    <row r="1731">
      <c r="A1731" s="11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</row>
    <row r="1732">
      <c r="A1732" s="11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</row>
    <row r="1733">
      <c r="A1733" s="11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</row>
    <row r="1734">
      <c r="A1734" s="11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</row>
    <row r="1735">
      <c r="A1735" s="11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</row>
    <row r="1736">
      <c r="A1736" s="11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</row>
    <row r="1737">
      <c r="A1737" s="11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</row>
    <row r="1738">
      <c r="A1738" s="11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</row>
    <row r="1739">
      <c r="A1739" s="11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</row>
    <row r="1740">
      <c r="A1740" s="11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</row>
    <row r="1741">
      <c r="A1741" s="11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</row>
    <row r="1742">
      <c r="A1742" s="11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</row>
    <row r="1743">
      <c r="A1743" s="11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</row>
    <row r="1744">
      <c r="A1744" s="11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</row>
    <row r="1745">
      <c r="A1745" s="11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</row>
    <row r="1746">
      <c r="A1746" s="11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</row>
    <row r="1747">
      <c r="A1747" s="11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</row>
    <row r="1748">
      <c r="A1748" s="11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</row>
    <row r="1749">
      <c r="A1749" s="11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</row>
    <row r="1750">
      <c r="A1750" s="11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</row>
    <row r="1751">
      <c r="A1751" s="11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</row>
    <row r="1752">
      <c r="A1752" s="11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</row>
    <row r="1753">
      <c r="A1753" s="11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</row>
    <row r="1754">
      <c r="A1754" s="11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</row>
    <row r="1755">
      <c r="A1755" s="11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</row>
    <row r="1756">
      <c r="A1756" s="11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</row>
    <row r="1757">
      <c r="A1757" s="11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</row>
    <row r="1758">
      <c r="A1758" s="11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</row>
    <row r="1759">
      <c r="A1759" s="11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</row>
    <row r="1760">
      <c r="A1760" s="11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</row>
    <row r="1761">
      <c r="A1761" s="11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</row>
    <row r="1762">
      <c r="A1762" s="11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</row>
    <row r="1763">
      <c r="A1763" s="11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</row>
    <row r="1764">
      <c r="A1764" s="11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</row>
    <row r="1765">
      <c r="A1765" s="11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</row>
    <row r="1766">
      <c r="A1766" s="11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</row>
    <row r="1767">
      <c r="A1767" s="11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</row>
    <row r="1768">
      <c r="A1768" s="11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</row>
    <row r="1769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</row>
    <row r="1770">
      <c r="A1770" s="11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</row>
    <row r="1771">
      <c r="A1771" s="11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</row>
    <row r="1772">
      <c r="A1772" s="11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</row>
    <row r="1773">
      <c r="A1773" s="11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</row>
    <row r="1774">
      <c r="A1774" s="11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</row>
    <row r="1775">
      <c r="A1775" s="11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</row>
    <row r="1776">
      <c r="A1776" s="11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</row>
    <row r="1777">
      <c r="A1777" s="11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</row>
    <row r="1778">
      <c r="A1778" s="11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</row>
    <row r="1779">
      <c r="A1779" s="11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</row>
    <row r="1780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</row>
    <row r="1781">
      <c r="A1781" s="11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</row>
    <row r="1782">
      <c r="A1782" s="11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</row>
    <row r="1783">
      <c r="A1783" s="11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</row>
    <row r="1784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</row>
    <row r="1785">
      <c r="A1785" s="11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</row>
    <row r="1786">
      <c r="A1786" s="11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</row>
    <row r="1787">
      <c r="A1787" s="11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</row>
    <row r="1788">
      <c r="A1788" s="11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</row>
    <row r="1789">
      <c r="A1789" s="11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</row>
    <row r="1790">
      <c r="A1790" s="11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</row>
    <row r="1791">
      <c r="A1791" s="11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</row>
    <row r="1792">
      <c r="A1792" s="11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</row>
    <row r="1793">
      <c r="A1793" s="11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</row>
    <row r="1794">
      <c r="A1794" s="11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</row>
    <row r="1795">
      <c r="A1795" s="11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</row>
    <row r="1796">
      <c r="A1796" s="11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</row>
    <row r="1797">
      <c r="A1797" s="11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</row>
    <row r="1798">
      <c r="A1798" s="11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</row>
    <row r="1799">
      <c r="A1799" s="11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</row>
    <row r="1800">
      <c r="A1800" s="11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</row>
    <row r="1801">
      <c r="A1801" s="11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</row>
    <row r="1802">
      <c r="A1802" s="11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</row>
    <row r="1803">
      <c r="A1803" s="11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</row>
    <row r="1804">
      <c r="A1804" s="11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</row>
    <row r="1805">
      <c r="A1805" s="11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</row>
    <row r="1806">
      <c r="A1806" s="11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</row>
    <row r="1807">
      <c r="A1807" s="11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</row>
    <row r="1808">
      <c r="A1808" s="11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</row>
    <row r="1809">
      <c r="A1809" s="11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</row>
    <row r="1810">
      <c r="A1810" s="11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</row>
    <row r="1811">
      <c r="A1811" s="11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</row>
    <row r="1812">
      <c r="A1812" s="11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</row>
    <row r="1813">
      <c r="A1813" s="11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</row>
    <row r="1814">
      <c r="A1814" s="11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</row>
    <row r="1815">
      <c r="A1815" s="11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</row>
    <row r="1816">
      <c r="A1816" s="11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</row>
    <row r="1817">
      <c r="A1817" s="11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</row>
    <row r="1818">
      <c r="A1818" s="11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</row>
    <row r="1819">
      <c r="A1819" s="11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</row>
    <row r="1820">
      <c r="A1820" s="11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</row>
    <row r="1821">
      <c r="A1821" s="11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</row>
    <row r="1822">
      <c r="A1822" s="11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</row>
    <row r="1823">
      <c r="A1823" s="11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</row>
    <row r="1824">
      <c r="A1824" s="11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</row>
    <row r="1825">
      <c r="A1825" s="11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</row>
    <row r="1826">
      <c r="A1826" s="11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</row>
    <row r="1827">
      <c r="A1827" s="11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</row>
    <row r="1828">
      <c r="A1828" s="11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</row>
    <row r="1829">
      <c r="A1829" s="11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</row>
    <row r="1830">
      <c r="A1830" s="11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</row>
    <row r="1831">
      <c r="A1831" s="11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</row>
    <row r="1832">
      <c r="A1832" s="11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</row>
    <row r="1833">
      <c r="A1833" s="11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</row>
    <row r="1834">
      <c r="A1834" s="11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</row>
    <row r="1835">
      <c r="A1835" s="11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</row>
    <row r="1836">
      <c r="A1836" s="11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</row>
    <row r="1837">
      <c r="A1837" s="11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</row>
    <row r="1838">
      <c r="A1838" s="11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</row>
    <row r="1839">
      <c r="A1839" s="11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</row>
    <row r="1840">
      <c r="A1840" s="11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</row>
    <row r="1841">
      <c r="A1841" s="11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</row>
    <row r="1842">
      <c r="A1842" s="11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</row>
  </sheetData>
  <mergeCells count="1">
    <mergeCell ref="D729:E729"/>
  </mergeCells>
  <dataValidations>
    <dataValidation type="list" allowBlank="1" showErrorMessage="1" sqref="Q2:Q1842">
      <formula1>"ATL-0001,ATL-0002,ATL-0003,ATL-0004,ATL-0005,ATL-0006,ATL-0007,ATL-0008,ATL-0009,ATL-0010,ATL-0011,ATL-0012,ATL-0013,ATL-0014,ATL-0015,ATL-0016,ATL-0017,ATL-0018,ATL-0019,ATL-0020,ATL-0021,ATL-0022,ATL-0023,ATL-0024,ATL-0025,ATL-0026,ATL-0027,ATL-0028,ATL"&amp;"-0029,ATL-0030,ATL-0031,ATL-0032,ATL-0033,ATL-0034,ATL-0035,ATL-0036,ATL-0037,ATL-0038,ATL-0039,ATL-0040,ATL-0041,ATL-0042,ATL-0043,ATL-0044,ATL-0045,ATL-0046,ATL-0047,ATL-0048,ATL-0049,ATL-0050,ATL-0051,ATL-0052,ATL-0053,ATL-0054,ATL-0055,ATL-0056,ATL-00"&amp;"57,ATL-0058,ATL-0059,ATL-0060,ATL-0061,ATL-0062,ATL-0063,ATL-0064,ATL-0065,ATL-0066,ATL-0067,ATL-0068,ATL-0069,ATL-0070,ATL-0071,ATL-0072,ATL-0073,ATL-0074,ATL-0075,ATL-0076,ATL-0077,ATL-0078,ATL-0079,ATL-0080,ATL-0081,ATL-0082,ATL-0083,ATL-0084,ATL-0085,"&amp;"ATL-0086,ATL-0087,ATL-0088,ATL-0089,ATL-0090,ATL-0091,ATL-0092,ATL-0093,ATL-0094,ATL-0095,ATL-0096,ATL-0097,ATL-0098,ATL-0099,BOS-0001,BOS-0002,BOS-0003,BOS-0004,BOS-0005,BOS-0006,BOS-0007,BOS-0008,BOS-0009,BOS-0010,BOS-0011,BOS-0012,BOS-0013,BOS-0014,BOS"&amp;"-0015,BOS-0016,BOS-0017,BOS-0018,BOS-0019,BOS-0020,BOS-0021,BOS-0022,BOS-0023,BOS-0024,BOS-0025,BOS-0026,BOS-0027,BOS-0028,BOS-0029,BOS-0030,BOS-0031,BOS-0032,BOS-0033,BOS-0034,BOS-0035,BOS-0036,BOS-0037,BOS-0038,BOS-0039,BOS-0040,BOS-0041,BOS-0042,BOS-00"&amp;"43,BOS-0044,BOS-0045,BOS-0046,BOS-0047,BOS-0048,BOS-0049,BOS-0050,BOS-0051,BOS-0052,BOS-0053,CHI-0001,CHI-0002,CHI-0003,CHI-0004,CHI-0005,CHI-0006,CHI-0007,CHI-0008,CHI-0009,CHI-0010,CHI-0011,CHI-0012,CHI-0013,CHI-0014,CHI-0015,CHI-0016,CHI-0017,CHI-0018,"&amp;"CHI-0019,CHI-0020,CHI-0021,CHI-0022,CHI-0023,CHI-0024,CHI-0025,CHI-0026,CHI-0027,CHI-0028,CHI-0029,CHI-0030,CHI-0031,CHI-0032,CHI-0033,CHI-0034,CHI-0035,DAL-0001,DAL-0002,DAL-0003,DAL-0004,DAL-0005,DAL-0006,DAL-0007,DAL-0008,DAL-0009,DAL-0010,DAL-0011,DAL"&amp;"-0012,DAL-0013,DAL-0014,DAL-0015,DAL-0016,DAL-0017,DAL-0018,DAL-0019,DAL-0020,DAL-0021,DAL-0022,DAL-0023,DAL-0024,DAL-0025,DAL-0026,DAL-0027,DAL-0028,DAL-0029,DAL-0030,DAL-0031,DAL-0032,DAL-0033,DAL-0034,DAL-0035,DEN-0001,DEN-0002,DEN-0003,DEN-0004,DEN-00"&amp;"05,DEN-0006,DEN-0007,DEN-0008,DEN-0009,DEN-0010,DEN-0011,DEN-0012,DEN-0013,DEN-0014,DEN-0015,DEN-0016,DEN-0017,DEN-0018,DEN-0019,DEN-0020,DEN-0021,DEN-0022,DEN-0023,DEN-0024,DEN-0025,DEN-0026,DEN-0027,DEN-0028,DEN-0029,DEN-0030,DEN-0031,DEN-0032,DEN-0033,"&amp;"DEN-0034,DEN-0035,DEN-0036,DEN-0037,DEN-0038,DEN-0039,DEN-0040,DEN-0041,DEN-0042,GSW-0001,GSW-0002,GSW-0003,GSW-0004,GSW-0005,GSW-0006,GSW-0007,GSW-0008,GSW-0009,GSW-0010,GSW-0011,GSW-0012,GSW-0013,GSW-0014,GSW-0015,GSW-0016,GSW-0017,GSW-0018,GSW-0019,GSW"&amp;"-0020,GSW-0021,GSW-0022,GSW-0023,GSW-0024,GSW-0025,GSW-0026,GSW-0027,GSW-0028,GSW-0029,GSW-0030,GSW-0031,IND-0001,IND-0002,IND-0003,IND-0004,IND-0005,IND-0006,IND-0007,IND-0008,IND-0009,IND-0010,IND-0011,IND-0012,IND-0013,IND-0014,IND-0015,IND-0016,IND-00"&amp;"17,IND-0018,IND-0019,IND-0020,IND-0021,IND-0022,IND-0023,IND-0024,IND-0025,IND-0026,IND-0027,IND-0028,IND-0029,IND-0030,IND-0031,IND-0032,IND-0033,IND-0034,IND-0035,IND-0036,IND-0037,LAL-0001,LAL-0002,LAL-0003,LAL-0004,LAL-0005,LAL-0006,LAL-0007,LAL-0008,"&amp;"LAL-0009,LAL-0010,LAL-0011,LAL-0012,LAL-0013,LAL-0014,LAL-0015,LAL-0016,LAL-0017,LAL-0018,LAL-0019,LAL-0020,LAL-0021,LAL-0022,LAL-0023,LAL-0024,LAL-0025,LAL-0026,LAL-0027,LAL-0028,LAL-0029,LAL-0030,LAL-0031,LAL-0032,LAL-0033,LAL-0034,LAL-0035,LAL-0036,LAL"&amp;"-0037,LAL-0038,LAL-0039,LAL-0040,LAL-0041,LAL-0042,LAL-0043,LAL-0044,LAL-0045,LAL-0046,LAL-0047,LAL-0048,LAL-0049,LAL-0050,LAL-0051,LAL-0052,LAL-0053,LAL-0054,LAL-0055,LAL-0056,LAL-0057,LAL-0058,LAL-0059,LAL-0060,LAL-0061,LAL-0062,LAL-0063,MIA-0001,MIA-00"&amp;"02,MIA-0003,MIA-0004,MIA-0005,MIA-0006,MIA-0007,MIA-0008,MIA-0009,MIA-0010,MIA-0011,MIA-0012,MIA-0013,MIA-0014,MIA-0015,MIA-0016,MIA-0017,MIA-0018,MIA-0019,MIA-0020,MIA-0021,MIA-0022,MIA-0023,MIA-0024,MIA-0025,MIA-0026,MIA-0027,MIA-0028,MIA-0029,MIA-0030,"&amp;"MIA-0031,MIA-0032,ORL-0001,ORL-0002,ORL-0003,ORL-0004,ORL-0005,ORL-0006,ORL-0007,ORL-0008,ORL-0009,ORL-0010,ORL-0011,ORL-0012,ORL-0013,ORL-0014,ORL-0015,ORL-0016,ORL-0017,ORL-0018,ORL-0019,ORL-0020,PHX-0001,PHX-0002,PHX-0003,PHX-0004,PHX-0005,PHX-0006,PHX"&amp;"-0007,PHX-0008,PHX-0009,PHX-0010,PHX-0011,PHX-0012,PHX-0013,PHX-0014,PHX-0015,PHX-0016,PHX-0017,PHX-0018,PHX-0019,PHX-0020,PHX-0021,PHX-0022,PHX-0023,PHX-0024,PHX-0025,PHX-0026,PHX-0027,PHX-0028,PHX-0029,PHX-0030,PHX-0031,PHX-0032,PHX-0033,PHX-0034,PHX-00"&amp;"35,SAC-0001,SAC-0002,SAC-0003,SAC-0004,SAC-0005,SAC-0006,SAC-0007,SAC-0008,SAC-0009,SAC-0010,SAC-0011,SAC-0012,SAC-0013,SAC-0014,SAC-0015,SAC-0016,SAS-0001,SAS-0002"</formula1>
    </dataValidation>
    <dataValidation type="list" allowBlank="1" showErrorMessage="1" sqref="P2:P354">
      <formula1>"FMG Cabinet,WFH,IT Area,Mezzanine,Transferred,Deployed Onsite,C3-6 2nd floor,IT storage"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3.38"/>
    <col customWidth="1" min="3" max="3" width="29.13"/>
    <col customWidth="1" min="4" max="4" width="10.25"/>
    <col customWidth="1" min="5" max="5" width="14.88"/>
    <col customWidth="1" min="6" max="6" width="14.63"/>
    <col customWidth="1" min="7" max="7" width="12.13"/>
  </cols>
  <sheetData>
    <row r="1">
      <c r="A1" s="102"/>
      <c r="B1" s="102"/>
      <c r="C1" s="102"/>
      <c r="D1" s="102"/>
      <c r="E1" s="102"/>
      <c r="F1" s="102"/>
      <c r="G1" s="102"/>
      <c r="P1" s="153"/>
    </row>
    <row r="2">
      <c r="A2" s="16"/>
      <c r="B2" s="16"/>
      <c r="C2" s="16"/>
      <c r="D2" s="16"/>
      <c r="E2" s="16"/>
      <c r="F2" s="16"/>
      <c r="G2" s="16"/>
      <c r="P2" s="153"/>
    </row>
    <row r="3">
      <c r="A3" s="16"/>
      <c r="B3" s="16"/>
      <c r="C3" s="16"/>
      <c r="D3" s="16"/>
      <c r="E3" s="16"/>
      <c r="F3" s="16"/>
      <c r="G3" s="16"/>
      <c r="P3" s="153"/>
    </row>
    <row r="4">
      <c r="A4" s="16"/>
      <c r="B4" s="16"/>
      <c r="C4" s="16"/>
      <c r="D4" s="16"/>
      <c r="E4" s="16"/>
      <c r="F4" s="16"/>
      <c r="G4" s="16"/>
      <c r="P4" s="153"/>
    </row>
    <row r="5">
      <c r="A5" s="16"/>
      <c r="B5" s="16"/>
      <c r="C5" s="16"/>
      <c r="D5" s="16"/>
      <c r="E5" s="123"/>
      <c r="F5" s="16"/>
      <c r="G5" s="16"/>
      <c r="P5" s="153"/>
    </row>
    <row r="6">
      <c r="A6" s="16"/>
      <c r="B6" s="16"/>
      <c r="C6" s="16"/>
      <c r="D6" s="16"/>
      <c r="E6" s="16"/>
      <c r="F6" s="16"/>
      <c r="G6" s="16"/>
      <c r="P6" s="153"/>
    </row>
    <row r="7">
      <c r="A7" s="16"/>
      <c r="B7" s="16"/>
      <c r="C7" s="16"/>
      <c r="D7" s="16"/>
      <c r="E7" s="16"/>
      <c r="F7" s="16"/>
      <c r="G7" s="16"/>
      <c r="P7" s="153"/>
    </row>
    <row r="8">
      <c r="A8" s="16"/>
      <c r="B8" s="16"/>
      <c r="C8" s="16"/>
      <c r="D8" s="16"/>
      <c r="E8" s="123"/>
      <c r="F8" s="16"/>
      <c r="G8" s="16"/>
      <c r="P8" s="153"/>
    </row>
    <row r="9">
      <c r="A9" s="16"/>
      <c r="B9" s="16"/>
      <c r="C9" s="16"/>
      <c r="D9" s="16"/>
      <c r="E9" s="123"/>
      <c r="F9" s="16"/>
      <c r="G9" s="16"/>
      <c r="P9" s="153"/>
    </row>
    <row r="10">
      <c r="A10" s="16"/>
      <c r="B10" s="16"/>
      <c r="C10" s="16"/>
      <c r="D10" s="16"/>
      <c r="E10" s="16"/>
      <c r="F10" s="16"/>
      <c r="G10" s="16"/>
      <c r="P10" s="153"/>
    </row>
    <row r="11">
      <c r="A11" s="16"/>
      <c r="B11" s="16"/>
      <c r="C11" s="16"/>
      <c r="D11" s="16"/>
      <c r="E11" s="123"/>
      <c r="F11" s="16"/>
      <c r="G11" s="16"/>
      <c r="P11" s="153"/>
    </row>
    <row r="12">
      <c r="A12" s="16"/>
      <c r="B12" s="16"/>
      <c r="C12" s="16"/>
      <c r="D12" s="16"/>
      <c r="E12" s="123"/>
      <c r="F12" s="16"/>
      <c r="G12" s="16"/>
      <c r="P12" s="153"/>
    </row>
    <row r="13">
      <c r="A13" s="16"/>
      <c r="B13" s="16"/>
      <c r="C13" s="16"/>
      <c r="D13" s="16"/>
      <c r="E13" s="123"/>
      <c r="F13" s="16"/>
      <c r="G13" s="16"/>
      <c r="P13" s="153"/>
    </row>
    <row r="14">
      <c r="A14" s="16"/>
      <c r="B14" s="16"/>
      <c r="C14" s="16"/>
      <c r="D14" s="16"/>
      <c r="E14" s="123"/>
      <c r="F14" s="16"/>
      <c r="G14" s="16"/>
      <c r="P14" s="153"/>
    </row>
    <row r="15">
      <c r="A15" s="16"/>
      <c r="B15" s="16"/>
      <c r="C15" s="16"/>
      <c r="D15" s="16"/>
      <c r="E15" s="123"/>
      <c r="F15" s="16"/>
      <c r="G15" s="16"/>
      <c r="P15" s="153"/>
    </row>
    <row r="16">
      <c r="A16" s="16"/>
      <c r="B16" s="16"/>
      <c r="C16" s="16"/>
      <c r="D16" s="16"/>
      <c r="E16" s="123"/>
      <c r="F16" s="16"/>
      <c r="G16" s="16"/>
      <c r="P16" s="153"/>
    </row>
    <row r="17">
      <c r="A17" s="16"/>
      <c r="B17" s="16"/>
      <c r="C17" s="16"/>
      <c r="D17" s="16"/>
      <c r="E17" s="123"/>
      <c r="F17" s="16"/>
      <c r="G17" s="16"/>
      <c r="P17" s="153"/>
    </row>
    <row r="18">
      <c r="A18" s="16"/>
      <c r="B18" s="16"/>
      <c r="C18" s="16"/>
      <c r="D18" s="16"/>
      <c r="E18" s="16"/>
      <c r="F18" s="16"/>
      <c r="G18" s="16"/>
      <c r="P18" s="153"/>
    </row>
    <row r="19">
      <c r="A19" s="16"/>
      <c r="B19" s="16"/>
      <c r="C19" s="16"/>
      <c r="D19" s="16"/>
      <c r="E19" s="123"/>
      <c r="F19" s="16"/>
      <c r="G19" s="16"/>
      <c r="P19" s="153"/>
    </row>
    <row r="20">
      <c r="A20" s="16"/>
      <c r="B20" s="16"/>
      <c r="C20" s="16"/>
      <c r="D20" s="16"/>
      <c r="E20" s="16"/>
      <c r="F20" s="16"/>
      <c r="G20" s="16"/>
      <c r="P20" s="153"/>
    </row>
    <row r="21">
      <c r="A21" s="16"/>
      <c r="B21" s="16"/>
      <c r="C21" s="16"/>
      <c r="D21" s="16"/>
      <c r="E21" s="16"/>
      <c r="F21" s="16"/>
      <c r="G21" s="16"/>
      <c r="P21" s="153"/>
    </row>
    <row r="22">
      <c r="A22" s="16"/>
      <c r="B22" s="16"/>
      <c r="C22" s="16"/>
      <c r="D22" s="16"/>
      <c r="E22" s="123"/>
      <c r="F22" s="16"/>
      <c r="G22" s="16"/>
      <c r="P22" s="153"/>
    </row>
    <row r="23">
      <c r="A23" s="16"/>
      <c r="B23" s="16"/>
      <c r="C23" s="16"/>
      <c r="D23" s="16"/>
      <c r="E23" s="16"/>
      <c r="F23" s="16"/>
      <c r="G23" s="16"/>
      <c r="P23" s="153"/>
    </row>
    <row r="24">
      <c r="A24" s="16"/>
      <c r="B24" s="16"/>
      <c r="C24" s="16"/>
      <c r="D24" s="16"/>
      <c r="E24" s="123"/>
      <c r="F24" s="16"/>
      <c r="G24" s="16"/>
      <c r="P24" s="153"/>
    </row>
    <row r="25">
      <c r="A25" s="16"/>
      <c r="B25" s="16"/>
      <c r="C25" s="16"/>
      <c r="D25" s="16"/>
      <c r="E25" s="16"/>
      <c r="F25" s="16"/>
      <c r="G25" s="16"/>
      <c r="P25" s="153"/>
    </row>
    <row r="26">
      <c r="A26" s="16"/>
      <c r="B26" s="16"/>
      <c r="C26" s="16"/>
      <c r="D26" s="16"/>
      <c r="E26" s="16"/>
      <c r="F26" s="16"/>
      <c r="G26" s="16"/>
      <c r="P26" s="153"/>
    </row>
    <row r="27">
      <c r="A27" s="16"/>
      <c r="B27" s="16"/>
      <c r="C27" s="16"/>
      <c r="D27" s="16"/>
      <c r="E27" s="123"/>
      <c r="F27" s="16"/>
      <c r="G27" s="16"/>
      <c r="P27" s="153"/>
    </row>
    <row r="28">
      <c r="A28" s="16"/>
      <c r="B28" s="16"/>
      <c r="C28" s="16"/>
      <c r="D28" s="16"/>
      <c r="E28" s="123"/>
      <c r="F28" s="16"/>
      <c r="G28" s="16"/>
      <c r="P28" s="153"/>
    </row>
    <row r="29">
      <c r="A29" s="16"/>
      <c r="B29" s="16"/>
      <c r="C29" s="16"/>
      <c r="D29" s="16"/>
      <c r="E29" s="123"/>
      <c r="F29" s="16"/>
      <c r="G29" s="16"/>
      <c r="P29" s="153"/>
    </row>
    <row r="30">
      <c r="A30" s="16"/>
      <c r="B30" s="16"/>
      <c r="C30" s="16"/>
      <c r="D30" s="16"/>
      <c r="E30" s="123"/>
      <c r="F30" s="16"/>
      <c r="G30" s="16"/>
      <c r="P30" s="153"/>
    </row>
    <row r="31">
      <c r="A31" s="16"/>
      <c r="B31" s="16"/>
      <c r="C31" s="16"/>
      <c r="D31" s="16"/>
      <c r="E31" s="123"/>
      <c r="F31" s="16"/>
      <c r="G31" s="16"/>
      <c r="P31" s="153"/>
    </row>
    <row r="32">
      <c r="A32" s="16"/>
      <c r="B32" s="16"/>
      <c r="C32" s="16"/>
      <c r="D32" s="16"/>
      <c r="E32" s="123"/>
      <c r="F32" s="16"/>
      <c r="G32" s="16"/>
      <c r="P32" s="153"/>
    </row>
    <row r="33">
      <c r="A33" s="16"/>
      <c r="B33" s="16"/>
      <c r="C33" s="16"/>
      <c r="D33" s="16"/>
      <c r="E33" s="123"/>
      <c r="F33" s="16"/>
      <c r="G33" s="16"/>
      <c r="P33" s="153"/>
    </row>
    <row r="34">
      <c r="A34" s="16"/>
      <c r="B34" s="16"/>
      <c r="C34" s="16"/>
      <c r="D34" s="16"/>
      <c r="E34" s="123"/>
      <c r="F34" s="16"/>
      <c r="G34" s="16"/>
      <c r="P34" s="153"/>
    </row>
    <row r="35">
      <c r="A35" s="16"/>
      <c r="B35" s="16"/>
      <c r="C35" s="16"/>
      <c r="D35" s="16"/>
      <c r="E35" s="123"/>
      <c r="F35" s="16"/>
      <c r="G35" s="16"/>
      <c r="P35" s="153"/>
    </row>
    <row r="36">
      <c r="A36" s="16"/>
      <c r="B36" s="16"/>
      <c r="C36" s="16"/>
      <c r="D36" s="16"/>
      <c r="E36" s="16"/>
      <c r="F36" s="16"/>
      <c r="G36" s="16"/>
      <c r="P36" s="153"/>
    </row>
    <row r="37">
      <c r="A37" s="16"/>
      <c r="B37" s="16"/>
      <c r="C37" s="16"/>
      <c r="D37" s="16"/>
      <c r="E37" s="123"/>
      <c r="F37" s="16"/>
      <c r="G37" s="16"/>
      <c r="P37" s="153"/>
    </row>
    <row r="38">
      <c r="A38" s="16"/>
      <c r="B38" s="16"/>
      <c r="C38" s="16"/>
      <c r="D38" s="16"/>
      <c r="E38" s="123"/>
      <c r="F38" s="16"/>
      <c r="G38" s="16"/>
      <c r="P38" s="153"/>
    </row>
    <row r="39">
      <c r="A39" s="16"/>
      <c r="B39" s="16"/>
      <c r="C39" s="16"/>
      <c r="D39" s="16"/>
      <c r="E39" s="123"/>
      <c r="F39" s="16"/>
      <c r="G39" s="16"/>
      <c r="P39" s="153"/>
    </row>
    <row r="40">
      <c r="A40" s="16"/>
      <c r="B40" s="16"/>
      <c r="C40" s="16"/>
      <c r="D40" s="16"/>
      <c r="E40" s="16"/>
      <c r="F40" s="16"/>
      <c r="G40" s="16"/>
      <c r="P40" s="153"/>
    </row>
    <row r="41">
      <c r="A41" s="16"/>
      <c r="B41" s="16"/>
      <c r="C41" s="16"/>
      <c r="D41" s="16"/>
      <c r="E41" s="16"/>
      <c r="F41" s="16"/>
      <c r="G41" s="16"/>
      <c r="P41" s="153"/>
    </row>
    <row r="42">
      <c r="A42" s="16"/>
      <c r="B42" s="16"/>
      <c r="C42" s="16"/>
      <c r="D42" s="16"/>
      <c r="E42" s="123"/>
      <c r="F42" s="16"/>
      <c r="G42" s="16"/>
      <c r="P42" s="153"/>
    </row>
    <row r="43">
      <c r="A43" s="16"/>
      <c r="B43" s="16"/>
      <c r="C43" s="16"/>
      <c r="D43" s="16"/>
      <c r="E43" s="123"/>
      <c r="F43" s="16"/>
      <c r="G43" s="16"/>
      <c r="P43" s="153"/>
    </row>
    <row r="44">
      <c r="A44" s="16"/>
      <c r="B44" s="16"/>
      <c r="C44" s="16"/>
      <c r="D44" s="16"/>
      <c r="E44" s="16"/>
      <c r="F44" s="16"/>
      <c r="G44" s="16"/>
      <c r="P44" s="153"/>
    </row>
    <row r="45">
      <c r="A45" s="16"/>
      <c r="B45" s="16"/>
      <c r="C45" s="16"/>
      <c r="D45" s="16"/>
      <c r="E45" s="16"/>
      <c r="F45" s="16"/>
      <c r="G45" s="16"/>
      <c r="P45" s="153"/>
    </row>
    <row r="46">
      <c r="A46" s="16"/>
      <c r="B46" s="16"/>
      <c r="C46" s="16"/>
      <c r="D46" s="16"/>
      <c r="E46" s="123"/>
      <c r="F46" s="16"/>
      <c r="G46" s="16"/>
      <c r="P46" s="153"/>
    </row>
    <row r="47">
      <c r="A47" s="16"/>
      <c r="B47" s="16"/>
      <c r="C47" s="16"/>
      <c r="D47" s="16"/>
      <c r="E47" s="16"/>
      <c r="F47" s="16"/>
      <c r="G47" s="16"/>
      <c r="P47" s="153"/>
    </row>
    <row r="48">
      <c r="A48" s="16"/>
      <c r="B48" s="16"/>
      <c r="C48" s="16"/>
      <c r="D48" s="16"/>
      <c r="E48" s="16"/>
      <c r="F48" s="16"/>
      <c r="G48" s="16"/>
      <c r="P48" s="153"/>
    </row>
    <row r="49">
      <c r="A49" s="16"/>
      <c r="B49" s="16"/>
      <c r="C49" s="16"/>
      <c r="D49" s="16"/>
      <c r="E49" s="123"/>
      <c r="F49" s="16"/>
      <c r="G49" s="16"/>
      <c r="P49" s="153"/>
    </row>
    <row r="50">
      <c r="A50" s="16"/>
      <c r="B50" s="16"/>
      <c r="C50" s="16"/>
      <c r="D50" s="16"/>
      <c r="E50" s="16"/>
      <c r="F50" s="16"/>
      <c r="G50" s="16"/>
      <c r="P50" s="153"/>
    </row>
    <row r="51">
      <c r="A51" s="16"/>
      <c r="B51" s="16"/>
      <c r="C51" s="16"/>
      <c r="D51" s="16"/>
      <c r="E51" s="16"/>
      <c r="F51" s="16"/>
      <c r="G51" s="16"/>
      <c r="P51" s="153"/>
    </row>
    <row r="52">
      <c r="A52" s="16"/>
      <c r="B52" s="16"/>
      <c r="C52" s="16"/>
      <c r="D52" s="16"/>
      <c r="E52" s="16"/>
      <c r="F52" s="16"/>
      <c r="G52" s="16"/>
      <c r="P52" s="153"/>
    </row>
    <row r="53">
      <c r="A53" s="16"/>
      <c r="B53" s="16"/>
      <c r="C53" s="16"/>
      <c r="D53" s="16"/>
      <c r="E53" s="16"/>
      <c r="F53" s="16"/>
      <c r="G53" s="16"/>
      <c r="P53" s="153"/>
    </row>
    <row r="54">
      <c r="A54" s="16"/>
      <c r="B54" s="16"/>
      <c r="C54" s="16"/>
      <c r="D54" s="16"/>
      <c r="E54" s="123"/>
      <c r="F54" s="16"/>
      <c r="G54" s="16"/>
      <c r="P54" s="153"/>
    </row>
    <row r="55">
      <c r="A55" s="16"/>
      <c r="B55" s="16"/>
      <c r="C55" s="16"/>
      <c r="D55" s="16"/>
      <c r="E55" s="123"/>
      <c r="F55" s="16"/>
      <c r="G55" s="16"/>
      <c r="P55" s="153"/>
    </row>
    <row r="56">
      <c r="A56" s="16"/>
      <c r="B56" s="16"/>
      <c r="C56" s="16"/>
      <c r="D56" s="16"/>
      <c r="E56" s="123"/>
      <c r="F56" s="16"/>
      <c r="G56" s="16"/>
      <c r="P56" s="153"/>
    </row>
    <row r="57">
      <c r="A57" s="16"/>
      <c r="B57" s="16"/>
      <c r="C57" s="16"/>
      <c r="D57" s="16"/>
      <c r="E57" s="123"/>
      <c r="F57" s="16"/>
      <c r="G57" s="16"/>
      <c r="P57" s="153"/>
    </row>
    <row r="58">
      <c r="A58" s="16"/>
      <c r="B58" s="16"/>
      <c r="C58" s="16"/>
      <c r="D58" s="16"/>
      <c r="E58" s="16"/>
      <c r="F58" s="16"/>
      <c r="G58" s="16"/>
      <c r="P58" s="153"/>
    </row>
    <row r="59">
      <c r="A59" s="16"/>
      <c r="B59" s="16"/>
      <c r="C59" s="16"/>
      <c r="D59" s="16"/>
      <c r="E59" s="16"/>
      <c r="F59" s="16"/>
      <c r="G59" s="16"/>
      <c r="P59" s="153"/>
    </row>
    <row r="60">
      <c r="A60" s="16"/>
      <c r="B60" s="16"/>
      <c r="C60" s="16"/>
      <c r="D60" s="16"/>
      <c r="E60" s="16"/>
      <c r="F60" s="16"/>
      <c r="G60" s="16"/>
      <c r="P60" s="153"/>
    </row>
    <row r="61">
      <c r="A61" s="16"/>
      <c r="B61" s="16"/>
      <c r="C61" s="16"/>
      <c r="D61" s="16"/>
      <c r="E61" s="16"/>
      <c r="F61" s="16"/>
      <c r="G61" s="16"/>
      <c r="P61" s="153"/>
    </row>
    <row r="62">
      <c r="A62" s="16"/>
      <c r="B62" s="16"/>
      <c r="C62" s="16"/>
      <c r="D62" s="16"/>
      <c r="E62" s="16"/>
      <c r="F62" s="16"/>
      <c r="G62" s="16"/>
      <c r="P62" s="153"/>
    </row>
    <row r="63">
      <c r="A63" s="16"/>
      <c r="B63" s="16"/>
      <c r="C63" s="16"/>
      <c r="D63" s="16"/>
      <c r="E63" s="16"/>
      <c r="F63" s="16"/>
      <c r="G63" s="16"/>
      <c r="P63" s="153"/>
    </row>
    <row r="64">
      <c r="A64" s="16"/>
      <c r="B64" s="16"/>
      <c r="C64" s="16"/>
      <c r="D64" s="16"/>
      <c r="E64" s="16"/>
      <c r="F64" s="16"/>
      <c r="G64" s="16"/>
      <c r="P64" s="153"/>
    </row>
    <row r="65">
      <c r="A65" s="16"/>
      <c r="B65" s="16"/>
      <c r="C65" s="16"/>
      <c r="D65" s="16"/>
      <c r="E65" s="123"/>
      <c r="F65" s="16"/>
      <c r="G65" s="16"/>
      <c r="P65" s="153"/>
    </row>
    <row r="66">
      <c r="A66" s="16"/>
      <c r="B66" s="16"/>
      <c r="C66" s="16"/>
      <c r="D66" s="16"/>
      <c r="E66" s="123"/>
      <c r="F66" s="16"/>
      <c r="G66" s="16"/>
      <c r="P66" s="153"/>
    </row>
    <row r="67">
      <c r="A67" s="16"/>
      <c r="B67" s="16"/>
      <c r="C67" s="16"/>
      <c r="D67" s="16"/>
      <c r="E67" s="123"/>
      <c r="F67" s="16"/>
      <c r="G67" s="16"/>
      <c r="P67" s="153"/>
    </row>
    <row r="68">
      <c r="A68" s="16"/>
      <c r="B68" s="16"/>
      <c r="C68" s="16"/>
      <c r="D68" s="16"/>
      <c r="E68" s="123"/>
      <c r="F68" s="16"/>
      <c r="G68" s="16"/>
      <c r="P68" s="153"/>
    </row>
    <row r="69">
      <c r="A69" s="16"/>
      <c r="B69" s="16"/>
      <c r="C69" s="16"/>
      <c r="D69" s="16"/>
      <c r="E69" s="16"/>
      <c r="F69" s="16"/>
      <c r="G69" s="16"/>
      <c r="P69" s="153"/>
    </row>
    <row r="70">
      <c r="A70" s="16"/>
      <c r="B70" s="16"/>
      <c r="C70" s="16"/>
      <c r="D70" s="16"/>
      <c r="E70" s="123"/>
      <c r="F70" s="16"/>
      <c r="G70" s="16"/>
      <c r="P70" s="153"/>
    </row>
    <row r="71">
      <c r="A71" s="16"/>
      <c r="B71" s="16"/>
      <c r="C71" s="16"/>
      <c r="D71" s="16"/>
      <c r="E71" s="123"/>
      <c r="F71" s="16"/>
      <c r="G71" s="16"/>
      <c r="P71" s="153"/>
    </row>
    <row r="72">
      <c r="A72" s="16"/>
      <c r="B72" s="16"/>
      <c r="C72" s="16"/>
      <c r="D72" s="16"/>
      <c r="E72" s="123"/>
      <c r="F72" s="16"/>
      <c r="G72" s="16"/>
      <c r="P72" s="153"/>
    </row>
    <row r="73">
      <c r="A73" s="16"/>
      <c r="B73" s="16"/>
      <c r="C73" s="16"/>
      <c r="D73" s="16"/>
      <c r="E73" s="123"/>
      <c r="F73" s="16"/>
      <c r="G73" s="16"/>
      <c r="P73" s="153"/>
    </row>
    <row r="74">
      <c r="A74" s="16"/>
      <c r="B74" s="16"/>
      <c r="C74" s="16"/>
      <c r="D74" s="16"/>
      <c r="E74" s="16"/>
      <c r="F74" s="16"/>
      <c r="G74" s="16"/>
      <c r="P74" s="153"/>
    </row>
    <row r="75">
      <c r="A75" s="16"/>
      <c r="B75" s="16"/>
      <c r="C75" s="16"/>
      <c r="D75" s="16"/>
      <c r="E75" s="123"/>
      <c r="F75" s="16"/>
      <c r="G75" s="16"/>
      <c r="P75" s="153"/>
    </row>
    <row r="76">
      <c r="A76" s="16"/>
      <c r="B76" s="16"/>
      <c r="C76" s="16"/>
      <c r="D76" s="17"/>
      <c r="E76" s="17"/>
      <c r="F76" s="16"/>
      <c r="G76" s="16"/>
      <c r="P76" s="153"/>
    </row>
    <row r="77">
      <c r="A77" s="16"/>
      <c r="B77" s="16"/>
      <c r="C77" s="16"/>
      <c r="D77" s="16"/>
      <c r="E77" s="16"/>
      <c r="F77" s="16"/>
      <c r="G77" s="16"/>
      <c r="P77" s="153"/>
    </row>
    <row r="78">
      <c r="A78" s="16"/>
      <c r="B78" s="16"/>
      <c r="C78" s="16"/>
      <c r="D78" s="16"/>
      <c r="E78" s="16"/>
      <c r="F78" s="16"/>
      <c r="G78" s="16"/>
      <c r="P78" s="153"/>
    </row>
    <row r="79">
      <c r="A79" s="16"/>
      <c r="B79" s="16"/>
      <c r="C79" s="16"/>
      <c r="D79" s="16"/>
      <c r="E79" s="16"/>
      <c r="F79" s="16"/>
      <c r="G79" s="16"/>
      <c r="P79" s="153"/>
    </row>
    <row r="80">
      <c r="A80" s="16"/>
      <c r="B80" s="16"/>
      <c r="C80" s="16"/>
      <c r="D80" s="16"/>
      <c r="E80" s="16"/>
      <c r="F80" s="16"/>
      <c r="G80" s="16"/>
      <c r="P80" s="153"/>
    </row>
    <row r="81">
      <c r="A81" s="16"/>
      <c r="B81" s="16"/>
      <c r="C81" s="16"/>
      <c r="D81" s="16"/>
      <c r="E81" s="123"/>
      <c r="F81" s="16"/>
      <c r="G81" s="16"/>
      <c r="P81" s="153"/>
    </row>
    <row r="82">
      <c r="A82" s="16"/>
      <c r="B82" s="16"/>
      <c r="C82" s="16"/>
      <c r="D82" s="16"/>
      <c r="E82" s="16"/>
      <c r="F82" s="16"/>
      <c r="G82" s="16"/>
      <c r="P82" s="153"/>
    </row>
    <row r="83">
      <c r="A83" s="16"/>
      <c r="B83" s="16"/>
      <c r="C83" s="16"/>
      <c r="D83" s="16"/>
      <c r="E83" s="16"/>
      <c r="F83" s="16"/>
      <c r="G83" s="16"/>
      <c r="P83" s="153"/>
    </row>
    <row r="84">
      <c r="A84" s="16"/>
      <c r="B84" s="16"/>
      <c r="C84" s="16"/>
      <c r="D84" s="16"/>
      <c r="E84" s="123"/>
      <c r="F84" s="16"/>
      <c r="G84" s="16"/>
      <c r="P84" s="153"/>
    </row>
    <row r="85">
      <c r="A85" s="16"/>
      <c r="B85" s="16"/>
      <c r="C85" s="16"/>
      <c r="D85" s="16"/>
      <c r="E85" s="16"/>
      <c r="F85" s="16"/>
      <c r="G85" s="16"/>
      <c r="P85" s="153"/>
    </row>
    <row r="86">
      <c r="A86" s="16"/>
      <c r="B86" s="16"/>
      <c r="C86" s="16"/>
      <c r="D86" s="16"/>
      <c r="E86" s="123"/>
      <c r="F86" s="16"/>
      <c r="G86" s="16"/>
      <c r="P86" s="153"/>
    </row>
    <row r="87">
      <c r="A87" s="16"/>
      <c r="B87" s="16"/>
      <c r="C87" s="16"/>
      <c r="D87" s="16"/>
      <c r="E87" s="123"/>
      <c r="F87" s="16"/>
      <c r="G87" s="16"/>
      <c r="P87" s="153"/>
    </row>
    <row r="88">
      <c r="A88" s="16"/>
      <c r="B88" s="16"/>
      <c r="C88" s="16"/>
      <c r="D88" s="16"/>
      <c r="E88" s="123"/>
      <c r="F88" s="16"/>
      <c r="G88" s="16"/>
      <c r="P88" s="153"/>
    </row>
    <row r="89">
      <c r="A89" s="16"/>
      <c r="B89" s="16"/>
      <c r="C89" s="16"/>
      <c r="D89" s="16"/>
      <c r="E89" s="123"/>
      <c r="F89" s="16"/>
      <c r="G89" s="16"/>
      <c r="P89" s="153"/>
    </row>
    <row r="90">
      <c r="A90" s="16"/>
      <c r="B90" s="16"/>
      <c r="C90" s="16"/>
      <c r="D90" s="16"/>
      <c r="E90" s="16"/>
      <c r="F90" s="16"/>
      <c r="G90" s="16"/>
      <c r="P90" s="153"/>
    </row>
    <row r="91">
      <c r="A91" s="16"/>
      <c r="B91" s="16"/>
      <c r="C91" s="16"/>
      <c r="D91" s="16"/>
      <c r="E91" s="16"/>
      <c r="F91" s="16"/>
      <c r="G91" s="16"/>
      <c r="P91" s="153"/>
    </row>
    <row r="92">
      <c r="A92" s="16"/>
      <c r="B92" s="16"/>
      <c r="C92" s="16"/>
      <c r="D92" s="16"/>
      <c r="E92" s="16"/>
      <c r="F92" s="16"/>
      <c r="G92" s="16"/>
      <c r="P92" s="153"/>
    </row>
    <row r="93">
      <c r="A93" s="16"/>
      <c r="B93" s="16"/>
      <c r="C93" s="16"/>
      <c r="D93" s="16"/>
      <c r="E93" s="16"/>
      <c r="F93" s="16"/>
      <c r="G93" s="16"/>
      <c r="P93" s="153"/>
    </row>
    <row r="94">
      <c r="A94" s="16"/>
      <c r="B94" s="16"/>
      <c r="C94" s="16"/>
      <c r="D94" s="16"/>
      <c r="E94" s="157"/>
      <c r="F94" s="16"/>
      <c r="G94" s="16"/>
      <c r="P94" s="153"/>
    </row>
    <row r="95">
      <c r="A95" s="16"/>
      <c r="B95" s="16"/>
      <c r="C95" s="16"/>
      <c r="D95" s="17"/>
      <c r="E95" s="17"/>
      <c r="F95" s="16"/>
      <c r="G95" s="16"/>
      <c r="P95" s="153"/>
    </row>
    <row r="96">
      <c r="A96" s="16"/>
      <c r="B96" s="16"/>
      <c r="C96" s="16"/>
      <c r="D96" s="16"/>
      <c r="E96" s="17"/>
      <c r="F96" s="16"/>
      <c r="G96" s="16"/>
      <c r="P96" s="153"/>
    </row>
    <row r="97">
      <c r="A97" s="16"/>
      <c r="B97" s="16"/>
      <c r="C97" s="16"/>
      <c r="D97" s="16"/>
      <c r="E97" s="17"/>
      <c r="F97" s="16"/>
      <c r="G97" s="16"/>
      <c r="P97" s="153"/>
    </row>
    <row r="98">
      <c r="A98" s="16"/>
      <c r="B98" s="16"/>
      <c r="C98" s="16"/>
      <c r="D98" s="16"/>
      <c r="E98" s="17"/>
      <c r="F98" s="16"/>
      <c r="G98" s="16"/>
      <c r="P98" s="153"/>
    </row>
    <row r="99">
      <c r="A99" s="16"/>
      <c r="B99" s="16"/>
      <c r="C99" s="16"/>
      <c r="D99" s="16"/>
      <c r="E99" s="17"/>
      <c r="F99" s="16"/>
      <c r="G99" s="16"/>
      <c r="P99" s="153"/>
    </row>
    <row r="100">
      <c r="A100" s="16"/>
      <c r="B100" s="16"/>
      <c r="C100" s="16"/>
      <c r="D100" s="17"/>
      <c r="E100" s="17"/>
      <c r="F100" s="16"/>
      <c r="G100" s="16"/>
      <c r="P100" s="153"/>
    </row>
    <row r="101">
      <c r="A101" s="16"/>
      <c r="B101" s="16"/>
      <c r="C101" s="16"/>
      <c r="D101" s="16"/>
      <c r="E101" s="157"/>
      <c r="F101" s="16"/>
      <c r="G101" s="16"/>
      <c r="P101" s="153"/>
    </row>
    <row r="102">
      <c r="A102" s="16"/>
      <c r="B102" s="17"/>
      <c r="C102" s="16"/>
      <c r="D102" s="17"/>
      <c r="E102" s="17"/>
      <c r="F102" s="16"/>
      <c r="G102" s="16"/>
      <c r="P102" s="153"/>
    </row>
    <row r="103">
      <c r="A103" s="16"/>
      <c r="B103" s="16"/>
      <c r="C103" s="16"/>
      <c r="D103" s="17"/>
      <c r="E103" s="17"/>
      <c r="F103" s="16"/>
      <c r="G103" s="16"/>
      <c r="P103" s="153"/>
    </row>
    <row r="104">
      <c r="A104" s="16"/>
      <c r="B104" s="16"/>
      <c r="C104" s="16"/>
      <c r="D104" s="17"/>
      <c r="E104" s="17"/>
      <c r="F104" s="16"/>
      <c r="G104" s="16"/>
      <c r="P104" s="153"/>
    </row>
    <row r="105">
      <c r="A105" s="16"/>
      <c r="B105" s="16"/>
      <c r="C105" s="16"/>
      <c r="D105" s="17"/>
      <c r="E105" s="17"/>
      <c r="F105" s="16"/>
      <c r="G105" s="16"/>
      <c r="P105" s="153"/>
    </row>
    <row r="106">
      <c r="A106" s="16"/>
      <c r="B106" s="16"/>
      <c r="C106" s="16"/>
      <c r="D106" s="17"/>
      <c r="E106" s="17"/>
      <c r="F106" s="16"/>
      <c r="G106" s="16"/>
      <c r="P106" s="153"/>
    </row>
    <row r="107">
      <c r="A107" s="16"/>
      <c r="B107" s="17"/>
      <c r="C107" s="16"/>
      <c r="D107" s="17"/>
      <c r="E107" s="17"/>
      <c r="F107" s="16"/>
      <c r="G107" s="16"/>
      <c r="P107" s="153"/>
    </row>
    <row r="108">
      <c r="A108" s="16"/>
      <c r="B108" s="16"/>
      <c r="C108" s="16"/>
      <c r="D108" s="17"/>
      <c r="E108" s="17"/>
      <c r="F108" s="16"/>
      <c r="G108" s="16"/>
      <c r="P108" s="153"/>
    </row>
    <row r="109">
      <c r="A109" s="16"/>
      <c r="B109" s="16"/>
      <c r="C109" s="16"/>
      <c r="D109" s="17"/>
      <c r="E109" s="17"/>
      <c r="F109" s="16"/>
      <c r="G109" s="16"/>
      <c r="P109" s="153"/>
    </row>
    <row r="110">
      <c r="A110" s="17"/>
      <c r="B110" s="17"/>
      <c r="C110" s="17"/>
      <c r="D110" s="17"/>
      <c r="E110" s="17"/>
      <c r="F110" s="16"/>
      <c r="G110" s="16"/>
      <c r="P110" s="153"/>
    </row>
    <row r="111">
      <c r="A111" s="17"/>
      <c r="B111" s="17"/>
      <c r="C111" s="16"/>
      <c r="D111" s="17"/>
      <c r="E111" s="17"/>
      <c r="F111" s="16"/>
      <c r="G111" s="16"/>
      <c r="P111" s="153"/>
    </row>
    <row r="112">
      <c r="A112" s="124"/>
      <c r="B112" s="124"/>
      <c r="C112" s="124"/>
      <c r="D112" s="124"/>
      <c r="E112" s="124"/>
      <c r="F112" s="16"/>
      <c r="G112" s="16"/>
      <c r="P112" s="153"/>
    </row>
    <row r="113">
      <c r="A113" s="16"/>
      <c r="B113" s="16"/>
      <c r="C113" s="16"/>
      <c r="D113" s="16"/>
      <c r="E113" s="123"/>
      <c r="F113" s="16"/>
      <c r="G113" s="16"/>
      <c r="P113" s="153"/>
    </row>
    <row r="114">
      <c r="A114" s="16"/>
      <c r="B114" s="16"/>
      <c r="C114" s="16"/>
      <c r="D114" s="16"/>
      <c r="E114" s="123"/>
      <c r="F114" s="16"/>
      <c r="G114" s="16"/>
      <c r="P114" s="153"/>
    </row>
    <row r="115">
      <c r="A115" s="16"/>
      <c r="B115" s="16"/>
      <c r="C115" s="16"/>
      <c r="D115" s="16"/>
      <c r="E115" s="123"/>
      <c r="F115" s="16"/>
      <c r="G115" s="16"/>
      <c r="P115" s="153"/>
    </row>
    <row r="116">
      <c r="A116" s="16"/>
      <c r="B116" s="16"/>
      <c r="C116" s="16"/>
      <c r="D116" s="16"/>
      <c r="E116" s="123"/>
      <c r="F116" s="16"/>
      <c r="G116" s="16"/>
      <c r="P116" s="153"/>
    </row>
    <row r="117">
      <c r="A117" s="16"/>
      <c r="B117" s="16"/>
      <c r="C117" s="16"/>
      <c r="D117" s="16"/>
      <c r="E117" s="123"/>
      <c r="F117" s="16"/>
      <c r="G117" s="16"/>
      <c r="P117" s="153"/>
    </row>
    <row r="118">
      <c r="A118" s="16"/>
      <c r="B118" s="16"/>
      <c r="C118" s="16"/>
      <c r="D118" s="16"/>
      <c r="E118" s="123"/>
      <c r="F118" s="16"/>
      <c r="G118" s="16"/>
      <c r="P118" s="153"/>
    </row>
    <row r="119">
      <c r="A119" s="16"/>
      <c r="B119" s="16"/>
      <c r="C119" s="16"/>
      <c r="D119" s="16"/>
      <c r="E119" s="123"/>
      <c r="F119" s="16"/>
      <c r="G119" s="16"/>
      <c r="P119" s="153"/>
    </row>
    <row r="120">
      <c r="A120" s="16"/>
      <c r="B120" s="16"/>
      <c r="C120" s="16"/>
      <c r="D120" s="16"/>
      <c r="E120" s="123"/>
      <c r="F120" s="16"/>
      <c r="G120" s="16"/>
      <c r="P120" s="153"/>
    </row>
    <row r="121">
      <c r="A121" s="16"/>
      <c r="B121" s="16"/>
      <c r="C121" s="16"/>
      <c r="D121" s="16"/>
      <c r="E121" s="123"/>
      <c r="F121" s="16"/>
      <c r="G121" s="16"/>
      <c r="P121" s="153"/>
    </row>
    <row r="122">
      <c r="A122" s="16"/>
      <c r="B122" s="16"/>
      <c r="C122" s="16"/>
      <c r="D122" s="16"/>
      <c r="E122" s="123"/>
      <c r="F122" s="16"/>
      <c r="G122" s="16"/>
      <c r="P122" s="153"/>
    </row>
    <row r="123">
      <c r="A123" s="16"/>
      <c r="B123" s="16"/>
      <c r="C123" s="16"/>
      <c r="D123" s="16"/>
      <c r="E123" s="123"/>
      <c r="F123" s="16"/>
      <c r="G123" s="16"/>
      <c r="P123" s="153"/>
    </row>
    <row r="124">
      <c r="A124" s="16"/>
      <c r="B124" s="16"/>
      <c r="C124" s="16"/>
      <c r="D124" s="16"/>
      <c r="E124" s="123"/>
      <c r="F124" s="16"/>
      <c r="G124" s="16"/>
      <c r="P124" s="153"/>
    </row>
    <row r="125">
      <c r="A125" s="16"/>
      <c r="B125" s="16"/>
      <c r="C125" s="16"/>
      <c r="D125" s="16"/>
      <c r="E125" s="123"/>
      <c r="F125" s="16"/>
      <c r="G125" s="16"/>
      <c r="P125" s="153"/>
    </row>
    <row r="126">
      <c r="A126" s="158"/>
      <c r="B126" s="158"/>
      <c r="C126" s="158"/>
      <c r="D126" s="158"/>
      <c r="E126" s="159"/>
      <c r="F126" s="16"/>
      <c r="G126" s="16"/>
      <c r="P126" s="153"/>
    </row>
    <row r="127">
      <c r="A127" s="16"/>
      <c r="B127" s="16"/>
      <c r="C127" s="16"/>
      <c r="D127" s="16"/>
      <c r="E127" s="123"/>
      <c r="F127" s="16"/>
      <c r="G127" s="16"/>
      <c r="P127" s="153"/>
    </row>
    <row r="128">
      <c r="A128" s="16"/>
      <c r="B128" s="16"/>
      <c r="C128" s="16"/>
      <c r="D128" s="16"/>
      <c r="E128" s="123"/>
      <c r="F128" s="16"/>
      <c r="G128" s="16"/>
      <c r="P128" s="153"/>
    </row>
    <row r="129">
      <c r="A129" s="16"/>
      <c r="B129" s="16"/>
      <c r="C129" s="16"/>
      <c r="D129" s="16"/>
      <c r="E129" s="123"/>
      <c r="F129" s="16"/>
      <c r="G129" s="16"/>
      <c r="P129" s="153"/>
    </row>
    <row r="130">
      <c r="A130" s="16"/>
      <c r="B130" s="16"/>
      <c r="C130" s="16"/>
      <c r="D130" s="16"/>
      <c r="E130" s="123"/>
      <c r="F130" s="16"/>
      <c r="G130" s="16"/>
      <c r="P130" s="153"/>
    </row>
    <row r="131">
      <c r="A131" s="16"/>
      <c r="B131" s="16"/>
      <c r="C131" s="16"/>
      <c r="D131" s="16"/>
      <c r="E131" s="123"/>
      <c r="F131" s="16"/>
      <c r="G131" s="16"/>
      <c r="P131" s="153"/>
    </row>
    <row r="132">
      <c r="A132" s="16"/>
      <c r="B132" s="16"/>
      <c r="C132" s="16"/>
      <c r="D132" s="16"/>
      <c r="E132" s="123"/>
      <c r="F132" s="16"/>
      <c r="G132" s="16"/>
      <c r="P132" s="153"/>
    </row>
    <row r="133">
      <c r="A133" s="158"/>
      <c r="B133" s="158"/>
      <c r="C133" s="160"/>
      <c r="D133" s="158"/>
      <c r="E133" s="159"/>
      <c r="F133" s="16"/>
      <c r="G133" s="16"/>
      <c r="P133" s="153"/>
    </row>
    <row r="134">
      <c r="A134" s="16"/>
      <c r="B134" s="16"/>
      <c r="C134" s="16"/>
      <c r="D134" s="16"/>
      <c r="E134" s="123"/>
      <c r="F134" s="16"/>
      <c r="G134" s="16"/>
      <c r="P134" s="153"/>
    </row>
    <row r="135">
      <c r="A135" s="16"/>
      <c r="B135" s="16"/>
      <c r="C135" s="16"/>
      <c r="D135" s="16"/>
      <c r="E135" s="123"/>
      <c r="F135" s="16"/>
      <c r="G135" s="16"/>
      <c r="P135" s="153"/>
    </row>
    <row r="136">
      <c r="A136" s="16"/>
      <c r="B136" s="16"/>
      <c r="C136" s="16"/>
      <c r="D136" s="16"/>
      <c r="E136" s="123"/>
      <c r="F136" s="16"/>
      <c r="G136" s="16"/>
      <c r="P136" s="153"/>
    </row>
    <row r="137">
      <c r="A137" s="16"/>
      <c r="B137" s="16"/>
      <c r="C137" s="16"/>
      <c r="D137" s="16"/>
      <c r="E137" s="123"/>
      <c r="F137" s="16"/>
      <c r="G137" s="16"/>
      <c r="P137" s="153"/>
    </row>
    <row r="138">
      <c r="A138" s="16"/>
      <c r="B138" s="16"/>
      <c r="C138" s="16"/>
      <c r="D138" s="16"/>
      <c r="E138" s="123"/>
      <c r="F138" s="16"/>
      <c r="G138" s="16"/>
      <c r="P138" s="153"/>
    </row>
    <row r="139">
      <c r="A139" s="16"/>
      <c r="B139" s="16"/>
      <c r="C139" s="16"/>
      <c r="D139" s="16"/>
      <c r="E139" s="123"/>
      <c r="F139" s="16"/>
      <c r="G139" s="16"/>
      <c r="P139" s="153"/>
    </row>
    <row r="140">
      <c r="A140" s="16"/>
      <c r="B140" s="16"/>
      <c r="C140" s="16"/>
      <c r="D140" s="16"/>
      <c r="E140" s="123"/>
      <c r="F140" s="16"/>
      <c r="G140" s="16"/>
      <c r="P140" s="153"/>
    </row>
    <row r="141">
      <c r="A141" s="16"/>
      <c r="B141" s="16"/>
      <c r="C141" s="16"/>
      <c r="D141" s="16"/>
      <c r="E141" s="123"/>
      <c r="F141" s="16"/>
      <c r="G141" s="16"/>
      <c r="P141" s="153"/>
    </row>
    <row r="142">
      <c r="A142" s="16"/>
      <c r="B142" s="16"/>
      <c r="C142" s="16"/>
      <c r="D142" s="16"/>
      <c r="E142" s="123"/>
      <c r="F142" s="16"/>
      <c r="G142" s="16"/>
      <c r="P142" s="153"/>
    </row>
    <row r="143">
      <c r="A143" s="16"/>
      <c r="B143" s="16"/>
      <c r="C143" s="16"/>
      <c r="D143" s="16"/>
      <c r="E143" s="123"/>
      <c r="F143" s="16"/>
      <c r="G143" s="16"/>
      <c r="P143" s="153"/>
    </row>
    <row r="144">
      <c r="A144" s="16"/>
      <c r="B144" s="16"/>
      <c r="C144" s="16"/>
      <c r="D144" s="16"/>
      <c r="E144" s="123"/>
      <c r="F144" s="16"/>
      <c r="G144" s="16"/>
      <c r="P144" s="153"/>
    </row>
    <row r="145">
      <c r="A145" s="16"/>
      <c r="B145" s="16"/>
      <c r="C145" s="16"/>
      <c r="D145" s="16"/>
      <c r="E145" s="123"/>
      <c r="F145" s="16"/>
      <c r="G145" s="16"/>
      <c r="P145" s="153"/>
    </row>
    <row r="146">
      <c r="A146" s="16"/>
      <c r="B146" s="16"/>
      <c r="C146" s="16"/>
      <c r="D146" s="16"/>
      <c r="E146" s="123"/>
      <c r="F146" s="16"/>
      <c r="G146" s="16"/>
      <c r="P146" s="153"/>
    </row>
    <row r="147">
      <c r="A147" s="16"/>
      <c r="B147" s="16"/>
      <c r="C147" s="16"/>
      <c r="D147" s="16"/>
      <c r="E147" s="123"/>
      <c r="F147" s="16"/>
      <c r="G147" s="16"/>
      <c r="P147" s="153"/>
    </row>
    <row r="148">
      <c r="A148" s="16"/>
      <c r="B148" s="16"/>
      <c r="C148" s="16"/>
      <c r="D148" s="16"/>
      <c r="E148" s="123"/>
      <c r="F148" s="16"/>
      <c r="G148" s="16"/>
      <c r="P148" s="153"/>
    </row>
    <row r="149">
      <c r="A149" s="16"/>
      <c r="B149" s="16"/>
      <c r="C149" s="16"/>
      <c r="D149" s="16"/>
      <c r="E149" s="123"/>
      <c r="F149" s="16"/>
      <c r="G149" s="16"/>
      <c r="P149" s="153"/>
    </row>
    <row r="150">
      <c r="A150" s="16"/>
      <c r="B150" s="16"/>
      <c r="C150" s="16"/>
      <c r="D150" s="16"/>
      <c r="E150" s="123"/>
      <c r="F150" s="16"/>
      <c r="G150" s="16"/>
      <c r="P150" s="153"/>
    </row>
    <row r="151">
      <c r="A151" s="16"/>
      <c r="B151" s="16"/>
      <c r="C151" s="16"/>
      <c r="D151" s="16"/>
      <c r="E151" s="123"/>
      <c r="F151" s="16"/>
      <c r="G151" s="16"/>
      <c r="P151" s="153"/>
    </row>
    <row r="152">
      <c r="A152" s="16"/>
      <c r="B152" s="16"/>
      <c r="C152" s="16"/>
      <c r="D152" s="16"/>
      <c r="E152" s="123"/>
      <c r="F152" s="16"/>
      <c r="G152" s="16"/>
      <c r="P152" s="153"/>
    </row>
    <row r="153">
      <c r="A153" s="16"/>
      <c r="B153" s="16"/>
      <c r="C153" s="16"/>
      <c r="D153" s="16"/>
      <c r="E153" s="123"/>
      <c r="F153" s="16"/>
      <c r="G153" s="16"/>
      <c r="P153" s="153"/>
    </row>
    <row r="154">
      <c r="A154" s="16"/>
      <c r="B154" s="16"/>
      <c r="C154" s="16"/>
      <c r="D154" s="16"/>
      <c r="E154" s="123"/>
      <c r="F154" s="16"/>
      <c r="G154" s="16"/>
      <c r="P154" s="153"/>
    </row>
    <row r="155">
      <c r="A155" s="16"/>
      <c r="B155" s="16"/>
      <c r="C155" s="16"/>
      <c r="D155" s="16"/>
      <c r="E155" s="123"/>
      <c r="F155" s="16"/>
      <c r="G155" s="16"/>
      <c r="P155" s="153"/>
    </row>
    <row r="156">
      <c r="A156" s="16"/>
      <c r="B156" s="16"/>
      <c r="C156" s="16"/>
      <c r="D156" s="16"/>
      <c r="E156" s="123"/>
      <c r="F156" s="16"/>
      <c r="G156" s="16"/>
      <c r="P156" s="153"/>
    </row>
    <row r="157">
      <c r="A157" s="16"/>
      <c r="B157" s="16"/>
      <c r="C157" s="16"/>
      <c r="D157" s="16"/>
      <c r="E157" s="123"/>
      <c r="F157" s="16"/>
      <c r="G157" s="16"/>
      <c r="P157" s="153"/>
    </row>
    <row r="158">
      <c r="A158" s="16"/>
      <c r="B158" s="16"/>
      <c r="C158" s="16"/>
      <c r="D158" s="16"/>
      <c r="E158" s="123"/>
      <c r="F158" s="16"/>
      <c r="G158" s="16"/>
      <c r="P158" s="153"/>
    </row>
    <row r="159">
      <c r="A159" s="16"/>
      <c r="B159" s="16"/>
      <c r="C159" s="16"/>
      <c r="D159" s="16"/>
      <c r="E159" s="123"/>
      <c r="F159" s="16"/>
      <c r="G159" s="16"/>
      <c r="P159" s="153"/>
    </row>
    <row r="160">
      <c r="A160" s="16"/>
      <c r="B160" s="16"/>
      <c r="C160" s="16"/>
      <c r="D160" s="16"/>
      <c r="E160" s="123"/>
      <c r="F160" s="16"/>
      <c r="G160" s="16"/>
      <c r="P160" s="153"/>
    </row>
    <row r="161">
      <c r="A161" s="16"/>
      <c r="B161" s="16"/>
      <c r="C161" s="16"/>
      <c r="D161" s="16"/>
      <c r="E161" s="123"/>
      <c r="F161" s="16"/>
      <c r="G161" s="16"/>
      <c r="P161" s="153"/>
    </row>
    <row r="162">
      <c r="A162" s="16"/>
      <c r="B162" s="16"/>
      <c r="C162" s="16"/>
      <c r="D162" s="16"/>
      <c r="E162" s="123"/>
      <c r="F162" s="16"/>
      <c r="G162" s="16"/>
      <c r="P162" s="153"/>
    </row>
    <row r="163">
      <c r="A163" s="16"/>
      <c r="B163" s="16"/>
      <c r="C163" s="16"/>
      <c r="D163" s="16"/>
      <c r="E163" s="16"/>
      <c r="F163" s="16"/>
      <c r="G163" s="16"/>
      <c r="P163" s="153"/>
    </row>
    <row r="164">
      <c r="A164" s="16"/>
      <c r="B164" s="16"/>
      <c r="C164" s="16"/>
      <c r="D164" s="16"/>
      <c r="E164" s="123"/>
      <c r="F164" s="16"/>
      <c r="G164" s="16"/>
      <c r="P164" s="153"/>
    </row>
    <row r="165">
      <c r="A165" s="16"/>
      <c r="B165" s="16"/>
      <c r="C165" s="16"/>
      <c r="D165" s="16"/>
      <c r="E165" s="123"/>
      <c r="F165" s="16"/>
      <c r="G165" s="16"/>
      <c r="P165" s="153"/>
    </row>
    <row r="166">
      <c r="A166" s="16"/>
      <c r="B166" s="16"/>
      <c r="C166" s="16"/>
      <c r="D166" s="16"/>
      <c r="E166" s="123"/>
      <c r="F166" s="16"/>
      <c r="G166" s="16"/>
      <c r="P166" s="153"/>
    </row>
    <row r="167">
      <c r="A167" s="16"/>
      <c r="B167" s="16"/>
      <c r="C167" s="16"/>
      <c r="D167" s="16"/>
      <c r="E167" s="123"/>
      <c r="F167" s="16"/>
      <c r="G167" s="16"/>
      <c r="P167" s="153"/>
    </row>
    <row r="168">
      <c r="A168" s="16"/>
      <c r="B168" s="16"/>
      <c r="C168" s="16"/>
      <c r="D168" s="16"/>
      <c r="E168" s="16"/>
      <c r="F168" s="16"/>
      <c r="G168" s="16"/>
      <c r="P168" s="153"/>
    </row>
    <row r="169">
      <c r="A169" s="16"/>
      <c r="B169" s="16"/>
      <c r="C169" s="16"/>
      <c r="D169" s="16"/>
      <c r="E169" s="157"/>
      <c r="F169" s="16"/>
      <c r="G169" s="16"/>
      <c r="P169" s="153"/>
    </row>
    <row r="170">
      <c r="A170" s="16"/>
      <c r="B170" s="16"/>
      <c r="C170" s="16"/>
      <c r="D170" s="16"/>
      <c r="E170" s="16"/>
      <c r="F170" s="16"/>
      <c r="G170" s="16"/>
      <c r="P170" s="153"/>
    </row>
    <row r="171">
      <c r="A171" s="16"/>
      <c r="B171" s="16"/>
      <c r="C171" s="16"/>
      <c r="D171" s="16"/>
      <c r="E171" s="161"/>
      <c r="F171" s="16"/>
      <c r="G171" s="16"/>
      <c r="P171" s="153"/>
    </row>
    <row r="172">
      <c r="A172" s="16"/>
      <c r="B172" s="16"/>
      <c r="C172" s="16"/>
      <c r="D172" s="16"/>
      <c r="E172" s="157"/>
      <c r="F172" s="16"/>
      <c r="G172" s="16"/>
      <c r="P172" s="153"/>
    </row>
    <row r="173">
      <c r="A173" s="16"/>
      <c r="B173" s="16"/>
      <c r="C173" s="16"/>
      <c r="D173" s="16"/>
      <c r="E173" s="157"/>
      <c r="F173" s="16"/>
      <c r="G173" s="16"/>
      <c r="P173" s="153"/>
    </row>
    <row r="174">
      <c r="A174" s="16"/>
      <c r="B174" s="16"/>
      <c r="C174" s="16"/>
      <c r="D174" s="16"/>
      <c r="E174" s="161"/>
      <c r="F174" s="16"/>
      <c r="G174" s="16"/>
      <c r="P174" s="153"/>
    </row>
    <row r="175">
      <c r="A175" s="16"/>
      <c r="B175" s="16"/>
      <c r="C175" s="16"/>
      <c r="D175" s="16"/>
      <c r="E175" s="157"/>
      <c r="F175" s="16"/>
      <c r="G175" s="16"/>
      <c r="P175" s="153"/>
    </row>
    <row r="176">
      <c r="A176" s="16"/>
      <c r="B176" s="16"/>
      <c r="C176" s="16"/>
      <c r="D176" s="16"/>
      <c r="E176" s="157"/>
      <c r="F176" s="16"/>
      <c r="G176" s="16"/>
      <c r="P176" s="153"/>
    </row>
    <row r="177">
      <c r="A177" s="16"/>
      <c r="B177" s="16"/>
      <c r="C177" s="16"/>
      <c r="D177" s="16"/>
      <c r="E177" s="161"/>
      <c r="F177" s="16"/>
      <c r="G177" s="16"/>
      <c r="P177" s="153"/>
    </row>
    <row r="178">
      <c r="A178" s="16"/>
      <c r="B178" s="16"/>
      <c r="C178" s="16"/>
      <c r="D178" s="16"/>
      <c r="E178" s="157"/>
      <c r="F178" s="16"/>
      <c r="G178" s="16"/>
      <c r="P178" s="153"/>
    </row>
    <row r="179">
      <c r="A179" s="16"/>
      <c r="B179" s="16"/>
      <c r="C179" s="16"/>
      <c r="D179" s="16"/>
      <c r="E179" s="157"/>
      <c r="F179" s="16"/>
      <c r="G179" s="16"/>
      <c r="P179" s="153"/>
    </row>
    <row r="180">
      <c r="A180" s="16"/>
      <c r="B180" s="16"/>
      <c r="C180" s="16"/>
      <c r="D180" s="16"/>
      <c r="E180" s="161"/>
      <c r="F180" s="16"/>
      <c r="G180" s="16"/>
      <c r="P180" s="153"/>
    </row>
    <row r="181">
      <c r="A181" s="16"/>
      <c r="B181" s="16"/>
      <c r="C181" s="16"/>
      <c r="D181" s="16"/>
      <c r="E181" s="157"/>
      <c r="F181" s="16"/>
      <c r="G181" s="16"/>
      <c r="P181" s="153"/>
    </row>
    <row r="182">
      <c r="A182" s="16"/>
      <c r="B182" s="16"/>
      <c r="C182" s="16"/>
      <c r="D182" s="16"/>
      <c r="E182" s="157"/>
      <c r="F182" s="16"/>
      <c r="G182" s="16"/>
      <c r="P182" s="153"/>
    </row>
    <row r="183">
      <c r="A183" s="16"/>
      <c r="B183" s="16"/>
      <c r="C183" s="16"/>
      <c r="D183" s="16"/>
      <c r="E183" s="16"/>
      <c r="F183" s="16"/>
      <c r="G183" s="16"/>
      <c r="P183" s="153"/>
    </row>
    <row r="184">
      <c r="A184" s="16"/>
      <c r="B184" s="16"/>
      <c r="C184" s="16"/>
      <c r="D184" s="16"/>
      <c r="E184" s="157"/>
      <c r="F184" s="16"/>
      <c r="G184" s="16"/>
      <c r="P184" s="153"/>
    </row>
    <row r="185">
      <c r="A185" s="16"/>
      <c r="B185" s="16"/>
      <c r="C185" s="16"/>
      <c r="D185" s="16"/>
      <c r="E185" s="157"/>
      <c r="F185" s="16"/>
      <c r="G185" s="16"/>
      <c r="P185" s="153"/>
    </row>
    <row r="186">
      <c r="A186" s="16"/>
      <c r="B186" s="16"/>
      <c r="C186" s="16"/>
      <c r="D186" s="16"/>
      <c r="E186" s="16"/>
      <c r="F186" s="16"/>
      <c r="G186" s="16"/>
      <c r="P186" s="153"/>
    </row>
    <row r="187">
      <c r="A187" s="16"/>
      <c r="B187" s="16"/>
      <c r="C187" s="16"/>
      <c r="D187" s="16"/>
      <c r="E187" s="161"/>
      <c r="F187" s="16"/>
      <c r="G187" s="16"/>
      <c r="P187" s="153"/>
    </row>
    <row r="188">
      <c r="A188" s="16"/>
      <c r="B188" s="16"/>
      <c r="C188" s="16"/>
      <c r="D188" s="16"/>
      <c r="E188" s="161"/>
      <c r="F188" s="16"/>
      <c r="G188" s="16"/>
      <c r="P188" s="153"/>
    </row>
    <row r="189">
      <c r="A189" s="16"/>
      <c r="B189" s="16"/>
      <c r="C189" s="16"/>
      <c r="D189" s="16"/>
      <c r="E189" s="157"/>
      <c r="F189" s="16"/>
      <c r="G189" s="16"/>
      <c r="P189" s="153"/>
    </row>
    <row r="190">
      <c r="A190" s="16"/>
      <c r="B190" s="16"/>
      <c r="C190" s="16"/>
      <c r="D190" s="16"/>
      <c r="E190" s="16"/>
      <c r="F190" s="16"/>
      <c r="G190" s="16"/>
      <c r="P190" s="153"/>
    </row>
    <row r="191">
      <c r="A191" s="16"/>
      <c r="B191" s="16"/>
      <c r="C191" s="16"/>
      <c r="D191" s="16"/>
      <c r="E191" s="157"/>
      <c r="F191" s="16"/>
      <c r="G191" s="16"/>
      <c r="P191" s="153"/>
    </row>
    <row r="192">
      <c r="A192" s="16"/>
      <c r="B192" s="16"/>
      <c r="C192" s="16"/>
      <c r="D192" s="16"/>
      <c r="E192" s="157"/>
      <c r="F192" s="16"/>
      <c r="G192" s="16"/>
      <c r="P192" s="153"/>
    </row>
    <row r="193">
      <c r="A193" s="16"/>
      <c r="B193" s="16"/>
      <c r="C193" s="16"/>
      <c r="D193" s="16"/>
      <c r="E193" s="157"/>
      <c r="F193" s="16"/>
      <c r="G193" s="16"/>
      <c r="P193" s="153"/>
    </row>
    <row r="194">
      <c r="A194" s="16"/>
      <c r="B194" s="16"/>
      <c r="C194" s="16"/>
      <c r="D194" s="16"/>
      <c r="E194" s="157"/>
      <c r="F194" s="16"/>
      <c r="G194" s="16"/>
      <c r="P194" s="153"/>
    </row>
    <row r="195">
      <c r="A195" s="16"/>
      <c r="B195" s="16"/>
      <c r="C195" s="16"/>
      <c r="D195" s="16"/>
      <c r="E195" s="157"/>
      <c r="F195" s="16"/>
      <c r="G195" s="16"/>
      <c r="P195" s="153"/>
    </row>
    <row r="196">
      <c r="A196" s="16"/>
      <c r="B196" s="16"/>
      <c r="C196" s="16"/>
      <c r="D196" s="16"/>
      <c r="E196" s="157"/>
      <c r="F196" s="16"/>
      <c r="G196" s="16"/>
      <c r="P196" s="153"/>
    </row>
    <row r="197">
      <c r="A197" s="16"/>
      <c r="B197" s="16"/>
      <c r="C197" s="16"/>
      <c r="D197" s="16"/>
      <c r="E197" s="157"/>
      <c r="F197" s="16"/>
      <c r="G197" s="16"/>
      <c r="P197" s="153"/>
    </row>
    <row r="198">
      <c r="A198" s="16"/>
      <c r="B198" s="16"/>
      <c r="C198" s="16"/>
      <c r="D198" s="16"/>
      <c r="E198" s="157"/>
      <c r="F198" s="16"/>
      <c r="G198" s="16"/>
      <c r="P198" s="153"/>
    </row>
    <row r="199">
      <c r="A199" s="16"/>
      <c r="B199" s="16"/>
      <c r="C199" s="16"/>
      <c r="D199" s="16"/>
      <c r="E199" s="157"/>
      <c r="F199" s="16"/>
      <c r="G199" s="16"/>
      <c r="P199" s="153"/>
    </row>
    <row r="200">
      <c r="A200" s="16"/>
      <c r="B200" s="16"/>
      <c r="C200" s="16"/>
      <c r="D200" s="16"/>
      <c r="E200" s="161"/>
      <c r="F200" s="16"/>
      <c r="G200" s="16"/>
      <c r="P200" s="153"/>
    </row>
    <row r="201">
      <c r="A201" s="16"/>
      <c r="B201" s="16"/>
      <c r="C201" s="16"/>
      <c r="D201" s="16"/>
      <c r="E201" s="161"/>
      <c r="F201" s="16"/>
      <c r="G201" s="16"/>
      <c r="P201" s="153"/>
    </row>
    <row r="202">
      <c r="A202" s="16"/>
      <c r="B202" s="16"/>
      <c r="C202" s="16"/>
      <c r="D202" s="16"/>
      <c r="E202" s="157"/>
      <c r="F202" s="16"/>
      <c r="G202" s="16"/>
      <c r="P202" s="153"/>
    </row>
    <row r="203">
      <c r="A203" s="16"/>
      <c r="B203" s="16"/>
      <c r="C203" s="16"/>
      <c r="D203" s="16"/>
      <c r="E203" s="157"/>
      <c r="F203" s="16"/>
      <c r="G203" s="16"/>
      <c r="P203" s="153"/>
    </row>
    <row r="204">
      <c r="A204" s="16"/>
      <c r="B204" s="16"/>
      <c r="C204" s="16"/>
      <c r="D204" s="16"/>
      <c r="E204" s="161"/>
      <c r="F204" s="16"/>
      <c r="G204" s="16"/>
      <c r="P204" s="153"/>
    </row>
    <row r="205">
      <c r="A205" s="16"/>
      <c r="B205" s="16"/>
      <c r="C205" s="16"/>
      <c r="D205" s="16"/>
      <c r="E205" s="157"/>
      <c r="F205" s="16"/>
      <c r="G205" s="16"/>
      <c r="P205" s="153"/>
    </row>
    <row r="206">
      <c r="A206" s="16"/>
      <c r="B206" s="16"/>
      <c r="C206" s="16"/>
      <c r="D206" s="16"/>
      <c r="E206" s="157"/>
      <c r="F206" s="16"/>
      <c r="G206" s="16"/>
      <c r="P206" s="153"/>
    </row>
    <row r="207">
      <c r="A207" s="16"/>
      <c r="B207" s="16"/>
      <c r="C207" s="16"/>
      <c r="D207" s="16"/>
      <c r="E207" s="157"/>
      <c r="F207" s="16"/>
      <c r="G207" s="16"/>
      <c r="P207" s="153"/>
    </row>
    <row r="208">
      <c r="A208" s="16"/>
      <c r="B208" s="16"/>
      <c r="C208" s="16"/>
      <c r="D208" s="16"/>
      <c r="E208" s="157"/>
      <c r="F208" s="16"/>
      <c r="G208" s="16"/>
      <c r="P208" s="153"/>
    </row>
    <row r="209">
      <c r="A209" s="16"/>
      <c r="B209" s="16"/>
      <c r="C209" s="16"/>
      <c r="D209" s="16"/>
      <c r="E209" s="157"/>
      <c r="F209" s="16"/>
      <c r="G209" s="16"/>
      <c r="P209" s="153"/>
    </row>
    <row r="210">
      <c r="A210" s="16"/>
      <c r="B210" s="16"/>
      <c r="C210" s="16"/>
      <c r="D210" s="16"/>
      <c r="E210" s="161"/>
      <c r="F210" s="16"/>
      <c r="G210" s="16"/>
      <c r="P210" s="153"/>
    </row>
    <row r="211">
      <c r="A211" s="16"/>
      <c r="B211" s="16"/>
      <c r="C211" s="16"/>
      <c r="D211" s="16"/>
      <c r="E211" s="161"/>
      <c r="F211" s="16"/>
      <c r="G211" s="16"/>
      <c r="P211" s="153"/>
    </row>
    <row r="212">
      <c r="A212" s="16"/>
      <c r="B212" s="16"/>
      <c r="C212" s="16"/>
      <c r="D212" s="16"/>
      <c r="E212" s="157"/>
      <c r="F212" s="16"/>
      <c r="G212" s="16"/>
      <c r="P212" s="153"/>
    </row>
    <row r="213">
      <c r="A213" s="16"/>
      <c r="B213" s="16"/>
      <c r="C213" s="16"/>
      <c r="D213" s="16"/>
      <c r="E213" s="157"/>
      <c r="F213" s="16"/>
      <c r="G213" s="16"/>
      <c r="P213" s="153"/>
    </row>
    <row r="214">
      <c r="A214" s="16"/>
      <c r="B214" s="16"/>
      <c r="C214" s="16"/>
      <c r="D214" s="16"/>
      <c r="E214" s="16"/>
      <c r="F214" s="16"/>
      <c r="G214" s="16"/>
      <c r="P214" s="153"/>
    </row>
    <row r="215">
      <c r="A215" s="16"/>
      <c r="B215" s="16"/>
      <c r="C215" s="16"/>
      <c r="D215" s="16"/>
      <c r="E215" s="157"/>
      <c r="F215" s="16"/>
      <c r="G215" s="16"/>
      <c r="P215" s="153"/>
    </row>
    <row r="216">
      <c r="A216" s="16"/>
      <c r="B216" s="16"/>
      <c r="C216" s="16"/>
      <c r="D216" s="16"/>
      <c r="E216" s="16"/>
      <c r="F216" s="16"/>
      <c r="G216" s="16"/>
      <c r="P216" s="153"/>
    </row>
    <row r="217">
      <c r="A217" s="16"/>
      <c r="B217" s="16"/>
      <c r="C217" s="16"/>
      <c r="D217" s="16"/>
      <c r="E217" s="157"/>
      <c r="F217" s="16"/>
      <c r="G217" s="16"/>
      <c r="P217" s="153"/>
    </row>
    <row r="218">
      <c r="A218" s="16"/>
      <c r="B218" s="16"/>
      <c r="C218" s="16"/>
      <c r="D218" s="16"/>
      <c r="E218" s="157"/>
      <c r="F218" s="16"/>
      <c r="G218" s="16"/>
      <c r="P218" s="153"/>
    </row>
    <row r="219">
      <c r="A219" s="16"/>
      <c r="B219" s="16"/>
      <c r="C219" s="16"/>
      <c r="D219" s="16"/>
      <c r="E219" s="161"/>
      <c r="F219" s="16"/>
      <c r="G219" s="16"/>
      <c r="P219" s="153"/>
    </row>
    <row r="220">
      <c r="A220" s="16"/>
      <c r="B220" s="16"/>
      <c r="C220" s="16"/>
      <c r="D220" s="16"/>
      <c r="E220" s="157"/>
      <c r="F220" s="16"/>
      <c r="G220" s="16"/>
      <c r="P220" s="153"/>
    </row>
    <row r="221">
      <c r="A221" s="16"/>
      <c r="B221" s="16"/>
      <c r="C221" s="16"/>
      <c r="D221" s="16"/>
      <c r="E221" s="157"/>
      <c r="F221" s="16"/>
      <c r="G221" s="16"/>
      <c r="P221" s="153"/>
    </row>
    <row r="222">
      <c r="A222" s="16"/>
      <c r="B222" s="16"/>
      <c r="C222" s="16"/>
      <c r="D222" s="16"/>
      <c r="E222" s="157"/>
      <c r="F222" s="16"/>
      <c r="G222" s="16"/>
      <c r="P222" s="153"/>
    </row>
    <row r="223">
      <c r="A223" s="16"/>
      <c r="B223" s="16"/>
      <c r="C223" s="16"/>
      <c r="D223" s="16"/>
      <c r="E223" s="161"/>
      <c r="F223" s="16"/>
      <c r="G223" s="16"/>
      <c r="P223" s="153"/>
    </row>
    <row r="224">
      <c r="A224" s="16"/>
      <c r="B224" s="16"/>
      <c r="C224" s="16"/>
      <c r="D224" s="16"/>
      <c r="E224" s="157"/>
      <c r="F224" s="16"/>
      <c r="G224" s="16"/>
      <c r="P224" s="153"/>
    </row>
    <row r="225">
      <c r="A225" s="16"/>
      <c r="B225" s="16"/>
      <c r="C225" s="16"/>
      <c r="D225" s="16"/>
      <c r="E225" s="157"/>
      <c r="F225" s="16"/>
      <c r="G225" s="16"/>
      <c r="P225" s="153"/>
    </row>
    <row r="226">
      <c r="A226" s="16"/>
      <c r="B226" s="16"/>
      <c r="C226" s="16"/>
      <c r="D226" s="16"/>
      <c r="E226" s="16"/>
      <c r="F226" s="16"/>
      <c r="G226" s="16"/>
      <c r="P226" s="153"/>
    </row>
    <row r="227">
      <c r="A227" s="16"/>
      <c r="B227" s="16"/>
      <c r="C227" s="16"/>
      <c r="D227" s="16"/>
      <c r="E227" s="157"/>
      <c r="F227" s="16"/>
      <c r="G227" s="16"/>
      <c r="P227" s="153"/>
    </row>
    <row r="228">
      <c r="A228" s="16"/>
      <c r="B228" s="16"/>
      <c r="C228" s="16"/>
      <c r="D228" s="16"/>
      <c r="E228" s="157"/>
      <c r="F228" s="16"/>
      <c r="G228" s="16"/>
      <c r="P228" s="153"/>
    </row>
    <row r="229">
      <c r="A229" s="16"/>
      <c r="B229" s="16"/>
      <c r="C229" s="16"/>
      <c r="D229" s="16"/>
      <c r="E229" s="157"/>
      <c r="F229" s="16"/>
      <c r="G229" s="16"/>
      <c r="P229" s="153"/>
    </row>
    <row r="230">
      <c r="A230" s="16"/>
      <c r="B230" s="16"/>
      <c r="C230" s="16"/>
      <c r="D230" s="16"/>
      <c r="E230" s="157"/>
      <c r="F230" s="16"/>
      <c r="G230" s="16"/>
      <c r="P230" s="153"/>
    </row>
    <row r="231">
      <c r="A231" s="16"/>
      <c r="B231" s="16"/>
      <c r="C231" s="16"/>
      <c r="D231" s="16"/>
      <c r="E231" s="157"/>
      <c r="F231" s="16"/>
      <c r="G231" s="16"/>
      <c r="P231" s="153"/>
    </row>
    <row r="232">
      <c r="A232" s="16"/>
      <c r="B232" s="16"/>
      <c r="C232" s="16"/>
      <c r="D232" s="16"/>
      <c r="E232" s="123"/>
      <c r="F232" s="16"/>
      <c r="G232" s="16"/>
      <c r="P232" s="153"/>
    </row>
    <row r="233">
      <c r="A233" s="16"/>
      <c r="B233" s="16"/>
      <c r="C233" s="16"/>
      <c r="D233" s="16"/>
      <c r="E233" s="123"/>
      <c r="F233" s="16"/>
      <c r="G233" s="16"/>
      <c r="P233" s="153"/>
    </row>
    <row r="234">
      <c r="A234" s="16"/>
      <c r="B234" s="16"/>
      <c r="C234" s="16"/>
      <c r="D234" s="16"/>
      <c r="E234" s="123"/>
      <c r="F234" s="16"/>
      <c r="G234" s="16"/>
      <c r="P234" s="153"/>
    </row>
    <row r="235">
      <c r="A235" s="16"/>
      <c r="B235" s="16"/>
      <c r="C235" s="16"/>
      <c r="D235" s="16"/>
      <c r="E235" s="123"/>
      <c r="F235" s="16"/>
      <c r="G235" s="16"/>
      <c r="P235" s="153"/>
    </row>
    <row r="236">
      <c r="A236" s="16"/>
      <c r="B236" s="16"/>
      <c r="C236" s="16"/>
      <c r="D236" s="16"/>
      <c r="E236" s="123"/>
      <c r="F236" s="16"/>
      <c r="G236" s="16"/>
      <c r="P236" s="153"/>
    </row>
    <row r="237">
      <c r="A237" s="16"/>
      <c r="B237" s="16"/>
      <c r="C237" s="162"/>
      <c r="D237" s="16"/>
      <c r="E237" s="16"/>
      <c r="F237" s="16"/>
      <c r="G237" s="16"/>
      <c r="P237" s="153"/>
    </row>
    <row r="238">
      <c r="A238" s="16"/>
      <c r="B238" s="16"/>
      <c r="C238" s="16"/>
      <c r="D238" s="16"/>
      <c r="E238" s="16"/>
      <c r="F238" s="16"/>
      <c r="G238" s="16"/>
      <c r="P238" s="153"/>
    </row>
    <row r="239">
      <c r="A239" s="16"/>
      <c r="B239" s="16"/>
      <c r="C239" s="16"/>
      <c r="D239" s="16"/>
      <c r="E239" s="123"/>
      <c r="F239" s="16"/>
      <c r="G239" s="16"/>
      <c r="P239" s="153"/>
    </row>
    <row r="240">
      <c r="A240" s="16"/>
      <c r="B240" s="16"/>
      <c r="C240" s="16"/>
      <c r="D240" s="16"/>
      <c r="E240" s="123"/>
      <c r="F240" s="16"/>
      <c r="G240" s="16"/>
      <c r="P240" s="153"/>
    </row>
    <row r="241">
      <c r="A241" s="16"/>
      <c r="B241" s="16"/>
      <c r="C241" s="16"/>
      <c r="D241" s="16"/>
      <c r="E241" s="123"/>
      <c r="F241" s="16"/>
      <c r="G241" s="16"/>
      <c r="P241" s="153"/>
    </row>
    <row r="242">
      <c r="A242" s="16"/>
      <c r="B242" s="16"/>
      <c r="C242" s="16"/>
      <c r="D242" s="16"/>
      <c r="E242" s="123"/>
      <c r="F242" s="16"/>
      <c r="G242" s="16"/>
      <c r="P242" s="153"/>
    </row>
    <row r="243">
      <c r="A243" s="16"/>
      <c r="B243" s="16"/>
      <c r="C243" s="16"/>
      <c r="D243" s="16"/>
      <c r="E243" s="123"/>
      <c r="F243" s="16"/>
      <c r="G243" s="16"/>
      <c r="P243" s="153"/>
    </row>
    <row r="244">
      <c r="A244" s="16"/>
      <c r="B244" s="16"/>
      <c r="C244" s="16"/>
      <c r="D244" s="16"/>
      <c r="E244" s="16"/>
      <c r="F244" s="16"/>
      <c r="G244" s="16"/>
      <c r="P244" s="153"/>
    </row>
    <row r="245">
      <c r="A245" s="16"/>
      <c r="B245" s="16"/>
      <c r="C245" s="16"/>
      <c r="D245" s="16"/>
      <c r="E245" s="123"/>
      <c r="F245" s="16"/>
      <c r="G245" s="16"/>
      <c r="P245" s="153"/>
    </row>
    <row r="246">
      <c r="A246" s="16"/>
      <c r="B246" s="16"/>
      <c r="C246" s="16"/>
      <c r="D246" s="16"/>
      <c r="E246" s="157"/>
      <c r="F246" s="16"/>
      <c r="G246" s="16"/>
      <c r="P246" s="153"/>
    </row>
    <row r="247">
      <c r="A247" s="16"/>
      <c r="B247" s="16"/>
      <c r="C247" s="16"/>
      <c r="D247" s="16"/>
      <c r="E247" s="123"/>
      <c r="F247" s="16"/>
      <c r="G247" s="16"/>
      <c r="P247" s="153"/>
    </row>
    <row r="248">
      <c r="A248" s="16"/>
      <c r="B248" s="16"/>
      <c r="C248" s="16"/>
      <c r="D248" s="16"/>
      <c r="E248" s="161"/>
      <c r="F248" s="16"/>
      <c r="G248" s="16"/>
      <c r="P248" s="153"/>
    </row>
    <row r="249">
      <c r="A249" s="16"/>
      <c r="B249" s="16"/>
      <c r="C249" s="16"/>
      <c r="D249" s="16"/>
      <c r="E249" s="157"/>
      <c r="F249" s="16"/>
      <c r="G249" s="16"/>
      <c r="P249" s="153"/>
    </row>
    <row r="250">
      <c r="A250" s="16"/>
      <c r="B250" s="16"/>
      <c r="C250" s="16"/>
      <c r="D250" s="16"/>
      <c r="E250" s="157"/>
      <c r="F250" s="16"/>
      <c r="G250" s="16"/>
      <c r="P250" s="153"/>
    </row>
    <row r="251">
      <c r="A251" s="16"/>
      <c r="B251" s="16"/>
      <c r="C251" s="16"/>
      <c r="D251" s="16"/>
      <c r="E251" s="157"/>
      <c r="F251" s="16"/>
      <c r="G251" s="16"/>
      <c r="P251" s="153"/>
    </row>
    <row r="252">
      <c r="A252" s="16"/>
      <c r="B252" s="16"/>
      <c r="C252" s="16"/>
      <c r="D252" s="16"/>
      <c r="E252" s="161"/>
      <c r="F252" s="16"/>
      <c r="G252" s="16"/>
      <c r="P252" s="153"/>
    </row>
    <row r="253">
      <c r="A253" s="16"/>
      <c r="B253" s="16"/>
      <c r="C253" s="16"/>
      <c r="D253" s="16"/>
      <c r="E253" s="16"/>
      <c r="F253" s="16"/>
      <c r="G253" s="16"/>
      <c r="P253" s="153"/>
    </row>
    <row r="254">
      <c r="A254" s="16"/>
      <c r="B254" s="16"/>
      <c r="C254" s="16"/>
      <c r="D254" s="16"/>
      <c r="E254" s="157"/>
      <c r="F254" s="16"/>
      <c r="G254" s="16"/>
      <c r="P254" s="153"/>
    </row>
    <row r="255">
      <c r="A255" s="16"/>
      <c r="B255" s="16"/>
      <c r="C255" s="16"/>
      <c r="D255" s="16"/>
      <c r="E255" s="161"/>
      <c r="F255" s="16"/>
      <c r="G255" s="16"/>
      <c r="P255" s="153"/>
    </row>
    <row r="256">
      <c r="A256" s="16"/>
      <c r="B256" s="16"/>
      <c r="C256" s="16"/>
      <c r="D256" s="16"/>
      <c r="E256" s="157"/>
      <c r="F256" s="16"/>
      <c r="G256" s="16"/>
      <c r="P256" s="153"/>
    </row>
    <row r="257">
      <c r="A257" s="16"/>
      <c r="B257" s="16"/>
      <c r="C257" s="16"/>
      <c r="D257" s="16"/>
      <c r="E257" s="157"/>
      <c r="F257" s="16"/>
      <c r="G257" s="16"/>
      <c r="P257" s="153"/>
    </row>
    <row r="258">
      <c r="A258" s="16"/>
      <c r="B258" s="16"/>
      <c r="C258" s="16"/>
      <c r="D258" s="16"/>
      <c r="E258" s="157"/>
      <c r="F258" s="16"/>
      <c r="G258" s="16"/>
      <c r="P258" s="153"/>
    </row>
    <row r="259">
      <c r="A259" s="16"/>
      <c r="B259" s="16"/>
      <c r="C259" s="16"/>
      <c r="D259" s="16"/>
      <c r="E259" s="157"/>
      <c r="F259" s="16"/>
      <c r="G259" s="16"/>
      <c r="P259" s="153"/>
    </row>
    <row r="260">
      <c r="A260" s="16"/>
      <c r="B260" s="16"/>
      <c r="C260" s="16"/>
      <c r="D260" s="16"/>
      <c r="E260" s="123"/>
      <c r="F260" s="16"/>
      <c r="G260" s="16"/>
      <c r="P260" s="153"/>
    </row>
    <row r="261">
      <c r="A261" s="16"/>
      <c r="B261" s="16"/>
      <c r="C261" s="16"/>
      <c r="D261" s="16"/>
      <c r="E261" s="161"/>
      <c r="F261" s="16"/>
      <c r="G261" s="16"/>
      <c r="P261" s="153"/>
    </row>
    <row r="262">
      <c r="A262" s="16"/>
      <c r="B262" s="16"/>
      <c r="C262" s="16"/>
      <c r="D262" s="16"/>
      <c r="E262" s="161"/>
      <c r="F262" s="16"/>
      <c r="G262" s="16"/>
      <c r="P262" s="153"/>
    </row>
    <row r="263">
      <c r="A263" s="16"/>
      <c r="B263" s="16"/>
      <c r="C263" s="16"/>
      <c r="D263" s="16"/>
      <c r="E263" s="16"/>
      <c r="F263" s="16"/>
      <c r="G263" s="16"/>
      <c r="P263" s="153"/>
    </row>
    <row r="264">
      <c r="A264" s="16"/>
      <c r="B264" s="16"/>
      <c r="C264" s="16"/>
      <c r="D264" s="16"/>
      <c r="E264" s="157"/>
      <c r="F264" s="16"/>
      <c r="G264" s="16"/>
      <c r="P264" s="153"/>
    </row>
    <row r="265">
      <c r="A265" s="16"/>
      <c r="B265" s="16"/>
      <c r="C265" s="16"/>
      <c r="D265" s="16"/>
      <c r="E265" s="157"/>
      <c r="F265" s="16"/>
      <c r="G265" s="16"/>
      <c r="P265" s="153"/>
    </row>
    <row r="266">
      <c r="A266" s="16"/>
      <c r="B266" s="16"/>
      <c r="C266" s="16"/>
      <c r="D266" s="16"/>
      <c r="E266" s="16"/>
      <c r="F266" s="16"/>
      <c r="G266" s="16"/>
      <c r="P266" s="153"/>
    </row>
    <row r="267">
      <c r="A267" s="16"/>
      <c r="B267" s="16"/>
      <c r="C267" s="16"/>
      <c r="D267" s="16"/>
      <c r="E267" s="16"/>
      <c r="F267" s="16"/>
      <c r="G267" s="16"/>
      <c r="P267" s="153"/>
    </row>
    <row r="268">
      <c r="A268" s="16"/>
      <c r="B268" s="16"/>
      <c r="C268" s="16"/>
      <c r="D268" s="16"/>
      <c r="E268" s="157"/>
      <c r="F268" s="16"/>
      <c r="G268" s="16"/>
      <c r="P268" s="153"/>
    </row>
    <row r="269">
      <c r="A269" s="16"/>
      <c r="B269" s="16"/>
      <c r="C269" s="16"/>
      <c r="D269" s="16"/>
      <c r="E269" s="157"/>
      <c r="F269" s="16"/>
      <c r="G269" s="16"/>
      <c r="P269" s="153"/>
    </row>
    <row r="270">
      <c r="A270" s="16"/>
      <c r="B270" s="16"/>
      <c r="C270" s="16"/>
      <c r="D270" s="16"/>
      <c r="E270" s="157"/>
      <c r="F270" s="16"/>
      <c r="G270" s="16"/>
      <c r="P270" s="153"/>
    </row>
    <row r="271">
      <c r="A271" s="16"/>
      <c r="B271" s="16"/>
      <c r="C271" s="16"/>
      <c r="D271" s="16"/>
      <c r="E271" s="157"/>
      <c r="F271" s="16"/>
      <c r="G271" s="16"/>
      <c r="P271" s="153"/>
    </row>
    <row r="272">
      <c r="A272" s="16"/>
      <c r="B272" s="16"/>
      <c r="C272" s="16"/>
      <c r="D272" s="16"/>
      <c r="E272" s="157"/>
      <c r="F272" s="16"/>
      <c r="G272" s="16"/>
      <c r="P272" s="153"/>
    </row>
    <row r="273">
      <c r="A273" s="16"/>
      <c r="B273" s="16"/>
      <c r="C273" s="16"/>
      <c r="D273" s="16"/>
      <c r="E273" s="161"/>
      <c r="F273" s="16"/>
      <c r="G273" s="16"/>
      <c r="P273" s="153"/>
    </row>
    <row r="274">
      <c r="A274" s="16"/>
      <c r="B274" s="16"/>
      <c r="C274" s="16"/>
      <c r="D274" s="16"/>
      <c r="E274" s="157"/>
      <c r="F274" s="16"/>
      <c r="G274" s="16"/>
      <c r="P274" s="153"/>
    </row>
    <row r="275">
      <c r="A275" s="16"/>
      <c r="B275" s="16"/>
      <c r="C275" s="16"/>
      <c r="D275" s="16"/>
      <c r="E275" s="157"/>
      <c r="F275" s="16"/>
      <c r="G275" s="16"/>
      <c r="P275" s="153"/>
    </row>
    <row r="276">
      <c r="A276" s="16"/>
      <c r="B276" s="16"/>
      <c r="C276" s="16"/>
      <c r="D276" s="16"/>
      <c r="E276" s="157"/>
      <c r="F276" s="16"/>
      <c r="G276" s="16"/>
      <c r="P276" s="153"/>
    </row>
    <row r="277">
      <c r="A277" s="16"/>
      <c r="B277" s="16"/>
      <c r="C277" s="16"/>
      <c r="D277" s="16"/>
      <c r="E277" s="157"/>
      <c r="F277" s="16"/>
      <c r="G277" s="16"/>
      <c r="P277" s="153"/>
    </row>
    <row r="278">
      <c r="A278" s="16"/>
      <c r="B278" s="16"/>
      <c r="C278" s="16"/>
      <c r="D278" s="16"/>
      <c r="E278" s="161"/>
      <c r="F278" s="16"/>
      <c r="G278" s="16"/>
      <c r="P278" s="153"/>
    </row>
    <row r="279">
      <c r="A279" s="16"/>
      <c r="B279" s="16"/>
      <c r="C279" s="16"/>
      <c r="D279" s="16"/>
      <c r="E279" s="157"/>
      <c r="F279" s="16"/>
      <c r="G279" s="16"/>
      <c r="P279" s="153"/>
    </row>
    <row r="280">
      <c r="A280" s="16"/>
      <c r="B280" s="16"/>
      <c r="C280" s="16"/>
      <c r="D280" s="16"/>
      <c r="E280" s="157"/>
      <c r="F280" s="16"/>
      <c r="G280" s="16"/>
      <c r="P280" s="153"/>
    </row>
    <row r="281">
      <c r="A281" s="16"/>
      <c r="B281" s="16"/>
      <c r="C281" s="16"/>
      <c r="D281" s="16"/>
      <c r="E281" s="157"/>
      <c r="F281" s="16"/>
      <c r="G281" s="16"/>
      <c r="P281" s="153"/>
    </row>
    <row r="282">
      <c r="A282" s="16"/>
      <c r="B282" s="16"/>
      <c r="C282" s="16"/>
      <c r="D282" s="16"/>
      <c r="E282" s="157"/>
      <c r="F282" s="16"/>
      <c r="G282" s="16"/>
      <c r="P282" s="153"/>
    </row>
    <row r="283">
      <c r="A283" s="16"/>
      <c r="B283" s="16"/>
      <c r="C283" s="16"/>
      <c r="D283" s="16"/>
      <c r="E283" s="157"/>
      <c r="F283" s="16"/>
      <c r="G283" s="16"/>
      <c r="P283" s="153"/>
    </row>
    <row r="284">
      <c r="A284" s="16"/>
      <c r="B284" s="16"/>
      <c r="C284" s="16"/>
      <c r="D284" s="16"/>
      <c r="E284" s="16"/>
      <c r="F284" s="16"/>
      <c r="G284" s="16"/>
      <c r="P284" s="153"/>
    </row>
    <row r="285">
      <c r="A285" s="16"/>
      <c r="B285" s="16"/>
      <c r="C285" s="16"/>
      <c r="D285" s="16"/>
      <c r="E285" s="157"/>
      <c r="F285" s="16"/>
      <c r="G285" s="16"/>
      <c r="P285" s="153"/>
    </row>
    <row r="286">
      <c r="A286" s="16"/>
      <c r="B286" s="16"/>
      <c r="C286" s="16"/>
      <c r="D286" s="16"/>
      <c r="E286" s="157"/>
      <c r="F286" s="16"/>
      <c r="G286" s="16"/>
      <c r="P286" s="153"/>
    </row>
    <row r="287">
      <c r="A287" s="16"/>
      <c r="B287" s="16"/>
      <c r="C287" s="16"/>
      <c r="D287" s="16"/>
      <c r="E287" s="161"/>
      <c r="F287" s="16"/>
      <c r="G287" s="16"/>
      <c r="P287" s="153"/>
    </row>
    <row r="288">
      <c r="A288" s="16"/>
      <c r="B288" s="16"/>
      <c r="C288" s="16"/>
      <c r="D288" s="16"/>
      <c r="E288" s="157"/>
      <c r="F288" s="16"/>
      <c r="G288" s="16"/>
      <c r="P288" s="153"/>
    </row>
    <row r="289">
      <c r="A289" s="16"/>
      <c r="B289" s="16"/>
      <c r="C289" s="16"/>
      <c r="D289" s="16"/>
      <c r="E289" s="157"/>
      <c r="F289" s="16"/>
      <c r="G289" s="16"/>
      <c r="P289" s="153"/>
    </row>
    <row r="290">
      <c r="A290" s="16"/>
      <c r="B290" s="16"/>
      <c r="C290" s="16"/>
      <c r="D290" s="16"/>
      <c r="E290" s="157"/>
      <c r="F290" s="16"/>
      <c r="G290" s="16"/>
      <c r="P290" s="153"/>
    </row>
    <row r="291">
      <c r="A291" s="16"/>
      <c r="B291" s="16"/>
      <c r="C291" s="16"/>
      <c r="D291" s="16"/>
      <c r="E291" s="123"/>
      <c r="F291" s="16"/>
      <c r="G291" s="16"/>
      <c r="P291" s="153"/>
    </row>
    <row r="292">
      <c r="A292" s="16"/>
      <c r="B292" s="16"/>
      <c r="C292" s="16"/>
      <c r="D292" s="16"/>
      <c r="E292" s="157"/>
      <c r="F292" s="16"/>
      <c r="G292" s="16"/>
      <c r="P292" s="153"/>
    </row>
    <row r="293">
      <c r="A293" s="16"/>
      <c r="B293" s="16"/>
      <c r="C293" s="16"/>
      <c r="D293" s="16"/>
      <c r="E293" s="123"/>
      <c r="F293" s="16"/>
      <c r="G293" s="16"/>
      <c r="P293" s="153"/>
    </row>
    <row r="294">
      <c r="A294" s="16"/>
      <c r="B294" s="16"/>
      <c r="C294" s="16"/>
      <c r="D294" s="16"/>
      <c r="E294" s="157"/>
      <c r="F294" s="16"/>
      <c r="G294" s="16"/>
      <c r="P294" s="153"/>
    </row>
    <row r="295">
      <c r="A295" s="16"/>
      <c r="B295" s="16"/>
      <c r="C295" s="16"/>
      <c r="D295" s="16"/>
      <c r="E295" s="157"/>
      <c r="F295" s="16"/>
      <c r="G295" s="16"/>
      <c r="P295" s="153"/>
    </row>
    <row r="296">
      <c r="A296" s="16"/>
      <c r="B296" s="16"/>
      <c r="C296" s="16"/>
      <c r="D296" s="16"/>
      <c r="E296" s="16"/>
      <c r="F296" s="16"/>
      <c r="G296" s="16"/>
      <c r="P296" s="153"/>
    </row>
    <row r="297">
      <c r="A297" s="16"/>
      <c r="B297" s="16"/>
      <c r="C297" s="16"/>
      <c r="D297" s="16"/>
      <c r="E297" s="16"/>
      <c r="F297" s="16"/>
      <c r="G297" s="16"/>
      <c r="P297" s="153"/>
    </row>
    <row r="298">
      <c r="A298" s="16"/>
      <c r="B298" s="16"/>
      <c r="C298" s="16"/>
      <c r="D298" s="16"/>
      <c r="E298" s="161"/>
      <c r="F298" s="16"/>
      <c r="G298" s="16"/>
      <c r="P298" s="153"/>
    </row>
    <row r="299">
      <c r="A299" s="16"/>
      <c r="B299" s="16"/>
      <c r="C299" s="16"/>
      <c r="D299" s="16"/>
      <c r="E299" s="157"/>
      <c r="F299" s="16"/>
      <c r="G299" s="16"/>
      <c r="P299" s="153"/>
    </row>
    <row r="300">
      <c r="A300" s="16"/>
      <c r="B300" s="16"/>
      <c r="C300" s="16"/>
      <c r="D300" s="16"/>
      <c r="E300" s="161"/>
      <c r="F300" s="16"/>
      <c r="G300" s="16"/>
      <c r="P300" s="153"/>
    </row>
    <row r="301">
      <c r="A301" s="16"/>
      <c r="B301" s="16"/>
      <c r="C301" s="16"/>
      <c r="D301" s="16"/>
      <c r="E301" s="157"/>
      <c r="F301" s="16"/>
      <c r="G301" s="16"/>
      <c r="P301" s="153"/>
    </row>
    <row r="302">
      <c r="A302" s="16"/>
      <c r="B302" s="16"/>
      <c r="C302" s="16"/>
      <c r="D302" s="16"/>
      <c r="E302" s="161"/>
      <c r="F302" s="16"/>
      <c r="G302" s="16"/>
      <c r="P302" s="153"/>
    </row>
    <row r="303">
      <c r="A303" s="16"/>
      <c r="B303" s="16"/>
      <c r="C303" s="16"/>
      <c r="D303" s="16"/>
      <c r="E303" s="123"/>
      <c r="F303" s="16"/>
      <c r="G303" s="16"/>
      <c r="P303" s="153"/>
    </row>
    <row r="304">
      <c r="A304" s="16"/>
      <c r="B304" s="16"/>
      <c r="C304" s="16"/>
      <c r="D304" s="16"/>
      <c r="E304" s="157"/>
      <c r="F304" s="16"/>
      <c r="G304" s="16"/>
      <c r="P304" s="153"/>
    </row>
    <row r="305">
      <c r="A305" s="16"/>
      <c r="B305" s="16"/>
      <c r="C305" s="16"/>
      <c r="D305" s="16"/>
      <c r="E305" s="157"/>
      <c r="F305" s="16"/>
      <c r="G305" s="16"/>
      <c r="P305" s="153"/>
    </row>
    <row r="306">
      <c r="A306" s="16"/>
      <c r="B306" s="16"/>
      <c r="C306" s="16"/>
      <c r="D306" s="16"/>
      <c r="E306" s="157"/>
      <c r="F306" s="16"/>
      <c r="G306" s="16"/>
      <c r="P306" s="153"/>
    </row>
    <row r="307">
      <c r="A307" s="16"/>
      <c r="B307" s="16"/>
      <c r="C307" s="16"/>
      <c r="D307" s="16"/>
      <c r="E307" s="157"/>
      <c r="F307" s="16"/>
      <c r="G307" s="16"/>
      <c r="P307" s="153"/>
    </row>
    <row r="308">
      <c r="A308" s="16"/>
      <c r="B308" s="16"/>
      <c r="C308" s="16"/>
      <c r="D308" s="16"/>
      <c r="E308" s="161"/>
      <c r="F308" s="16"/>
      <c r="G308" s="16"/>
      <c r="P308" s="153"/>
    </row>
    <row r="309">
      <c r="A309" s="16"/>
      <c r="B309" s="16"/>
      <c r="C309" s="16"/>
      <c r="D309" s="16"/>
      <c r="E309" s="123"/>
      <c r="F309" s="16"/>
      <c r="G309" s="16"/>
      <c r="P309" s="153"/>
    </row>
    <row r="310">
      <c r="A310" s="16"/>
      <c r="B310" s="16"/>
      <c r="C310" s="16"/>
      <c r="D310" s="16"/>
      <c r="E310" s="123"/>
      <c r="F310" s="16"/>
      <c r="G310" s="16"/>
      <c r="P310" s="153"/>
    </row>
    <row r="311">
      <c r="A311" s="16"/>
      <c r="B311" s="16"/>
      <c r="C311" s="16"/>
      <c r="D311" s="16"/>
      <c r="E311" s="123"/>
      <c r="F311" s="16"/>
      <c r="G311" s="16"/>
      <c r="P311" s="153"/>
    </row>
    <row r="312">
      <c r="A312" s="16"/>
      <c r="B312" s="16"/>
      <c r="C312" s="16"/>
      <c r="D312" s="16"/>
      <c r="E312" s="123"/>
      <c r="F312" s="16"/>
      <c r="G312" s="16"/>
      <c r="P312" s="153"/>
    </row>
    <row r="313">
      <c r="A313" s="16"/>
      <c r="B313" s="16"/>
      <c r="C313" s="16"/>
      <c r="D313" s="16"/>
      <c r="E313" s="123"/>
      <c r="F313" s="16"/>
      <c r="G313" s="16"/>
      <c r="P313" s="153"/>
    </row>
    <row r="314">
      <c r="A314" s="16"/>
      <c r="B314" s="16"/>
      <c r="C314" s="16"/>
      <c r="D314" s="16"/>
      <c r="E314" s="123"/>
      <c r="F314" s="16"/>
      <c r="G314" s="16"/>
      <c r="P314" s="153"/>
    </row>
    <row r="315">
      <c r="A315" s="16"/>
      <c r="B315" s="16"/>
      <c r="C315" s="16"/>
      <c r="D315" s="16"/>
      <c r="E315" s="123"/>
      <c r="F315" s="16"/>
      <c r="G315" s="16"/>
      <c r="P315" s="153"/>
    </row>
    <row r="316">
      <c r="A316" s="16"/>
      <c r="B316" s="16"/>
      <c r="C316" s="16"/>
      <c r="D316" s="16"/>
      <c r="E316" s="123"/>
      <c r="F316" s="16"/>
      <c r="G316" s="16"/>
      <c r="P316" s="153"/>
    </row>
    <row r="317">
      <c r="A317" s="16"/>
      <c r="B317" s="16"/>
      <c r="C317" s="16"/>
      <c r="D317" s="16"/>
      <c r="E317" s="123"/>
      <c r="F317" s="16"/>
      <c r="G317" s="16"/>
      <c r="P317" s="153"/>
    </row>
    <row r="318">
      <c r="A318" s="16"/>
      <c r="B318" s="16"/>
      <c r="C318" s="16"/>
      <c r="D318" s="16"/>
      <c r="E318" s="16"/>
      <c r="F318" s="16"/>
      <c r="G318" s="16"/>
      <c r="P318" s="153"/>
    </row>
    <row r="319">
      <c r="A319" s="16"/>
      <c r="B319" s="16"/>
      <c r="C319" s="16"/>
      <c r="D319" s="16"/>
      <c r="E319" s="123"/>
      <c r="F319" s="16"/>
      <c r="G319" s="16"/>
      <c r="P319" s="153"/>
    </row>
    <row r="320">
      <c r="A320" s="16"/>
      <c r="B320" s="16"/>
      <c r="C320" s="16"/>
      <c r="D320" s="16"/>
      <c r="E320" s="123"/>
      <c r="F320" s="16"/>
      <c r="G320" s="16"/>
      <c r="P320" s="153"/>
    </row>
    <row r="321">
      <c r="A321" s="16"/>
      <c r="B321" s="16"/>
      <c r="C321" s="16"/>
      <c r="D321" s="16"/>
      <c r="E321" s="123"/>
      <c r="F321" s="16"/>
      <c r="G321" s="16"/>
      <c r="P321" s="153"/>
    </row>
    <row r="322">
      <c r="A322" s="16"/>
      <c r="B322" s="16"/>
      <c r="C322" s="16"/>
      <c r="D322" s="16"/>
      <c r="E322" s="123"/>
      <c r="F322" s="16"/>
      <c r="G322" s="16"/>
      <c r="P322" s="153"/>
    </row>
    <row r="323">
      <c r="A323" s="16"/>
      <c r="B323" s="16"/>
      <c r="C323" s="16"/>
      <c r="D323" s="16"/>
      <c r="E323" s="123"/>
      <c r="F323" s="16"/>
      <c r="G323" s="16"/>
      <c r="P323" s="153"/>
    </row>
    <row r="324">
      <c r="A324" s="16"/>
      <c r="B324" s="16"/>
      <c r="C324" s="16"/>
      <c r="D324" s="16"/>
      <c r="E324" s="123"/>
      <c r="F324" s="16"/>
      <c r="G324" s="16"/>
      <c r="P324" s="153"/>
    </row>
    <row r="325">
      <c r="A325" s="16"/>
      <c r="B325" s="16"/>
      <c r="C325" s="16"/>
      <c r="D325" s="16"/>
      <c r="E325" s="123"/>
      <c r="F325" s="16"/>
      <c r="G325" s="16"/>
      <c r="P325" s="153"/>
    </row>
    <row r="326">
      <c r="A326" s="16"/>
      <c r="B326" s="16"/>
      <c r="C326" s="16"/>
      <c r="D326" s="16"/>
      <c r="E326" s="16"/>
      <c r="F326" s="16"/>
      <c r="G326" s="16"/>
      <c r="P326" s="153"/>
    </row>
    <row r="327">
      <c r="A327" s="16"/>
      <c r="B327" s="16"/>
      <c r="C327" s="16"/>
      <c r="D327" s="16"/>
      <c r="E327" s="123"/>
      <c r="F327" s="16"/>
      <c r="G327" s="16"/>
      <c r="P327" s="153"/>
    </row>
    <row r="328">
      <c r="A328" s="16"/>
      <c r="B328" s="16"/>
      <c r="C328" s="16"/>
      <c r="D328" s="16"/>
      <c r="E328" s="123"/>
      <c r="F328" s="16"/>
      <c r="G328" s="16"/>
      <c r="P328" s="153"/>
    </row>
    <row r="329">
      <c r="A329" s="16"/>
      <c r="B329" s="16"/>
      <c r="C329" s="16"/>
      <c r="D329" s="16"/>
      <c r="E329" s="123"/>
      <c r="F329" s="16"/>
      <c r="G329" s="16"/>
      <c r="P329" s="153"/>
    </row>
    <row r="330">
      <c r="A330" s="16"/>
      <c r="B330" s="16"/>
      <c r="C330" s="16"/>
      <c r="D330" s="16"/>
      <c r="E330" s="123"/>
      <c r="F330" s="16"/>
      <c r="G330" s="16"/>
      <c r="P330" s="153"/>
    </row>
    <row r="331">
      <c r="A331" s="16"/>
      <c r="B331" s="16"/>
      <c r="C331" s="16"/>
      <c r="D331" s="16"/>
      <c r="E331" s="123"/>
      <c r="F331" s="16"/>
      <c r="G331" s="16"/>
      <c r="P331" s="153"/>
    </row>
    <row r="332">
      <c r="A332" s="16"/>
      <c r="B332" s="16"/>
      <c r="C332" s="16"/>
      <c r="D332" s="16"/>
      <c r="E332" s="123"/>
      <c r="F332" s="16"/>
      <c r="G332" s="16"/>
      <c r="P332" s="153"/>
    </row>
    <row r="333">
      <c r="A333" s="16"/>
      <c r="B333" s="16"/>
      <c r="C333" s="16"/>
      <c r="D333" s="16"/>
      <c r="E333" s="123"/>
      <c r="F333" s="16"/>
      <c r="G333" s="16"/>
      <c r="P333" s="153"/>
    </row>
    <row r="334">
      <c r="A334" s="16"/>
      <c r="B334" s="16"/>
      <c r="C334" s="16"/>
      <c r="D334" s="16"/>
      <c r="E334" s="123"/>
      <c r="F334" s="16"/>
      <c r="G334" s="16"/>
      <c r="P334" s="153"/>
    </row>
    <row r="335">
      <c r="A335" s="16"/>
      <c r="B335" s="16"/>
      <c r="C335" s="16"/>
      <c r="D335" s="16"/>
      <c r="E335" s="123"/>
      <c r="F335" s="16"/>
      <c r="G335" s="16"/>
      <c r="P335" s="153"/>
    </row>
    <row r="336">
      <c r="A336" s="16"/>
      <c r="B336" s="16"/>
      <c r="C336" s="16"/>
      <c r="D336" s="16"/>
      <c r="E336" s="123"/>
      <c r="F336" s="16"/>
      <c r="G336" s="16"/>
      <c r="P336" s="153"/>
    </row>
    <row r="337">
      <c r="A337" s="16"/>
      <c r="B337" s="16"/>
      <c r="C337" s="16"/>
      <c r="D337" s="16"/>
      <c r="E337" s="123"/>
      <c r="F337" s="16"/>
      <c r="G337" s="16"/>
      <c r="P337" s="153"/>
    </row>
    <row r="338">
      <c r="A338" s="16"/>
      <c r="B338" s="16"/>
      <c r="C338" s="16"/>
      <c r="D338" s="16"/>
      <c r="E338" s="123"/>
      <c r="F338" s="16"/>
      <c r="G338" s="16"/>
      <c r="P338" s="153"/>
    </row>
    <row r="339">
      <c r="A339" s="16"/>
      <c r="B339" s="16"/>
      <c r="C339" s="16"/>
      <c r="D339" s="16"/>
      <c r="E339" s="123"/>
      <c r="F339" s="16"/>
      <c r="G339" s="16"/>
      <c r="P339" s="153"/>
    </row>
    <row r="340">
      <c r="A340" s="16"/>
      <c r="B340" s="16"/>
      <c r="C340" s="16"/>
      <c r="D340" s="16"/>
      <c r="E340" s="123"/>
      <c r="F340" s="16"/>
      <c r="G340" s="16"/>
      <c r="P340" s="153"/>
    </row>
    <row r="341">
      <c r="A341" s="16"/>
      <c r="B341" s="16"/>
      <c r="C341" s="16"/>
      <c r="D341" s="16"/>
      <c r="E341" s="123"/>
      <c r="F341" s="16"/>
      <c r="G341" s="16"/>
      <c r="P341" s="153"/>
    </row>
    <row r="342">
      <c r="A342" s="16"/>
      <c r="B342" s="16"/>
      <c r="C342" s="16"/>
      <c r="D342" s="16"/>
      <c r="E342" s="123"/>
      <c r="F342" s="16"/>
      <c r="G342" s="16"/>
      <c r="P342" s="153"/>
    </row>
    <row r="343">
      <c r="A343" s="16"/>
      <c r="B343" s="16"/>
      <c r="C343" s="16"/>
      <c r="D343" s="16"/>
      <c r="E343" s="16"/>
      <c r="F343" s="16"/>
      <c r="G343" s="16"/>
      <c r="P343" s="153"/>
    </row>
    <row r="344">
      <c r="A344" s="16"/>
      <c r="B344" s="16"/>
      <c r="C344" s="16"/>
      <c r="D344" s="16"/>
      <c r="E344" s="123"/>
      <c r="F344" s="16"/>
      <c r="G344" s="16"/>
      <c r="P344" s="153"/>
    </row>
    <row r="345">
      <c r="A345" s="16"/>
      <c r="B345" s="16"/>
      <c r="C345" s="16"/>
      <c r="D345" s="16"/>
      <c r="E345" s="123"/>
      <c r="F345" s="16"/>
      <c r="G345" s="16"/>
      <c r="P345" s="153"/>
    </row>
    <row r="346">
      <c r="A346" s="16"/>
      <c r="B346" s="16"/>
      <c r="C346" s="16"/>
      <c r="D346" s="16"/>
      <c r="E346" s="123"/>
      <c r="F346" s="16"/>
      <c r="G346" s="16"/>
      <c r="P346" s="153"/>
    </row>
    <row r="347">
      <c r="A347" s="16"/>
      <c r="B347" s="16"/>
      <c r="C347" s="16"/>
      <c r="D347" s="16"/>
      <c r="E347" s="123"/>
      <c r="F347" s="16"/>
      <c r="G347" s="16"/>
      <c r="P347" s="153"/>
    </row>
    <row r="348">
      <c r="A348" s="16"/>
      <c r="B348" s="17"/>
      <c r="C348" s="16"/>
      <c r="D348" s="17"/>
      <c r="E348" s="17"/>
      <c r="F348" s="16"/>
      <c r="G348" s="16"/>
      <c r="P348" s="153"/>
    </row>
    <row r="349">
      <c r="A349" s="16"/>
      <c r="B349" s="16"/>
      <c r="C349" s="16"/>
      <c r="D349" s="16"/>
      <c r="E349" s="123"/>
      <c r="F349" s="16"/>
      <c r="G349" s="16"/>
      <c r="P349" s="153"/>
    </row>
    <row r="350">
      <c r="A350" s="16"/>
      <c r="B350" s="16"/>
      <c r="C350" s="16"/>
      <c r="D350" s="16"/>
      <c r="E350" s="123"/>
      <c r="F350" s="16"/>
      <c r="G350" s="16"/>
      <c r="P350" s="153"/>
    </row>
    <row r="351">
      <c r="A351" s="16"/>
      <c r="B351" s="16"/>
      <c r="C351" s="16"/>
      <c r="D351" s="16"/>
      <c r="E351" s="123"/>
      <c r="F351" s="16"/>
      <c r="G351" s="16"/>
      <c r="P351" s="153"/>
    </row>
    <row r="352">
      <c r="A352" s="16"/>
      <c r="B352" s="16"/>
      <c r="C352" s="16"/>
      <c r="D352" s="16"/>
      <c r="E352" s="123"/>
      <c r="F352" s="16"/>
      <c r="G352" s="16"/>
      <c r="P352" s="153"/>
    </row>
    <row r="353">
      <c r="A353" s="16"/>
      <c r="B353" s="16"/>
      <c r="C353" s="16"/>
      <c r="D353" s="16"/>
      <c r="E353" s="123"/>
      <c r="F353" s="16"/>
      <c r="G353" s="16"/>
      <c r="P353" s="153"/>
    </row>
    <row r="354">
      <c r="A354" s="16"/>
      <c r="B354" s="16"/>
      <c r="C354" s="16"/>
      <c r="D354" s="16"/>
      <c r="E354" s="123"/>
      <c r="F354" s="16"/>
      <c r="G354" s="16"/>
      <c r="P354" s="153"/>
    </row>
    <row r="355">
      <c r="A355" s="16"/>
      <c r="B355" s="16"/>
      <c r="C355" s="17"/>
      <c r="D355" s="16"/>
      <c r="E355" s="123"/>
      <c r="F355" s="16"/>
      <c r="G355" s="16"/>
      <c r="P355" s="153"/>
    </row>
    <row r="356">
      <c r="A356" s="16"/>
      <c r="B356" s="16"/>
      <c r="C356" s="16"/>
      <c r="D356" s="17"/>
      <c r="E356" s="17"/>
      <c r="F356" s="16"/>
      <c r="G356" s="16"/>
      <c r="P356" s="153"/>
    </row>
    <row r="357">
      <c r="A357" s="16"/>
      <c r="B357" s="16"/>
      <c r="C357" s="16"/>
      <c r="D357" s="16"/>
      <c r="E357" s="123"/>
      <c r="F357" s="16"/>
      <c r="G357" s="16"/>
      <c r="P357" s="153"/>
    </row>
    <row r="358">
      <c r="A358" s="16"/>
      <c r="B358" s="16"/>
      <c r="C358" s="16"/>
      <c r="D358" s="16"/>
      <c r="E358" s="123"/>
      <c r="F358" s="16"/>
      <c r="G358" s="16"/>
      <c r="P358" s="153"/>
    </row>
    <row r="359">
      <c r="A359" s="16"/>
      <c r="B359" s="16"/>
      <c r="C359" s="16"/>
      <c r="D359" s="16"/>
      <c r="E359" s="123"/>
      <c r="F359" s="16"/>
      <c r="G359" s="16"/>
      <c r="P359" s="153"/>
    </row>
    <row r="360">
      <c r="A360" s="16"/>
      <c r="B360" s="16"/>
      <c r="C360" s="16"/>
      <c r="D360" s="16"/>
      <c r="E360" s="16"/>
      <c r="F360" s="16"/>
      <c r="G360" s="16"/>
      <c r="P360" s="153"/>
    </row>
    <row r="361">
      <c r="A361" s="16"/>
      <c r="B361" s="16"/>
      <c r="C361" s="16"/>
      <c r="D361" s="16"/>
      <c r="E361" s="123"/>
      <c r="F361" s="16"/>
      <c r="G361" s="16"/>
      <c r="P361" s="153"/>
    </row>
    <row r="362">
      <c r="A362" s="16"/>
      <c r="B362" s="17"/>
      <c r="C362" s="16"/>
      <c r="D362" s="17"/>
      <c r="E362" s="17"/>
      <c r="F362" s="16"/>
      <c r="G362" s="16"/>
      <c r="P362" s="153"/>
    </row>
    <row r="363">
      <c r="A363" s="16"/>
      <c r="B363" s="16"/>
      <c r="C363" s="16"/>
      <c r="D363" s="16"/>
      <c r="E363" s="123"/>
      <c r="F363" s="16"/>
      <c r="G363" s="16"/>
      <c r="P363" s="153"/>
    </row>
    <row r="364">
      <c r="A364" s="16"/>
      <c r="B364" s="16"/>
      <c r="C364" s="16"/>
      <c r="D364" s="16"/>
      <c r="E364" s="123"/>
      <c r="F364" s="16"/>
      <c r="G364" s="16"/>
      <c r="P364" s="153"/>
    </row>
    <row r="365">
      <c r="A365" s="16"/>
      <c r="B365" s="16"/>
      <c r="C365" s="16"/>
      <c r="D365" s="16"/>
      <c r="E365" s="123"/>
      <c r="F365" s="16"/>
      <c r="G365" s="16"/>
      <c r="P365" s="153"/>
    </row>
    <row r="366">
      <c r="A366" s="16"/>
      <c r="B366" s="17"/>
      <c r="C366" s="16"/>
      <c r="D366" s="17"/>
      <c r="E366" s="17"/>
      <c r="F366" s="16"/>
      <c r="G366" s="16"/>
      <c r="P366" s="153"/>
    </row>
    <row r="367">
      <c r="A367" s="16"/>
      <c r="B367" s="16"/>
      <c r="C367" s="16"/>
      <c r="D367" s="16"/>
      <c r="E367" s="123"/>
      <c r="F367" s="16"/>
      <c r="G367" s="16"/>
      <c r="P367" s="153"/>
    </row>
    <row r="368">
      <c r="A368" s="16"/>
      <c r="B368" s="16"/>
      <c r="C368" s="16"/>
      <c r="D368" s="16"/>
      <c r="E368" s="123"/>
      <c r="F368" s="16"/>
      <c r="G368" s="16"/>
      <c r="P368" s="153"/>
    </row>
    <row r="369">
      <c r="A369" s="16"/>
      <c r="B369" s="16"/>
      <c r="C369" s="16"/>
      <c r="D369" s="16"/>
      <c r="E369" s="123"/>
      <c r="F369" s="16"/>
      <c r="G369" s="16"/>
      <c r="P369" s="153"/>
    </row>
    <row r="370">
      <c r="A370" s="16"/>
      <c r="B370" s="16"/>
      <c r="C370" s="16"/>
      <c r="D370" s="16"/>
      <c r="E370" s="123"/>
      <c r="F370" s="16"/>
      <c r="G370" s="16"/>
      <c r="P370" s="153"/>
    </row>
    <row r="371">
      <c r="A371" s="16"/>
      <c r="B371" s="16"/>
      <c r="C371" s="16"/>
      <c r="D371" s="16"/>
      <c r="E371" s="123"/>
      <c r="F371" s="16"/>
      <c r="G371" s="16"/>
      <c r="P371" s="153"/>
    </row>
    <row r="372">
      <c r="A372" s="16"/>
      <c r="B372" s="16"/>
      <c r="C372" s="16"/>
      <c r="D372" s="16"/>
      <c r="E372" s="123"/>
      <c r="F372" s="16"/>
      <c r="G372" s="16"/>
      <c r="P372" s="153"/>
    </row>
    <row r="373">
      <c r="A373" s="17"/>
      <c r="B373" s="16"/>
      <c r="C373" s="16"/>
      <c r="D373" s="16"/>
      <c r="E373" s="123"/>
      <c r="F373" s="16"/>
      <c r="G373" s="16"/>
      <c r="P373" s="153"/>
    </row>
    <row r="374">
      <c r="A374" s="16"/>
      <c r="B374" s="16"/>
      <c r="C374" s="16"/>
      <c r="D374" s="16"/>
      <c r="E374" s="16"/>
      <c r="F374" s="16"/>
      <c r="G374" s="16"/>
      <c r="P374" s="153"/>
    </row>
    <row r="375">
      <c r="A375" s="16"/>
      <c r="B375" s="16"/>
      <c r="C375" s="16"/>
      <c r="D375" s="16"/>
      <c r="E375" s="123"/>
      <c r="F375" s="16"/>
      <c r="G375" s="16"/>
      <c r="P375" s="153"/>
    </row>
    <row r="376">
      <c r="A376" s="16"/>
      <c r="B376" s="16"/>
      <c r="C376" s="16"/>
      <c r="D376" s="16"/>
      <c r="E376" s="123"/>
      <c r="F376" s="16"/>
      <c r="G376" s="16"/>
      <c r="P376" s="153"/>
    </row>
    <row r="377">
      <c r="A377" s="16"/>
      <c r="B377" s="16"/>
      <c r="C377" s="16"/>
      <c r="D377" s="16"/>
      <c r="E377" s="123"/>
      <c r="F377" s="16"/>
      <c r="G377" s="16"/>
      <c r="P377" s="153"/>
    </row>
    <row r="378">
      <c r="A378" s="16"/>
      <c r="B378" s="16"/>
      <c r="C378" s="16"/>
      <c r="D378" s="16"/>
      <c r="E378" s="123"/>
      <c r="F378" s="16"/>
      <c r="G378" s="16"/>
      <c r="P378" s="153"/>
    </row>
    <row r="379">
      <c r="A379" s="16"/>
      <c r="B379" s="16"/>
      <c r="C379" s="16"/>
      <c r="D379" s="16"/>
      <c r="E379" s="123"/>
      <c r="F379" s="16"/>
      <c r="G379" s="16"/>
      <c r="P379" s="153"/>
    </row>
    <row r="380">
      <c r="A380" s="16"/>
      <c r="B380" s="16"/>
      <c r="C380" s="16"/>
      <c r="D380" s="16"/>
      <c r="E380" s="123"/>
      <c r="F380" s="16"/>
      <c r="G380" s="16"/>
      <c r="P380" s="153"/>
    </row>
    <row r="381">
      <c r="A381" s="16"/>
      <c r="B381" s="16"/>
      <c r="C381" s="16"/>
      <c r="D381" s="16"/>
      <c r="E381" s="123"/>
      <c r="F381" s="16"/>
      <c r="G381" s="16"/>
      <c r="P381" s="153"/>
    </row>
    <row r="382">
      <c r="A382" s="16"/>
      <c r="B382" s="16"/>
      <c r="C382" s="16"/>
      <c r="D382" s="16"/>
      <c r="E382" s="123"/>
      <c r="F382" s="16"/>
      <c r="G382" s="16"/>
      <c r="P382" s="153"/>
    </row>
    <row r="383">
      <c r="A383" s="16"/>
      <c r="B383" s="16"/>
      <c r="C383" s="16"/>
      <c r="D383" s="16"/>
      <c r="E383" s="123"/>
      <c r="F383" s="16"/>
      <c r="G383" s="16"/>
      <c r="P383" s="153"/>
    </row>
    <row r="384">
      <c r="A384" s="16"/>
      <c r="B384" s="16"/>
      <c r="C384" s="16"/>
      <c r="D384" s="16"/>
      <c r="E384" s="123"/>
      <c r="F384" s="16"/>
      <c r="G384" s="16"/>
      <c r="P384" s="153"/>
    </row>
    <row r="385">
      <c r="A385" s="16"/>
      <c r="B385" s="17"/>
      <c r="C385" s="16"/>
      <c r="D385" s="17"/>
      <c r="E385" s="17"/>
      <c r="F385" s="16"/>
      <c r="G385" s="16"/>
      <c r="P385" s="153"/>
    </row>
    <row r="386">
      <c r="P386" s="153"/>
    </row>
    <row r="387">
      <c r="P387" s="153"/>
    </row>
    <row r="388">
      <c r="P388" s="153"/>
    </row>
    <row r="389">
      <c r="P389" s="153"/>
    </row>
    <row r="390">
      <c r="P390" s="153"/>
    </row>
    <row r="391">
      <c r="P391" s="153"/>
    </row>
    <row r="392">
      <c r="P392" s="153"/>
    </row>
    <row r="393">
      <c r="P393" s="153"/>
    </row>
    <row r="394">
      <c r="P394" s="153"/>
    </row>
    <row r="395">
      <c r="P395" s="153"/>
    </row>
    <row r="396">
      <c r="P396" s="153"/>
    </row>
    <row r="397">
      <c r="P397" s="153"/>
    </row>
    <row r="398">
      <c r="P398" s="153"/>
    </row>
    <row r="399">
      <c r="P399" s="153"/>
    </row>
    <row r="400">
      <c r="P400" s="153"/>
    </row>
    <row r="401">
      <c r="P401" s="153"/>
    </row>
    <row r="402">
      <c r="P402" s="153"/>
    </row>
    <row r="403">
      <c r="P403" s="153"/>
    </row>
    <row r="404">
      <c r="P404" s="153"/>
    </row>
    <row r="405">
      <c r="P405" s="153"/>
    </row>
    <row r="406">
      <c r="P406" s="153"/>
    </row>
    <row r="407">
      <c r="P407" s="153"/>
    </row>
    <row r="408">
      <c r="P408" s="153"/>
    </row>
    <row r="409">
      <c r="P409" s="153"/>
    </row>
    <row r="410">
      <c r="P410" s="153"/>
    </row>
    <row r="411">
      <c r="P411" s="153"/>
    </row>
    <row r="412">
      <c r="P412" s="153"/>
    </row>
    <row r="413">
      <c r="P413" s="153"/>
    </row>
    <row r="414">
      <c r="P414" s="153"/>
    </row>
    <row r="415">
      <c r="P415" s="153"/>
    </row>
    <row r="416">
      <c r="P416" s="153"/>
    </row>
    <row r="417">
      <c r="P417" s="153"/>
    </row>
    <row r="418">
      <c r="P418" s="153"/>
    </row>
    <row r="419">
      <c r="P419" s="153"/>
    </row>
    <row r="420">
      <c r="P420" s="153"/>
    </row>
    <row r="421">
      <c r="P421" s="153"/>
    </row>
    <row r="422">
      <c r="P422" s="153"/>
    </row>
    <row r="423">
      <c r="P423" s="153"/>
    </row>
    <row r="424">
      <c r="P424" s="153"/>
    </row>
    <row r="425">
      <c r="P425" s="153"/>
    </row>
    <row r="426">
      <c r="P426" s="153"/>
    </row>
    <row r="427">
      <c r="P427" s="153"/>
    </row>
    <row r="428">
      <c r="P428" s="153"/>
    </row>
    <row r="429">
      <c r="P429" s="153"/>
    </row>
    <row r="430">
      <c r="P430" s="153"/>
    </row>
    <row r="431">
      <c r="P431" s="153"/>
    </row>
    <row r="432">
      <c r="P432" s="153"/>
    </row>
    <row r="433">
      <c r="P433" s="153"/>
    </row>
    <row r="434">
      <c r="P434" s="153"/>
    </row>
    <row r="435">
      <c r="P435" s="153"/>
    </row>
    <row r="436">
      <c r="P436" s="153"/>
    </row>
    <row r="437">
      <c r="P437" s="153"/>
    </row>
    <row r="438">
      <c r="P438" s="153"/>
    </row>
    <row r="439">
      <c r="P439" s="153"/>
    </row>
    <row r="440">
      <c r="P440" s="153"/>
    </row>
    <row r="441">
      <c r="P441" s="153"/>
    </row>
    <row r="442">
      <c r="P442" s="153"/>
    </row>
    <row r="443">
      <c r="P443" s="153"/>
    </row>
    <row r="444">
      <c r="P444" s="153"/>
    </row>
    <row r="445">
      <c r="P445" s="153"/>
    </row>
    <row r="446">
      <c r="P446" s="153"/>
    </row>
    <row r="447">
      <c r="P447" s="153"/>
    </row>
    <row r="448">
      <c r="P448" s="153"/>
    </row>
    <row r="449">
      <c r="P449" s="153"/>
    </row>
    <row r="450">
      <c r="P450" s="153"/>
    </row>
    <row r="451">
      <c r="P451" s="153"/>
    </row>
    <row r="452">
      <c r="P452" s="153"/>
    </row>
    <row r="453">
      <c r="P453" s="153"/>
    </row>
    <row r="454">
      <c r="P454" s="153"/>
    </row>
    <row r="455">
      <c r="P455" s="153"/>
    </row>
    <row r="456">
      <c r="P456" s="153"/>
    </row>
    <row r="457">
      <c r="P457" s="153"/>
    </row>
    <row r="458">
      <c r="P458" s="153"/>
    </row>
    <row r="459">
      <c r="P459" s="153"/>
    </row>
    <row r="460">
      <c r="P460" s="153"/>
    </row>
    <row r="461">
      <c r="P461" s="153"/>
    </row>
    <row r="462">
      <c r="P462" s="153"/>
    </row>
    <row r="463">
      <c r="P463" s="153"/>
    </row>
    <row r="464">
      <c r="P464" s="153"/>
    </row>
    <row r="465">
      <c r="P465" s="153"/>
    </row>
    <row r="466">
      <c r="P466" s="153"/>
    </row>
    <row r="467">
      <c r="P467" s="153"/>
    </row>
    <row r="468">
      <c r="P468" s="153"/>
    </row>
    <row r="469">
      <c r="P469" s="153"/>
    </row>
    <row r="470">
      <c r="P470" s="153"/>
    </row>
    <row r="471">
      <c r="P471" s="153"/>
    </row>
    <row r="472">
      <c r="P472" s="153"/>
    </row>
    <row r="473">
      <c r="P473" s="153"/>
    </row>
    <row r="474">
      <c r="P474" s="153"/>
    </row>
    <row r="475">
      <c r="P475" s="153"/>
    </row>
    <row r="476">
      <c r="P476" s="153"/>
    </row>
    <row r="477">
      <c r="P477" s="153"/>
    </row>
    <row r="478">
      <c r="P478" s="153"/>
    </row>
    <row r="479">
      <c r="P479" s="153"/>
    </row>
    <row r="480">
      <c r="P480" s="153"/>
    </row>
    <row r="481">
      <c r="P481" s="153"/>
    </row>
    <row r="482">
      <c r="P482" s="153"/>
    </row>
    <row r="483">
      <c r="P483" s="153"/>
    </row>
    <row r="484">
      <c r="P484" s="153"/>
    </row>
    <row r="485">
      <c r="P485" s="153"/>
    </row>
    <row r="486">
      <c r="P486" s="153"/>
    </row>
    <row r="487">
      <c r="P487" s="153"/>
    </row>
    <row r="488">
      <c r="P488" s="153"/>
    </row>
    <row r="489">
      <c r="P489" s="153"/>
    </row>
    <row r="490">
      <c r="P490" s="153"/>
    </row>
    <row r="491">
      <c r="P491" s="153"/>
    </row>
    <row r="492">
      <c r="P492" s="153"/>
    </row>
    <row r="493">
      <c r="P493" s="153"/>
    </row>
    <row r="494">
      <c r="P494" s="153"/>
    </row>
    <row r="495">
      <c r="P495" s="153"/>
    </row>
    <row r="496">
      <c r="P496" s="153"/>
    </row>
    <row r="497">
      <c r="P497" s="153"/>
    </row>
    <row r="498">
      <c r="P498" s="153"/>
    </row>
    <row r="499">
      <c r="P499" s="153"/>
    </row>
    <row r="500">
      <c r="P500" s="153"/>
    </row>
    <row r="501">
      <c r="P501" s="153"/>
    </row>
    <row r="502">
      <c r="P502" s="153"/>
    </row>
    <row r="503">
      <c r="P503" s="153"/>
    </row>
    <row r="504">
      <c r="P504" s="153"/>
    </row>
    <row r="505">
      <c r="P505" s="153"/>
    </row>
    <row r="506">
      <c r="P506" s="153"/>
    </row>
    <row r="507">
      <c r="P507" s="153"/>
    </row>
    <row r="508">
      <c r="P508" s="153"/>
    </row>
    <row r="509">
      <c r="P509" s="153"/>
    </row>
    <row r="510">
      <c r="P510" s="153"/>
    </row>
    <row r="511">
      <c r="P511" s="153"/>
    </row>
    <row r="512">
      <c r="P512" s="153"/>
    </row>
    <row r="513">
      <c r="P513" s="153"/>
    </row>
    <row r="514">
      <c r="P514" s="153"/>
    </row>
    <row r="515">
      <c r="P515" s="153"/>
    </row>
    <row r="516">
      <c r="P516" s="153"/>
    </row>
    <row r="517">
      <c r="P517" s="153"/>
    </row>
    <row r="518">
      <c r="P518" s="153"/>
    </row>
    <row r="519">
      <c r="P519" s="153"/>
    </row>
    <row r="520">
      <c r="P520" s="153"/>
    </row>
    <row r="521">
      <c r="P521" s="153"/>
    </row>
    <row r="522">
      <c r="P522" s="153"/>
    </row>
    <row r="523">
      <c r="P523" s="153"/>
    </row>
    <row r="524">
      <c r="P524" s="153"/>
    </row>
    <row r="525">
      <c r="P525" s="153"/>
    </row>
    <row r="526">
      <c r="P526" s="153"/>
    </row>
    <row r="527">
      <c r="P527" s="153"/>
    </row>
    <row r="528">
      <c r="P528" s="153"/>
    </row>
    <row r="529">
      <c r="P529" s="153"/>
    </row>
    <row r="530">
      <c r="P530" s="153"/>
    </row>
    <row r="531">
      <c r="P531" s="153"/>
    </row>
    <row r="532">
      <c r="P532" s="153"/>
    </row>
    <row r="533">
      <c r="P533" s="153"/>
    </row>
    <row r="534">
      <c r="P534" s="153"/>
    </row>
    <row r="535">
      <c r="P535" s="153"/>
    </row>
    <row r="536">
      <c r="P536" s="153"/>
    </row>
    <row r="537">
      <c r="P537" s="153"/>
    </row>
    <row r="538">
      <c r="P538" s="153"/>
    </row>
    <row r="539">
      <c r="P539" s="153"/>
    </row>
    <row r="540">
      <c r="P540" s="153"/>
    </row>
    <row r="541">
      <c r="P541" s="153"/>
    </row>
    <row r="542">
      <c r="P542" s="153"/>
    </row>
    <row r="543">
      <c r="P543" s="153"/>
    </row>
    <row r="544">
      <c r="P544" s="153"/>
    </row>
    <row r="545">
      <c r="P545" s="153"/>
    </row>
    <row r="546">
      <c r="P546" s="153"/>
    </row>
    <row r="547">
      <c r="P547" s="153"/>
    </row>
    <row r="548">
      <c r="P548" s="153"/>
    </row>
    <row r="549">
      <c r="P549" s="153"/>
    </row>
    <row r="550">
      <c r="P550" s="153"/>
    </row>
    <row r="551">
      <c r="P551" s="153"/>
    </row>
    <row r="552">
      <c r="P552" s="153"/>
    </row>
    <row r="553">
      <c r="P553" s="153"/>
    </row>
    <row r="554">
      <c r="P554" s="153"/>
    </row>
    <row r="555">
      <c r="P555" s="153"/>
    </row>
    <row r="556">
      <c r="P556" s="153"/>
    </row>
    <row r="557">
      <c r="P557" s="153"/>
    </row>
    <row r="558">
      <c r="P558" s="153"/>
    </row>
    <row r="559">
      <c r="P559" s="153"/>
    </row>
    <row r="560">
      <c r="P560" s="153"/>
    </row>
    <row r="561">
      <c r="P561" s="153"/>
    </row>
    <row r="562">
      <c r="P562" s="153"/>
    </row>
    <row r="563">
      <c r="P563" s="153"/>
    </row>
    <row r="564">
      <c r="P564" s="153"/>
    </row>
    <row r="565">
      <c r="P565" s="153"/>
    </row>
    <row r="566">
      <c r="P566" s="153"/>
    </row>
    <row r="567">
      <c r="P567" s="153"/>
    </row>
    <row r="568">
      <c r="P568" s="153"/>
    </row>
    <row r="569">
      <c r="P569" s="153"/>
    </row>
    <row r="570">
      <c r="P570" s="153"/>
    </row>
    <row r="571">
      <c r="P571" s="153"/>
    </row>
    <row r="572">
      <c r="P572" s="153"/>
    </row>
    <row r="573">
      <c r="P573" s="153"/>
    </row>
    <row r="574">
      <c r="P574" s="153"/>
    </row>
    <row r="575">
      <c r="P575" s="153"/>
    </row>
    <row r="576">
      <c r="P576" s="153"/>
    </row>
    <row r="577">
      <c r="P577" s="153"/>
    </row>
    <row r="578">
      <c r="P578" s="153"/>
    </row>
    <row r="579">
      <c r="P579" s="153"/>
    </row>
    <row r="580">
      <c r="P580" s="153"/>
    </row>
    <row r="581">
      <c r="P581" s="153"/>
    </row>
    <row r="582">
      <c r="P582" s="153"/>
    </row>
    <row r="583">
      <c r="P583" s="153"/>
    </row>
    <row r="584">
      <c r="P584" s="153"/>
    </row>
    <row r="585">
      <c r="P585" s="153"/>
    </row>
    <row r="586">
      <c r="P586" s="153"/>
    </row>
    <row r="587">
      <c r="P587" s="153"/>
    </row>
    <row r="588">
      <c r="P588" s="153"/>
    </row>
    <row r="589">
      <c r="P589" s="153"/>
    </row>
    <row r="590">
      <c r="P590" s="153"/>
    </row>
    <row r="591">
      <c r="P591" s="153"/>
    </row>
    <row r="592">
      <c r="P592" s="153"/>
    </row>
    <row r="593">
      <c r="P593" s="153"/>
    </row>
    <row r="594">
      <c r="P594" s="153"/>
    </row>
    <row r="595">
      <c r="P595" s="153"/>
    </row>
    <row r="596">
      <c r="P596" s="153"/>
    </row>
    <row r="597">
      <c r="P597" s="153"/>
    </row>
    <row r="598">
      <c r="P598" s="153"/>
    </row>
    <row r="599">
      <c r="P599" s="153"/>
    </row>
    <row r="600">
      <c r="P600" s="153"/>
    </row>
    <row r="601">
      <c r="P601" s="153"/>
    </row>
    <row r="602">
      <c r="P602" s="153"/>
    </row>
    <row r="603">
      <c r="P603" s="153"/>
    </row>
    <row r="604">
      <c r="P604" s="153"/>
    </row>
    <row r="605">
      <c r="P605" s="153"/>
    </row>
    <row r="606">
      <c r="P606" s="153"/>
    </row>
    <row r="607">
      <c r="P607" s="153"/>
    </row>
    <row r="608">
      <c r="P608" s="153"/>
    </row>
    <row r="609">
      <c r="P609" s="153"/>
    </row>
    <row r="610">
      <c r="P610" s="153"/>
    </row>
    <row r="611">
      <c r="P611" s="153"/>
    </row>
    <row r="612">
      <c r="P612" s="153"/>
    </row>
    <row r="613">
      <c r="P613" s="153"/>
    </row>
    <row r="614">
      <c r="P614" s="153"/>
    </row>
    <row r="615">
      <c r="P615" s="153"/>
    </row>
    <row r="616">
      <c r="P616" s="153"/>
    </row>
    <row r="617">
      <c r="P617" s="153"/>
    </row>
    <row r="618">
      <c r="P618" s="153"/>
    </row>
    <row r="619">
      <c r="P619" s="153"/>
    </row>
    <row r="620">
      <c r="P620" s="153"/>
    </row>
    <row r="621">
      <c r="P621" s="153"/>
    </row>
    <row r="622">
      <c r="P622" s="153"/>
    </row>
    <row r="623">
      <c r="P623" s="153"/>
    </row>
    <row r="624">
      <c r="P624" s="153"/>
    </row>
    <row r="625">
      <c r="P625" s="153"/>
    </row>
    <row r="626">
      <c r="P626" s="153"/>
    </row>
    <row r="627">
      <c r="P627" s="153"/>
    </row>
    <row r="628">
      <c r="P628" s="153"/>
    </row>
    <row r="629">
      <c r="P629" s="153"/>
    </row>
    <row r="630">
      <c r="P630" s="153"/>
    </row>
    <row r="631">
      <c r="P631" s="153"/>
    </row>
    <row r="632">
      <c r="P632" s="153"/>
    </row>
    <row r="633">
      <c r="P633" s="153"/>
    </row>
    <row r="634">
      <c r="P634" s="153"/>
    </row>
    <row r="635">
      <c r="P635" s="153"/>
    </row>
    <row r="636">
      <c r="P636" s="153"/>
    </row>
    <row r="637">
      <c r="P637" s="153"/>
    </row>
    <row r="638">
      <c r="P638" s="153"/>
    </row>
    <row r="639">
      <c r="P639" s="153"/>
    </row>
    <row r="640">
      <c r="P640" s="153"/>
    </row>
    <row r="641">
      <c r="P641" s="153"/>
    </row>
    <row r="642">
      <c r="P642" s="153"/>
    </row>
    <row r="643">
      <c r="P643" s="153"/>
    </row>
    <row r="644">
      <c r="P644" s="153"/>
    </row>
    <row r="645">
      <c r="P645" s="153"/>
    </row>
    <row r="646">
      <c r="P646" s="153"/>
    </row>
    <row r="647">
      <c r="P647" s="153"/>
    </row>
    <row r="648">
      <c r="P648" s="153"/>
    </row>
    <row r="649">
      <c r="P649" s="153"/>
    </row>
    <row r="650">
      <c r="P650" s="153"/>
    </row>
    <row r="651">
      <c r="P651" s="153"/>
    </row>
    <row r="652">
      <c r="P652" s="153"/>
    </row>
    <row r="653">
      <c r="P653" s="153"/>
    </row>
    <row r="654">
      <c r="P654" s="153"/>
    </row>
    <row r="655">
      <c r="P655" s="153"/>
    </row>
    <row r="656">
      <c r="P656" s="153"/>
    </row>
    <row r="657">
      <c r="P657" s="153"/>
    </row>
    <row r="658">
      <c r="P658" s="153"/>
    </row>
    <row r="659">
      <c r="P659" s="153"/>
    </row>
    <row r="660">
      <c r="P660" s="153"/>
    </row>
    <row r="661">
      <c r="P661" s="153"/>
    </row>
    <row r="662">
      <c r="P662" s="153"/>
    </row>
    <row r="663">
      <c r="P663" s="153"/>
    </row>
    <row r="664">
      <c r="P664" s="153"/>
    </row>
    <row r="665">
      <c r="P665" s="153"/>
    </row>
    <row r="666">
      <c r="P666" s="153"/>
    </row>
    <row r="667">
      <c r="P667" s="153"/>
    </row>
    <row r="668">
      <c r="P668" s="153"/>
    </row>
    <row r="669">
      <c r="P669" s="153"/>
    </row>
    <row r="670">
      <c r="P670" s="153"/>
    </row>
    <row r="671">
      <c r="P671" s="153"/>
    </row>
    <row r="672">
      <c r="P672" s="153"/>
    </row>
    <row r="673">
      <c r="P673" s="153"/>
    </row>
    <row r="674">
      <c r="P674" s="153"/>
    </row>
    <row r="675">
      <c r="P675" s="153"/>
    </row>
    <row r="676">
      <c r="P676" s="153"/>
    </row>
    <row r="677">
      <c r="P677" s="153"/>
    </row>
    <row r="678">
      <c r="P678" s="153"/>
    </row>
    <row r="679">
      <c r="P679" s="153"/>
    </row>
    <row r="680">
      <c r="P680" s="153"/>
    </row>
    <row r="681">
      <c r="P681" s="153"/>
    </row>
    <row r="682">
      <c r="P682" s="153"/>
    </row>
    <row r="683">
      <c r="P683" s="153"/>
    </row>
    <row r="684">
      <c r="P684" s="153"/>
    </row>
    <row r="685">
      <c r="P685" s="153"/>
    </row>
    <row r="686">
      <c r="P686" s="153"/>
    </row>
    <row r="687">
      <c r="P687" s="153"/>
    </row>
    <row r="688">
      <c r="P688" s="153"/>
    </row>
    <row r="689">
      <c r="P689" s="153"/>
    </row>
    <row r="690">
      <c r="P690" s="153"/>
    </row>
    <row r="691">
      <c r="P691" s="153"/>
    </row>
    <row r="692">
      <c r="P692" s="153"/>
    </row>
    <row r="693">
      <c r="P693" s="153"/>
    </row>
    <row r="694">
      <c r="P694" s="153"/>
    </row>
    <row r="695">
      <c r="P695" s="153"/>
    </row>
    <row r="696">
      <c r="P696" s="153"/>
    </row>
    <row r="697">
      <c r="P697" s="153"/>
    </row>
    <row r="698">
      <c r="P698" s="153"/>
    </row>
    <row r="699">
      <c r="P699" s="153"/>
    </row>
    <row r="700">
      <c r="P700" s="153"/>
    </row>
    <row r="701">
      <c r="P701" s="153"/>
    </row>
    <row r="702">
      <c r="P702" s="153"/>
    </row>
    <row r="703">
      <c r="P703" s="153"/>
    </row>
    <row r="704">
      <c r="P704" s="153"/>
    </row>
    <row r="705">
      <c r="P705" s="153"/>
    </row>
    <row r="706">
      <c r="P706" s="153"/>
    </row>
    <row r="707">
      <c r="P707" s="153"/>
    </row>
    <row r="708">
      <c r="P708" s="153"/>
    </row>
    <row r="709">
      <c r="P709" s="153"/>
    </row>
    <row r="710">
      <c r="P710" s="153"/>
    </row>
    <row r="711">
      <c r="P711" s="153"/>
    </row>
    <row r="712">
      <c r="P712" s="153"/>
    </row>
    <row r="713">
      <c r="P713" s="153"/>
    </row>
    <row r="714">
      <c r="P714" s="153"/>
    </row>
    <row r="715">
      <c r="P715" s="153"/>
    </row>
    <row r="716">
      <c r="P716" s="153"/>
    </row>
    <row r="717">
      <c r="P717" s="153"/>
    </row>
    <row r="718">
      <c r="P718" s="153"/>
    </row>
    <row r="719">
      <c r="P719" s="153"/>
    </row>
    <row r="720">
      <c r="P720" s="153"/>
    </row>
    <row r="721">
      <c r="P721" s="153"/>
    </row>
    <row r="722">
      <c r="P722" s="153"/>
    </row>
    <row r="723">
      <c r="P723" s="153"/>
    </row>
    <row r="724">
      <c r="P724" s="153"/>
    </row>
    <row r="725">
      <c r="P725" s="153"/>
    </row>
    <row r="726">
      <c r="P726" s="153"/>
    </row>
    <row r="727">
      <c r="P727" s="153"/>
    </row>
    <row r="728">
      <c r="P728" s="153"/>
    </row>
    <row r="729">
      <c r="P729" s="153"/>
    </row>
    <row r="730">
      <c r="P730" s="153"/>
    </row>
    <row r="731">
      <c r="P731" s="153"/>
    </row>
    <row r="732">
      <c r="P732" s="153"/>
    </row>
    <row r="733">
      <c r="P733" s="153"/>
    </row>
    <row r="734">
      <c r="P734" s="153"/>
    </row>
    <row r="735">
      <c r="P735" s="153"/>
    </row>
    <row r="736">
      <c r="P736" s="153"/>
    </row>
    <row r="737">
      <c r="P737" s="153"/>
    </row>
    <row r="738">
      <c r="P738" s="153"/>
    </row>
    <row r="739">
      <c r="P739" s="153"/>
    </row>
    <row r="740">
      <c r="P740" s="153"/>
    </row>
    <row r="741">
      <c r="P741" s="153"/>
    </row>
    <row r="742">
      <c r="P742" s="153"/>
    </row>
    <row r="743">
      <c r="P743" s="153"/>
    </row>
    <row r="744">
      <c r="P744" s="153"/>
    </row>
    <row r="745">
      <c r="P745" s="153"/>
    </row>
    <row r="746">
      <c r="P746" s="153"/>
    </row>
    <row r="747">
      <c r="P747" s="153"/>
    </row>
    <row r="748">
      <c r="P748" s="153"/>
    </row>
    <row r="749">
      <c r="P749" s="153"/>
    </row>
    <row r="750">
      <c r="P750" s="153"/>
    </row>
    <row r="751">
      <c r="P751" s="153"/>
    </row>
    <row r="752">
      <c r="P752" s="153"/>
    </row>
    <row r="753">
      <c r="P753" s="153"/>
    </row>
    <row r="754">
      <c r="P754" s="153"/>
    </row>
    <row r="755">
      <c r="P755" s="153"/>
    </row>
    <row r="756">
      <c r="P756" s="153"/>
    </row>
    <row r="757">
      <c r="P757" s="153"/>
    </row>
    <row r="758">
      <c r="P758" s="153"/>
    </row>
    <row r="759">
      <c r="P759" s="153"/>
    </row>
    <row r="760">
      <c r="P760" s="153"/>
    </row>
    <row r="761">
      <c r="P761" s="153"/>
    </row>
    <row r="762">
      <c r="P762" s="153"/>
    </row>
    <row r="763">
      <c r="P763" s="153"/>
    </row>
    <row r="764">
      <c r="P764" s="153"/>
    </row>
    <row r="765">
      <c r="P765" s="153"/>
    </row>
    <row r="766">
      <c r="P766" s="153"/>
    </row>
    <row r="767">
      <c r="P767" s="153"/>
    </row>
    <row r="768">
      <c r="P768" s="153"/>
    </row>
    <row r="769">
      <c r="P769" s="153"/>
    </row>
    <row r="770">
      <c r="P770" s="153"/>
    </row>
    <row r="771">
      <c r="P771" s="153"/>
    </row>
    <row r="772">
      <c r="P772" s="153"/>
    </row>
    <row r="773">
      <c r="P773" s="153"/>
    </row>
    <row r="774">
      <c r="P774" s="153"/>
    </row>
    <row r="775">
      <c r="P775" s="153"/>
    </row>
    <row r="776">
      <c r="P776" s="153"/>
    </row>
    <row r="777">
      <c r="P777" s="153"/>
    </row>
    <row r="778">
      <c r="P778" s="153"/>
    </row>
    <row r="779">
      <c r="P779" s="153"/>
    </row>
    <row r="780">
      <c r="P780" s="153"/>
    </row>
    <row r="781">
      <c r="P781" s="153"/>
    </row>
    <row r="782">
      <c r="P782" s="153"/>
    </row>
    <row r="783">
      <c r="P783" s="153"/>
    </row>
    <row r="784">
      <c r="P784" s="153"/>
    </row>
    <row r="785">
      <c r="P785" s="153"/>
    </row>
    <row r="786">
      <c r="P786" s="153"/>
    </row>
    <row r="787">
      <c r="P787" s="153"/>
    </row>
    <row r="788">
      <c r="P788" s="153"/>
    </row>
    <row r="789">
      <c r="P789" s="153"/>
    </row>
    <row r="790">
      <c r="P790" s="153"/>
    </row>
    <row r="791">
      <c r="P791" s="153"/>
    </row>
    <row r="792">
      <c r="P792" s="153"/>
    </row>
    <row r="793">
      <c r="P793" s="153"/>
    </row>
    <row r="794">
      <c r="P794" s="153"/>
    </row>
    <row r="795">
      <c r="P795" s="153"/>
    </row>
    <row r="796">
      <c r="P796" s="153"/>
    </row>
    <row r="797">
      <c r="P797" s="153"/>
    </row>
    <row r="798">
      <c r="P798" s="153"/>
    </row>
    <row r="799">
      <c r="P799" s="153"/>
    </row>
    <row r="800">
      <c r="P800" s="153"/>
    </row>
    <row r="801">
      <c r="P801" s="153"/>
    </row>
    <row r="802">
      <c r="P802" s="153"/>
    </row>
    <row r="803">
      <c r="P803" s="153"/>
    </row>
    <row r="804">
      <c r="P804" s="153"/>
    </row>
    <row r="805">
      <c r="P805" s="153"/>
    </row>
    <row r="806">
      <c r="P806" s="153"/>
    </row>
    <row r="807">
      <c r="P807" s="153"/>
    </row>
    <row r="808">
      <c r="P808" s="153"/>
    </row>
    <row r="809">
      <c r="P809" s="153"/>
    </row>
    <row r="810">
      <c r="P810" s="153"/>
    </row>
    <row r="811">
      <c r="P811" s="153"/>
    </row>
    <row r="812">
      <c r="P812" s="153"/>
    </row>
    <row r="813">
      <c r="P813" s="153"/>
    </row>
    <row r="814">
      <c r="P814" s="153"/>
    </row>
    <row r="815">
      <c r="P815" s="153"/>
    </row>
    <row r="816">
      <c r="P816" s="153"/>
    </row>
    <row r="817">
      <c r="P817" s="153"/>
    </row>
    <row r="818">
      <c r="P818" s="153"/>
    </row>
    <row r="819">
      <c r="P819" s="153"/>
    </row>
    <row r="820">
      <c r="P820" s="153"/>
    </row>
    <row r="821">
      <c r="P821" s="153"/>
    </row>
    <row r="822">
      <c r="P822" s="153"/>
    </row>
    <row r="823">
      <c r="P823" s="153"/>
    </row>
    <row r="824">
      <c r="P824" s="153"/>
    </row>
    <row r="825">
      <c r="P825" s="153"/>
    </row>
    <row r="826">
      <c r="P826" s="153"/>
    </row>
    <row r="827">
      <c r="P827" s="153"/>
    </row>
    <row r="828">
      <c r="P828" s="153"/>
    </row>
    <row r="829">
      <c r="P829" s="153"/>
    </row>
    <row r="830">
      <c r="P830" s="153"/>
    </row>
    <row r="831">
      <c r="P831" s="153"/>
    </row>
    <row r="832">
      <c r="P832" s="153"/>
    </row>
    <row r="833">
      <c r="P833" s="153"/>
    </row>
    <row r="834">
      <c r="P834" s="153"/>
    </row>
    <row r="835">
      <c r="P835" s="153"/>
    </row>
    <row r="836">
      <c r="P836" s="153"/>
    </row>
    <row r="837">
      <c r="P837" s="153"/>
    </row>
    <row r="838">
      <c r="P838" s="153"/>
    </row>
    <row r="839">
      <c r="P839" s="153"/>
    </row>
    <row r="840">
      <c r="P840" s="153"/>
    </row>
    <row r="841">
      <c r="P841" s="153"/>
    </row>
    <row r="842">
      <c r="P842" s="153"/>
    </row>
    <row r="843">
      <c r="P843" s="153"/>
    </row>
    <row r="844">
      <c r="P844" s="153"/>
    </row>
    <row r="845">
      <c r="P845" s="153"/>
    </row>
    <row r="846">
      <c r="P846" s="153"/>
    </row>
    <row r="847">
      <c r="P847" s="153"/>
    </row>
    <row r="848">
      <c r="P848" s="153"/>
    </row>
    <row r="849">
      <c r="P849" s="153"/>
    </row>
    <row r="850">
      <c r="P850" s="153"/>
    </row>
    <row r="851">
      <c r="P851" s="153"/>
    </row>
    <row r="852">
      <c r="P852" s="153"/>
    </row>
    <row r="853">
      <c r="P853" s="153"/>
    </row>
    <row r="854">
      <c r="P854" s="153"/>
    </row>
    <row r="855">
      <c r="P855" s="153"/>
    </row>
    <row r="856">
      <c r="P856" s="153"/>
    </row>
    <row r="857">
      <c r="P857" s="153"/>
    </row>
    <row r="858">
      <c r="P858" s="153"/>
    </row>
    <row r="859">
      <c r="P859" s="153"/>
    </row>
    <row r="860">
      <c r="P860" s="153"/>
    </row>
    <row r="861">
      <c r="P861" s="153"/>
    </row>
    <row r="862">
      <c r="P862" s="153"/>
    </row>
    <row r="863">
      <c r="P863" s="153"/>
    </row>
    <row r="864">
      <c r="P864" s="153"/>
    </row>
    <row r="865">
      <c r="P865" s="153"/>
    </row>
    <row r="866">
      <c r="P866" s="153"/>
    </row>
    <row r="867">
      <c r="P867" s="153"/>
    </row>
    <row r="868">
      <c r="P868" s="153"/>
    </row>
    <row r="869">
      <c r="P869" s="153"/>
    </row>
    <row r="870">
      <c r="P870" s="153"/>
    </row>
    <row r="871">
      <c r="P871" s="153"/>
    </row>
    <row r="872">
      <c r="P872" s="153"/>
    </row>
    <row r="873">
      <c r="P873" s="153"/>
    </row>
    <row r="874">
      <c r="P874" s="153"/>
    </row>
    <row r="875">
      <c r="P875" s="153"/>
    </row>
    <row r="876">
      <c r="P876" s="153"/>
    </row>
    <row r="877">
      <c r="P877" s="153"/>
    </row>
    <row r="878">
      <c r="P878" s="153"/>
    </row>
    <row r="879">
      <c r="P879" s="153"/>
    </row>
    <row r="880">
      <c r="P880" s="153"/>
    </row>
    <row r="881">
      <c r="P881" s="153"/>
    </row>
    <row r="882">
      <c r="P882" s="153"/>
    </row>
    <row r="883">
      <c r="P883" s="153"/>
    </row>
    <row r="884">
      <c r="P884" s="153"/>
    </row>
    <row r="885">
      <c r="P885" s="153"/>
    </row>
    <row r="886">
      <c r="P886" s="153"/>
    </row>
    <row r="887">
      <c r="P887" s="153"/>
    </row>
    <row r="888">
      <c r="P888" s="153"/>
    </row>
    <row r="889">
      <c r="P889" s="153"/>
    </row>
    <row r="890">
      <c r="P890" s="153"/>
    </row>
    <row r="891">
      <c r="P891" s="153"/>
    </row>
    <row r="892">
      <c r="P892" s="153"/>
    </row>
    <row r="893">
      <c r="P893" s="153"/>
    </row>
    <row r="894">
      <c r="P894" s="153"/>
    </row>
    <row r="895">
      <c r="P895" s="153"/>
    </row>
    <row r="896">
      <c r="P896" s="153"/>
    </row>
    <row r="897">
      <c r="P897" s="153"/>
    </row>
    <row r="898">
      <c r="P898" s="153"/>
    </row>
    <row r="899">
      <c r="P899" s="153"/>
    </row>
    <row r="900">
      <c r="P900" s="153"/>
    </row>
    <row r="901">
      <c r="P901" s="153"/>
    </row>
    <row r="902">
      <c r="P902" s="153"/>
    </row>
    <row r="903">
      <c r="P903" s="153"/>
    </row>
    <row r="904">
      <c r="P904" s="153"/>
    </row>
    <row r="905">
      <c r="P905" s="153"/>
    </row>
    <row r="906">
      <c r="P906" s="153"/>
    </row>
    <row r="907">
      <c r="P907" s="153"/>
    </row>
    <row r="908">
      <c r="P908" s="153"/>
    </row>
    <row r="909">
      <c r="P909" s="153"/>
    </row>
    <row r="910">
      <c r="P910" s="153"/>
    </row>
    <row r="911">
      <c r="P911" s="153"/>
    </row>
    <row r="912">
      <c r="P912" s="153"/>
    </row>
    <row r="913">
      <c r="P913" s="153"/>
    </row>
    <row r="914">
      <c r="P914" s="153"/>
    </row>
    <row r="915">
      <c r="P915" s="153"/>
    </row>
    <row r="916">
      <c r="P916" s="153"/>
    </row>
    <row r="917">
      <c r="P917" s="153"/>
    </row>
    <row r="918">
      <c r="P918" s="153"/>
    </row>
    <row r="919">
      <c r="P919" s="153"/>
    </row>
    <row r="920">
      <c r="P920" s="153"/>
    </row>
    <row r="921">
      <c r="P921" s="153"/>
    </row>
    <row r="922">
      <c r="P922" s="153"/>
    </row>
    <row r="923">
      <c r="P923" s="153"/>
    </row>
    <row r="924">
      <c r="P924" s="153"/>
    </row>
    <row r="925">
      <c r="P925" s="153"/>
    </row>
    <row r="926">
      <c r="P926" s="153"/>
    </row>
    <row r="927">
      <c r="P927" s="153"/>
    </row>
    <row r="928">
      <c r="P928" s="153"/>
    </row>
    <row r="929">
      <c r="P929" s="153"/>
    </row>
    <row r="930">
      <c r="P930" s="153"/>
    </row>
    <row r="931">
      <c r="P931" s="153"/>
    </row>
    <row r="932">
      <c r="P932" s="153"/>
    </row>
    <row r="933">
      <c r="P933" s="153"/>
    </row>
    <row r="934">
      <c r="P934" s="153"/>
    </row>
    <row r="935">
      <c r="P935" s="153"/>
    </row>
    <row r="936">
      <c r="P936" s="153"/>
    </row>
    <row r="937">
      <c r="P937" s="153"/>
    </row>
    <row r="938">
      <c r="P938" s="153"/>
    </row>
    <row r="939">
      <c r="P939" s="153"/>
    </row>
    <row r="940">
      <c r="P940" s="153"/>
    </row>
    <row r="941">
      <c r="P941" s="153"/>
    </row>
    <row r="942">
      <c r="P942" s="153"/>
    </row>
    <row r="943">
      <c r="P943" s="153"/>
    </row>
    <row r="944">
      <c r="P944" s="153"/>
    </row>
    <row r="945">
      <c r="P945" s="153"/>
    </row>
    <row r="946">
      <c r="P946" s="153"/>
    </row>
    <row r="947">
      <c r="P947" s="153"/>
    </row>
    <row r="948">
      <c r="P948" s="153"/>
    </row>
    <row r="949">
      <c r="P949" s="153"/>
    </row>
    <row r="950">
      <c r="P950" s="153"/>
    </row>
    <row r="951">
      <c r="P951" s="153"/>
    </row>
    <row r="952">
      <c r="P952" s="153"/>
    </row>
    <row r="953">
      <c r="P953" s="153"/>
    </row>
    <row r="954">
      <c r="P954" s="153"/>
    </row>
    <row r="955">
      <c r="P955" s="153"/>
    </row>
    <row r="956">
      <c r="P956" s="153"/>
    </row>
    <row r="957">
      <c r="P957" s="153"/>
    </row>
    <row r="958">
      <c r="P958" s="153"/>
    </row>
    <row r="959">
      <c r="P959" s="153"/>
    </row>
    <row r="960">
      <c r="P960" s="153"/>
    </row>
    <row r="961">
      <c r="P961" s="153"/>
    </row>
    <row r="962">
      <c r="P962" s="153"/>
    </row>
    <row r="963">
      <c r="P963" s="153"/>
    </row>
    <row r="964">
      <c r="P964" s="153"/>
    </row>
    <row r="965">
      <c r="P965" s="153"/>
    </row>
    <row r="966">
      <c r="P966" s="153"/>
    </row>
    <row r="967">
      <c r="P967" s="153"/>
    </row>
    <row r="968">
      <c r="P968" s="153"/>
    </row>
    <row r="969">
      <c r="P969" s="153"/>
    </row>
    <row r="970">
      <c r="P970" s="153"/>
    </row>
    <row r="971">
      <c r="P971" s="153"/>
    </row>
    <row r="972">
      <c r="P972" s="153"/>
    </row>
    <row r="973">
      <c r="P973" s="153"/>
    </row>
    <row r="974">
      <c r="P974" s="153"/>
    </row>
    <row r="975">
      <c r="P975" s="153"/>
    </row>
    <row r="976">
      <c r="P976" s="153"/>
    </row>
    <row r="977">
      <c r="P977" s="153"/>
    </row>
    <row r="978">
      <c r="P978" s="153"/>
    </row>
    <row r="979">
      <c r="P979" s="153"/>
    </row>
    <row r="980">
      <c r="P980" s="153"/>
    </row>
    <row r="981">
      <c r="P981" s="153"/>
    </row>
    <row r="982">
      <c r="P982" s="153"/>
    </row>
    <row r="983">
      <c r="P983" s="153"/>
    </row>
    <row r="984">
      <c r="P984" s="153"/>
    </row>
    <row r="985">
      <c r="P985" s="153"/>
    </row>
    <row r="986">
      <c r="P986" s="153"/>
    </row>
    <row r="987">
      <c r="P987" s="153"/>
    </row>
    <row r="988">
      <c r="P988" s="153"/>
    </row>
    <row r="989">
      <c r="P989" s="153"/>
    </row>
    <row r="990">
      <c r="P990" s="153"/>
    </row>
    <row r="991">
      <c r="P991" s="153"/>
    </row>
    <row r="992">
      <c r="P992" s="153"/>
    </row>
    <row r="993">
      <c r="P993" s="153"/>
    </row>
    <row r="994">
      <c r="P994" s="153"/>
    </row>
    <row r="995">
      <c r="P995" s="153"/>
    </row>
    <row r="996">
      <c r="P996" s="153"/>
    </row>
    <row r="997">
      <c r="P997" s="153"/>
    </row>
    <row r="998">
      <c r="P998" s="153"/>
    </row>
    <row r="999">
      <c r="P999" s="153"/>
    </row>
    <row r="1000">
      <c r="P1000" s="153"/>
    </row>
  </sheetData>
  <dataValidations>
    <dataValidation type="list" allowBlank="1" showErrorMessage="1" sqref="P1:P1000">
      <formula1>"IT Area,FMG Cabinet,WFH,Mezzanine,Transferred,Deployed Onsite,C3-6 2nd floor,IT storage"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P1" s="153"/>
    </row>
    <row r="2">
      <c r="P2" s="153"/>
    </row>
    <row r="3">
      <c r="P3" s="153"/>
    </row>
    <row r="4">
      <c r="P4" s="153"/>
    </row>
    <row r="5">
      <c r="P5" s="153"/>
    </row>
    <row r="6">
      <c r="P6" s="153"/>
    </row>
    <row r="7">
      <c r="P7" s="153"/>
    </row>
    <row r="8">
      <c r="P8" s="153"/>
    </row>
    <row r="9">
      <c r="P9" s="153"/>
    </row>
    <row r="10">
      <c r="P10" s="153"/>
    </row>
    <row r="11">
      <c r="P11" s="153"/>
    </row>
    <row r="12">
      <c r="P12" s="153"/>
    </row>
    <row r="13">
      <c r="P13" s="153"/>
    </row>
    <row r="14">
      <c r="P14" s="153"/>
    </row>
    <row r="15">
      <c r="P15" s="153"/>
    </row>
    <row r="16">
      <c r="P16" s="153"/>
    </row>
    <row r="17">
      <c r="P17" s="153"/>
    </row>
    <row r="18">
      <c r="P18" s="153"/>
    </row>
    <row r="19">
      <c r="P19" s="153"/>
    </row>
    <row r="20">
      <c r="P20" s="153"/>
    </row>
    <row r="21">
      <c r="P21" s="153"/>
    </row>
    <row r="22">
      <c r="P22" s="153"/>
    </row>
    <row r="23">
      <c r="P23" s="153"/>
    </row>
    <row r="24">
      <c r="P24" s="153"/>
    </row>
    <row r="25">
      <c r="P25" s="153"/>
    </row>
    <row r="26">
      <c r="P26" s="153"/>
    </row>
    <row r="27">
      <c r="P27" s="153"/>
    </row>
    <row r="28">
      <c r="P28" s="153"/>
    </row>
    <row r="29">
      <c r="P29" s="153"/>
    </row>
    <row r="30">
      <c r="P30" s="153"/>
    </row>
    <row r="31">
      <c r="P31" s="153"/>
    </row>
    <row r="32">
      <c r="P32" s="153"/>
    </row>
    <row r="33">
      <c r="P33" s="153"/>
    </row>
    <row r="34">
      <c r="P34" s="153"/>
    </row>
    <row r="35">
      <c r="P35" s="153"/>
    </row>
    <row r="36">
      <c r="P36" s="153"/>
    </row>
    <row r="37">
      <c r="P37" s="153"/>
    </row>
    <row r="38">
      <c r="P38" s="153"/>
    </row>
    <row r="39">
      <c r="P39" s="153"/>
    </row>
    <row r="40">
      <c r="P40" s="153"/>
    </row>
    <row r="41">
      <c r="P41" s="153"/>
    </row>
    <row r="42">
      <c r="P42" s="153"/>
    </row>
    <row r="43">
      <c r="P43" s="153"/>
    </row>
    <row r="44">
      <c r="P44" s="153"/>
    </row>
    <row r="45">
      <c r="P45" s="153"/>
    </row>
    <row r="46">
      <c r="P46" s="153"/>
    </row>
    <row r="47">
      <c r="P47" s="153"/>
    </row>
    <row r="48">
      <c r="P48" s="153"/>
    </row>
    <row r="49">
      <c r="P49" s="153"/>
    </row>
    <row r="50">
      <c r="P50" s="153"/>
    </row>
    <row r="51">
      <c r="P51" s="153"/>
    </row>
    <row r="52">
      <c r="P52" s="153"/>
    </row>
    <row r="53">
      <c r="P53" s="153"/>
    </row>
    <row r="54">
      <c r="P54" s="153"/>
    </row>
    <row r="55">
      <c r="P55" s="153"/>
    </row>
    <row r="56">
      <c r="P56" s="153"/>
    </row>
    <row r="57">
      <c r="P57" s="153"/>
    </row>
    <row r="58">
      <c r="P58" s="153"/>
    </row>
    <row r="59">
      <c r="P59" s="153"/>
    </row>
    <row r="60">
      <c r="P60" s="153"/>
    </row>
    <row r="61">
      <c r="P61" s="153"/>
    </row>
    <row r="62">
      <c r="P62" s="153"/>
    </row>
    <row r="63">
      <c r="P63" s="153"/>
    </row>
    <row r="64">
      <c r="P64" s="153"/>
    </row>
    <row r="65">
      <c r="P65" s="153"/>
    </row>
    <row r="66">
      <c r="P66" s="153"/>
    </row>
    <row r="67">
      <c r="P67" s="153"/>
    </row>
    <row r="68">
      <c r="P68" s="153"/>
    </row>
    <row r="69">
      <c r="P69" s="153"/>
    </row>
    <row r="70">
      <c r="P70" s="153"/>
    </row>
    <row r="71">
      <c r="P71" s="153"/>
    </row>
    <row r="72">
      <c r="P72" s="153"/>
    </row>
    <row r="73">
      <c r="P73" s="153"/>
    </row>
    <row r="74">
      <c r="P74" s="153"/>
    </row>
    <row r="75">
      <c r="P75" s="153"/>
    </row>
    <row r="76">
      <c r="P76" s="153"/>
    </row>
    <row r="77">
      <c r="P77" s="153"/>
    </row>
    <row r="78">
      <c r="P78" s="153"/>
    </row>
    <row r="79">
      <c r="P79" s="153"/>
    </row>
    <row r="80">
      <c r="P80" s="153"/>
    </row>
    <row r="81">
      <c r="P81" s="153"/>
    </row>
    <row r="82">
      <c r="P82" s="153"/>
    </row>
    <row r="83">
      <c r="P83" s="153"/>
    </row>
    <row r="84">
      <c r="P84" s="153"/>
    </row>
    <row r="85">
      <c r="P85" s="153"/>
    </row>
    <row r="86">
      <c r="P86" s="153"/>
    </row>
    <row r="87">
      <c r="P87" s="153"/>
    </row>
    <row r="88">
      <c r="P88" s="153"/>
    </row>
    <row r="89">
      <c r="P89" s="153"/>
    </row>
    <row r="90">
      <c r="P90" s="153"/>
    </row>
    <row r="91">
      <c r="P91" s="153"/>
    </row>
    <row r="92">
      <c r="P92" s="153"/>
    </row>
    <row r="93">
      <c r="P93" s="153"/>
    </row>
    <row r="94">
      <c r="P94" s="153"/>
    </row>
    <row r="95">
      <c r="P95" s="153"/>
    </row>
    <row r="96">
      <c r="P96" s="153"/>
    </row>
    <row r="97">
      <c r="P97" s="153"/>
    </row>
    <row r="98">
      <c r="P98" s="153"/>
    </row>
    <row r="99">
      <c r="P99" s="153"/>
    </row>
    <row r="100">
      <c r="P100" s="153"/>
    </row>
    <row r="101">
      <c r="P101" s="153"/>
    </row>
    <row r="102">
      <c r="P102" s="153"/>
    </row>
    <row r="103">
      <c r="P103" s="153"/>
    </row>
    <row r="104">
      <c r="P104" s="153"/>
    </row>
    <row r="105">
      <c r="P105" s="153"/>
    </row>
    <row r="106">
      <c r="P106" s="153"/>
    </row>
    <row r="107">
      <c r="P107" s="153"/>
    </row>
    <row r="108">
      <c r="P108" s="153"/>
    </row>
    <row r="109">
      <c r="P109" s="153"/>
    </row>
    <row r="110">
      <c r="P110" s="153"/>
    </row>
    <row r="111">
      <c r="P111" s="153"/>
    </row>
    <row r="112">
      <c r="P112" s="153"/>
    </row>
    <row r="113">
      <c r="P113" s="153"/>
    </row>
    <row r="114">
      <c r="P114" s="153"/>
    </row>
    <row r="115">
      <c r="P115" s="153"/>
    </row>
    <row r="116">
      <c r="P116" s="153"/>
    </row>
    <row r="117">
      <c r="P117" s="153"/>
    </row>
    <row r="118">
      <c r="P118" s="153"/>
    </row>
    <row r="119">
      <c r="P119" s="153"/>
    </row>
    <row r="120">
      <c r="P120" s="153"/>
    </row>
    <row r="121">
      <c r="P121" s="153"/>
    </row>
    <row r="122">
      <c r="P122" s="153"/>
    </row>
    <row r="123">
      <c r="P123" s="153"/>
    </row>
    <row r="124">
      <c r="P124" s="153"/>
    </row>
    <row r="125">
      <c r="P125" s="153"/>
    </row>
    <row r="126">
      <c r="P126" s="153"/>
    </row>
    <row r="127">
      <c r="P127" s="153"/>
    </row>
    <row r="128">
      <c r="P128" s="153"/>
    </row>
    <row r="129">
      <c r="P129" s="153"/>
    </row>
    <row r="130">
      <c r="P130" s="153"/>
    </row>
    <row r="131">
      <c r="P131" s="153"/>
    </row>
    <row r="132">
      <c r="P132" s="153"/>
    </row>
    <row r="133">
      <c r="P133" s="153"/>
    </row>
    <row r="134">
      <c r="P134" s="153"/>
    </row>
    <row r="135">
      <c r="P135" s="153"/>
    </row>
    <row r="136">
      <c r="P136" s="153"/>
    </row>
    <row r="137">
      <c r="P137" s="153"/>
    </row>
    <row r="138">
      <c r="P138" s="153"/>
    </row>
    <row r="139">
      <c r="P139" s="153"/>
    </row>
    <row r="140">
      <c r="P140" s="153"/>
    </row>
    <row r="141">
      <c r="P141" s="153"/>
    </row>
    <row r="142">
      <c r="P142" s="153"/>
    </row>
    <row r="143">
      <c r="P143" s="153"/>
    </row>
    <row r="144">
      <c r="P144" s="153"/>
    </row>
    <row r="145">
      <c r="P145" s="153"/>
    </row>
    <row r="146">
      <c r="P146" s="153"/>
    </row>
    <row r="147">
      <c r="P147" s="153"/>
    </row>
    <row r="148">
      <c r="P148" s="153"/>
    </row>
    <row r="149">
      <c r="P149" s="153"/>
    </row>
    <row r="150">
      <c r="P150" s="153"/>
    </row>
    <row r="151">
      <c r="P151" s="153"/>
    </row>
    <row r="152">
      <c r="P152" s="153"/>
    </row>
    <row r="153">
      <c r="P153" s="153"/>
    </row>
    <row r="154">
      <c r="P154" s="153"/>
    </row>
    <row r="155">
      <c r="P155" s="153"/>
    </row>
    <row r="156">
      <c r="P156" s="153"/>
    </row>
    <row r="157">
      <c r="P157" s="153"/>
    </row>
    <row r="158">
      <c r="P158" s="153"/>
    </row>
    <row r="159">
      <c r="P159" s="153"/>
    </row>
    <row r="160">
      <c r="P160" s="153"/>
    </row>
    <row r="161">
      <c r="P161" s="153"/>
    </row>
    <row r="162">
      <c r="P162" s="153"/>
    </row>
    <row r="163">
      <c r="P163" s="153"/>
    </row>
    <row r="164">
      <c r="P164" s="153"/>
    </row>
    <row r="165">
      <c r="P165" s="153"/>
    </row>
    <row r="166">
      <c r="P166" s="153"/>
    </row>
    <row r="167">
      <c r="P167" s="153"/>
    </row>
    <row r="168">
      <c r="P168" s="153"/>
    </row>
    <row r="169">
      <c r="P169" s="153"/>
    </row>
    <row r="170">
      <c r="P170" s="153"/>
    </row>
    <row r="171">
      <c r="P171" s="153"/>
    </row>
    <row r="172">
      <c r="P172" s="153"/>
    </row>
    <row r="173">
      <c r="P173" s="153"/>
    </row>
    <row r="174">
      <c r="P174" s="153"/>
    </row>
    <row r="175">
      <c r="P175" s="153"/>
    </row>
    <row r="176">
      <c r="P176" s="153"/>
    </row>
    <row r="177">
      <c r="P177" s="153"/>
    </row>
    <row r="178">
      <c r="P178" s="153"/>
    </row>
    <row r="179">
      <c r="P179" s="153"/>
    </row>
    <row r="180">
      <c r="P180" s="153"/>
    </row>
    <row r="181">
      <c r="P181" s="153"/>
    </row>
    <row r="182">
      <c r="P182" s="153"/>
    </row>
    <row r="183">
      <c r="P183" s="153"/>
    </row>
    <row r="184">
      <c r="P184" s="153"/>
    </row>
    <row r="185">
      <c r="P185" s="153"/>
    </row>
    <row r="186">
      <c r="P186" s="153"/>
    </row>
    <row r="187">
      <c r="P187" s="153"/>
    </row>
    <row r="188">
      <c r="P188" s="153"/>
    </row>
    <row r="189">
      <c r="P189" s="153"/>
    </row>
    <row r="190">
      <c r="P190" s="153"/>
    </row>
    <row r="191">
      <c r="P191" s="153"/>
    </row>
    <row r="192">
      <c r="P192" s="153"/>
    </row>
    <row r="193">
      <c r="P193" s="153"/>
    </row>
    <row r="194">
      <c r="P194" s="153"/>
    </row>
    <row r="195">
      <c r="P195" s="153"/>
    </row>
    <row r="196">
      <c r="P196" s="153"/>
    </row>
    <row r="197">
      <c r="P197" s="153"/>
    </row>
    <row r="198">
      <c r="P198" s="153"/>
    </row>
    <row r="199">
      <c r="P199" s="153"/>
    </row>
    <row r="200">
      <c r="P200" s="153"/>
    </row>
    <row r="201">
      <c r="P201" s="153"/>
    </row>
    <row r="202">
      <c r="P202" s="153"/>
    </row>
    <row r="203">
      <c r="P203" s="153"/>
    </row>
    <row r="204">
      <c r="P204" s="153"/>
    </row>
    <row r="205">
      <c r="P205" s="153"/>
    </row>
    <row r="206">
      <c r="P206" s="153"/>
    </row>
    <row r="207">
      <c r="P207" s="153"/>
    </row>
    <row r="208">
      <c r="P208" s="153"/>
    </row>
    <row r="209">
      <c r="P209" s="153"/>
    </row>
    <row r="210">
      <c r="P210" s="153"/>
    </row>
    <row r="211">
      <c r="P211" s="153"/>
    </row>
    <row r="212">
      <c r="P212" s="153"/>
    </row>
    <row r="213">
      <c r="P213" s="153"/>
    </row>
    <row r="214">
      <c r="P214" s="153"/>
    </row>
    <row r="215">
      <c r="P215" s="153"/>
    </row>
    <row r="216">
      <c r="P216" s="153"/>
    </row>
    <row r="217">
      <c r="P217" s="153"/>
    </row>
    <row r="218">
      <c r="P218" s="153"/>
    </row>
    <row r="219">
      <c r="P219" s="153"/>
    </row>
    <row r="220">
      <c r="P220" s="153"/>
    </row>
    <row r="221">
      <c r="P221" s="153"/>
    </row>
    <row r="222">
      <c r="P222" s="153"/>
    </row>
    <row r="223">
      <c r="P223" s="153"/>
    </row>
    <row r="224">
      <c r="P224" s="153"/>
    </row>
    <row r="225">
      <c r="P225" s="153"/>
    </row>
    <row r="226">
      <c r="P226" s="153"/>
    </row>
    <row r="227">
      <c r="P227" s="153"/>
    </row>
    <row r="228">
      <c r="P228" s="153"/>
    </row>
    <row r="229">
      <c r="P229" s="153"/>
    </row>
    <row r="230">
      <c r="P230" s="153"/>
    </row>
    <row r="231">
      <c r="P231" s="153"/>
    </row>
    <row r="232">
      <c r="P232" s="153"/>
    </row>
    <row r="233">
      <c r="P233" s="153"/>
    </row>
    <row r="234">
      <c r="P234" s="153"/>
    </row>
    <row r="235">
      <c r="P235" s="153"/>
    </row>
    <row r="236">
      <c r="P236" s="153"/>
    </row>
    <row r="237">
      <c r="P237" s="153"/>
    </row>
    <row r="238">
      <c r="P238" s="153"/>
    </row>
    <row r="239">
      <c r="P239" s="153"/>
    </row>
    <row r="240">
      <c r="P240" s="153"/>
    </row>
    <row r="241">
      <c r="P241" s="153"/>
    </row>
    <row r="242">
      <c r="P242" s="153"/>
    </row>
    <row r="243">
      <c r="P243" s="153"/>
    </row>
    <row r="244">
      <c r="P244" s="153"/>
    </row>
    <row r="245">
      <c r="P245" s="153"/>
    </row>
    <row r="246">
      <c r="P246" s="153"/>
    </row>
    <row r="247">
      <c r="P247" s="153"/>
    </row>
    <row r="248">
      <c r="P248" s="153"/>
    </row>
    <row r="249">
      <c r="P249" s="153"/>
    </row>
    <row r="250">
      <c r="P250" s="153"/>
    </row>
    <row r="251">
      <c r="P251" s="153"/>
    </row>
    <row r="252">
      <c r="P252" s="153"/>
    </row>
    <row r="253">
      <c r="P253" s="153"/>
    </row>
    <row r="254">
      <c r="P254" s="153"/>
    </row>
    <row r="255">
      <c r="P255" s="153"/>
    </row>
    <row r="256">
      <c r="P256" s="153"/>
    </row>
    <row r="257">
      <c r="P257" s="153"/>
    </row>
    <row r="258">
      <c r="P258" s="153"/>
    </row>
    <row r="259">
      <c r="P259" s="153"/>
    </row>
    <row r="260">
      <c r="P260" s="153"/>
    </row>
    <row r="261">
      <c r="P261" s="153"/>
    </row>
    <row r="262">
      <c r="P262" s="153"/>
    </row>
    <row r="263">
      <c r="P263" s="153"/>
    </row>
    <row r="264">
      <c r="P264" s="153"/>
    </row>
    <row r="265">
      <c r="P265" s="153"/>
    </row>
    <row r="266">
      <c r="P266" s="153"/>
    </row>
    <row r="267">
      <c r="P267" s="153"/>
    </row>
    <row r="268">
      <c r="P268" s="153"/>
    </row>
    <row r="269">
      <c r="P269" s="153"/>
    </row>
    <row r="270">
      <c r="P270" s="153"/>
    </row>
    <row r="271">
      <c r="P271" s="153"/>
    </row>
    <row r="272">
      <c r="P272" s="153"/>
    </row>
    <row r="273">
      <c r="P273" s="153"/>
    </row>
    <row r="274">
      <c r="P274" s="153"/>
    </row>
    <row r="275">
      <c r="P275" s="153"/>
    </row>
    <row r="276">
      <c r="P276" s="153"/>
    </row>
    <row r="277">
      <c r="P277" s="153"/>
    </row>
    <row r="278">
      <c r="P278" s="153"/>
    </row>
    <row r="279">
      <c r="P279" s="153"/>
    </row>
    <row r="280">
      <c r="P280" s="153"/>
    </row>
    <row r="281">
      <c r="P281" s="153"/>
    </row>
    <row r="282">
      <c r="P282" s="153"/>
    </row>
    <row r="283">
      <c r="P283" s="153"/>
    </row>
    <row r="284">
      <c r="P284" s="153"/>
    </row>
    <row r="285">
      <c r="P285" s="153"/>
    </row>
    <row r="286">
      <c r="P286" s="153"/>
    </row>
    <row r="287">
      <c r="P287" s="153"/>
    </row>
    <row r="288">
      <c r="P288" s="153"/>
    </row>
    <row r="289">
      <c r="P289" s="153"/>
    </row>
    <row r="290">
      <c r="P290" s="153"/>
    </row>
    <row r="291">
      <c r="P291" s="153"/>
    </row>
    <row r="292">
      <c r="P292" s="153"/>
    </row>
    <row r="293">
      <c r="P293" s="153"/>
    </row>
    <row r="294">
      <c r="P294" s="153"/>
    </row>
    <row r="295">
      <c r="P295" s="153"/>
    </row>
    <row r="296">
      <c r="P296" s="153"/>
    </row>
    <row r="297">
      <c r="P297" s="153"/>
    </row>
    <row r="298">
      <c r="P298" s="153"/>
    </row>
    <row r="299">
      <c r="P299" s="153"/>
    </row>
    <row r="300">
      <c r="P300" s="153"/>
    </row>
    <row r="301">
      <c r="P301" s="153"/>
    </row>
    <row r="302">
      <c r="P302" s="153"/>
    </row>
    <row r="303">
      <c r="P303" s="153"/>
    </row>
    <row r="304">
      <c r="P304" s="153"/>
    </row>
    <row r="305">
      <c r="P305" s="153"/>
    </row>
    <row r="306">
      <c r="P306" s="153"/>
    </row>
    <row r="307">
      <c r="P307" s="153"/>
    </row>
    <row r="308">
      <c r="P308" s="153"/>
    </row>
    <row r="309">
      <c r="P309" s="153"/>
    </row>
    <row r="310">
      <c r="P310" s="153"/>
    </row>
    <row r="311">
      <c r="P311" s="153"/>
    </row>
    <row r="312">
      <c r="P312" s="153"/>
    </row>
    <row r="313">
      <c r="P313" s="153"/>
    </row>
    <row r="314">
      <c r="P314" s="153"/>
    </row>
    <row r="315">
      <c r="P315" s="153"/>
    </row>
    <row r="316">
      <c r="P316" s="153"/>
    </row>
    <row r="317">
      <c r="P317" s="153"/>
    </row>
    <row r="318">
      <c r="P318" s="153"/>
    </row>
    <row r="319">
      <c r="P319" s="153"/>
    </row>
    <row r="320">
      <c r="P320" s="153"/>
    </row>
    <row r="321">
      <c r="P321" s="153"/>
    </row>
    <row r="322">
      <c r="P322" s="153"/>
    </row>
    <row r="323">
      <c r="P323" s="153"/>
    </row>
    <row r="324">
      <c r="P324" s="153"/>
    </row>
    <row r="325">
      <c r="P325" s="153"/>
    </row>
    <row r="326">
      <c r="P326" s="153"/>
    </row>
    <row r="327">
      <c r="P327" s="153"/>
    </row>
    <row r="328">
      <c r="P328" s="153"/>
    </row>
    <row r="329">
      <c r="P329" s="153"/>
    </row>
    <row r="330">
      <c r="P330" s="153"/>
    </row>
    <row r="331">
      <c r="P331" s="153"/>
    </row>
    <row r="332">
      <c r="P332" s="153"/>
    </row>
    <row r="333">
      <c r="P333" s="153"/>
    </row>
    <row r="334">
      <c r="P334" s="153"/>
    </row>
    <row r="335">
      <c r="P335" s="153"/>
    </row>
    <row r="336">
      <c r="P336" s="153"/>
    </row>
    <row r="337">
      <c r="P337" s="153"/>
    </row>
    <row r="338">
      <c r="P338" s="153"/>
    </row>
    <row r="339">
      <c r="P339" s="153"/>
    </row>
    <row r="340">
      <c r="P340" s="153"/>
    </row>
    <row r="341">
      <c r="P341" s="153"/>
    </row>
    <row r="342">
      <c r="P342" s="153"/>
    </row>
    <row r="343">
      <c r="P343" s="153"/>
    </row>
    <row r="344">
      <c r="P344" s="153"/>
    </row>
    <row r="345">
      <c r="P345" s="153"/>
    </row>
    <row r="346">
      <c r="P346" s="153"/>
    </row>
    <row r="347">
      <c r="P347" s="153"/>
    </row>
    <row r="348">
      <c r="P348" s="153"/>
    </row>
    <row r="349">
      <c r="P349" s="153"/>
    </row>
    <row r="350">
      <c r="P350" s="153"/>
    </row>
    <row r="351">
      <c r="P351" s="153"/>
    </row>
    <row r="352">
      <c r="P352" s="153"/>
    </row>
    <row r="353">
      <c r="P353" s="153"/>
    </row>
    <row r="354">
      <c r="P354" s="153"/>
    </row>
    <row r="355">
      <c r="P355" s="153"/>
    </row>
    <row r="356">
      <c r="P356" s="153"/>
    </row>
    <row r="357">
      <c r="P357" s="153"/>
    </row>
    <row r="358">
      <c r="P358" s="153"/>
    </row>
    <row r="359">
      <c r="P359" s="153"/>
    </row>
    <row r="360">
      <c r="P360" s="153"/>
    </row>
    <row r="361">
      <c r="P361" s="153"/>
    </row>
    <row r="362">
      <c r="P362" s="153"/>
    </row>
    <row r="363">
      <c r="P363" s="153"/>
    </row>
    <row r="364">
      <c r="P364" s="153"/>
    </row>
    <row r="365">
      <c r="P365" s="153"/>
    </row>
    <row r="366">
      <c r="P366" s="153"/>
    </row>
    <row r="367">
      <c r="P367" s="153"/>
    </row>
    <row r="368">
      <c r="P368" s="153"/>
    </row>
    <row r="369">
      <c r="P369" s="153"/>
    </row>
    <row r="370">
      <c r="P370" s="153"/>
    </row>
    <row r="371">
      <c r="P371" s="153"/>
    </row>
    <row r="372">
      <c r="P372" s="153"/>
    </row>
    <row r="373">
      <c r="P373" s="153"/>
    </row>
    <row r="374">
      <c r="P374" s="153"/>
    </row>
    <row r="375">
      <c r="P375" s="153"/>
    </row>
    <row r="376">
      <c r="P376" s="153"/>
    </row>
    <row r="377">
      <c r="P377" s="153"/>
    </row>
    <row r="378">
      <c r="P378" s="153"/>
    </row>
    <row r="379">
      <c r="P379" s="153"/>
    </row>
    <row r="380">
      <c r="P380" s="153"/>
    </row>
    <row r="381">
      <c r="P381" s="153"/>
    </row>
    <row r="382">
      <c r="P382" s="153"/>
    </row>
    <row r="383">
      <c r="P383" s="153"/>
    </row>
    <row r="384">
      <c r="P384" s="153"/>
    </row>
    <row r="385">
      <c r="P385" s="153"/>
    </row>
    <row r="386">
      <c r="P386" s="153"/>
    </row>
    <row r="387">
      <c r="P387" s="153"/>
    </row>
    <row r="388">
      <c r="P388" s="153"/>
    </row>
    <row r="389">
      <c r="P389" s="153"/>
    </row>
    <row r="390">
      <c r="P390" s="153"/>
    </row>
    <row r="391">
      <c r="P391" s="153"/>
    </row>
    <row r="392">
      <c r="P392" s="153"/>
    </row>
    <row r="393">
      <c r="P393" s="153"/>
    </row>
    <row r="394">
      <c r="P394" s="153"/>
    </row>
    <row r="395">
      <c r="P395" s="153"/>
    </row>
    <row r="396">
      <c r="P396" s="153"/>
    </row>
    <row r="397">
      <c r="P397" s="153"/>
    </row>
    <row r="398">
      <c r="P398" s="153"/>
    </row>
    <row r="399">
      <c r="P399" s="153"/>
    </row>
    <row r="400">
      <c r="P400" s="153"/>
    </row>
    <row r="401">
      <c r="P401" s="153"/>
    </row>
    <row r="402">
      <c r="P402" s="153"/>
    </row>
    <row r="403">
      <c r="P403" s="153"/>
    </row>
    <row r="404">
      <c r="P404" s="153"/>
    </row>
    <row r="405">
      <c r="P405" s="153"/>
    </row>
    <row r="406">
      <c r="P406" s="153"/>
    </row>
    <row r="407">
      <c r="P407" s="153"/>
    </row>
    <row r="408">
      <c r="P408" s="153"/>
    </row>
    <row r="409">
      <c r="P409" s="153"/>
    </row>
    <row r="410">
      <c r="P410" s="153"/>
    </row>
    <row r="411">
      <c r="P411" s="153"/>
    </row>
    <row r="412">
      <c r="P412" s="153"/>
    </row>
    <row r="413">
      <c r="P413" s="153"/>
    </row>
    <row r="414">
      <c r="P414" s="153"/>
    </row>
    <row r="415">
      <c r="P415" s="153"/>
    </row>
    <row r="416">
      <c r="P416" s="153"/>
    </row>
    <row r="417">
      <c r="P417" s="153"/>
    </row>
    <row r="418">
      <c r="P418" s="153"/>
    </row>
    <row r="419">
      <c r="P419" s="153"/>
    </row>
    <row r="420">
      <c r="P420" s="153"/>
    </row>
    <row r="421">
      <c r="P421" s="153"/>
    </row>
    <row r="422">
      <c r="P422" s="153"/>
    </row>
    <row r="423">
      <c r="P423" s="153"/>
    </row>
    <row r="424">
      <c r="P424" s="153"/>
    </row>
    <row r="425">
      <c r="P425" s="153"/>
    </row>
    <row r="426">
      <c r="P426" s="153"/>
    </row>
    <row r="427">
      <c r="P427" s="153"/>
    </row>
    <row r="428">
      <c r="P428" s="153"/>
    </row>
    <row r="429">
      <c r="P429" s="153"/>
    </row>
    <row r="430">
      <c r="P430" s="153"/>
    </row>
    <row r="431">
      <c r="P431" s="153"/>
    </row>
    <row r="432">
      <c r="P432" s="153"/>
    </row>
    <row r="433">
      <c r="P433" s="153"/>
    </row>
    <row r="434">
      <c r="P434" s="153"/>
    </row>
    <row r="435">
      <c r="P435" s="153"/>
    </row>
    <row r="436">
      <c r="P436" s="153"/>
    </row>
    <row r="437">
      <c r="P437" s="153"/>
    </row>
    <row r="438">
      <c r="P438" s="153"/>
    </row>
    <row r="439">
      <c r="P439" s="153"/>
    </row>
    <row r="440">
      <c r="P440" s="153"/>
    </row>
    <row r="441">
      <c r="P441" s="153"/>
    </row>
    <row r="442">
      <c r="P442" s="153"/>
    </row>
    <row r="443">
      <c r="P443" s="153"/>
    </row>
    <row r="444">
      <c r="P444" s="153"/>
    </row>
    <row r="445">
      <c r="P445" s="153"/>
    </row>
    <row r="446">
      <c r="P446" s="153"/>
    </row>
    <row r="447">
      <c r="P447" s="153"/>
    </row>
    <row r="448">
      <c r="P448" s="153"/>
    </row>
    <row r="449">
      <c r="P449" s="153"/>
    </row>
    <row r="450">
      <c r="P450" s="153"/>
    </row>
    <row r="451">
      <c r="P451" s="153"/>
    </row>
    <row r="452">
      <c r="P452" s="153"/>
    </row>
    <row r="453">
      <c r="P453" s="153"/>
    </row>
    <row r="454">
      <c r="P454" s="153"/>
    </row>
    <row r="455">
      <c r="P455" s="153"/>
    </row>
    <row r="456">
      <c r="P456" s="153"/>
    </row>
    <row r="457">
      <c r="P457" s="153"/>
    </row>
    <row r="458">
      <c r="P458" s="153"/>
    </row>
    <row r="459">
      <c r="P459" s="153"/>
    </row>
    <row r="460">
      <c r="P460" s="153"/>
    </row>
    <row r="461">
      <c r="P461" s="153"/>
    </row>
    <row r="462">
      <c r="P462" s="153"/>
    </row>
    <row r="463">
      <c r="P463" s="153"/>
    </row>
    <row r="464">
      <c r="P464" s="153"/>
    </row>
    <row r="465">
      <c r="P465" s="153"/>
    </row>
    <row r="466">
      <c r="P466" s="153"/>
    </row>
    <row r="467">
      <c r="P467" s="153"/>
    </row>
    <row r="468">
      <c r="P468" s="153"/>
    </row>
    <row r="469">
      <c r="P469" s="153"/>
    </row>
    <row r="470">
      <c r="P470" s="153"/>
    </row>
    <row r="471">
      <c r="P471" s="153"/>
    </row>
    <row r="472">
      <c r="P472" s="153"/>
    </row>
    <row r="473">
      <c r="P473" s="153"/>
    </row>
    <row r="474">
      <c r="P474" s="153"/>
    </row>
    <row r="475">
      <c r="P475" s="153"/>
    </row>
    <row r="476">
      <c r="P476" s="153"/>
    </row>
    <row r="477">
      <c r="P477" s="153"/>
    </row>
    <row r="478">
      <c r="P478" s="153"/>
    </row>
    <row r="479">
      <c r="P479" s="153"/>
    </row>
    <row r="480">
      <c r="P480" s="153"/>
    </row>
    <row r="481">
      <c r="P481" s="153"/>
    </row>
    <row r="482">
      <c r="P482" s="153"/>
    </row>
    <row r="483">
      <c r="P483" s="153"/>
    </row>
    <row r="484">
      <c r="P484" s="153"/>
    </row>
    <row r="485">
      <c r="P485" s="153"/>
    </row>
    <row r="486">
      <c r="P486" s="153"/>
    </row>
    <row r="487">
      <c r="P487" s="153"/>
    </row>
    <row r="488">
      <c r="P488" s="153"/>
    </row>
    <row r="489">
      <c r="P489" s="153"/>
    </row>
    <row r="490">
      <c r="P490" s="153"/>
    </row>
    <row r="491">
      <c r="P491" s="153"/>
    </row>
    <row r="492">
      <c r="P492" s="153"/>
    </row>
    <row r="493">
      <c r="P493" s="153"/>
    </row>
    <row r="494">
      <c r="P494" s="153"/>
    </row>
    <row r="495">
      <c r="P495" s="153"/>
    </row>
    <row r="496">
      <c r="P496" s="153"/>
    </row>
    <row r="497">
      <c r="P497" s="153"/>
    </row>
    <row r="498">
      <c r="P498" s="153"/>
    </row>
    <row r="499">
      <c r="P499" s="153"/>
    </row>
    <row r="500">
      <c r="P500" s="153"/>
    </row>
    <row r="501">
      <c r="P501" s="153"/>
    </row>
    <row r="502">
      <c r="P502" s="153"/>
    </row>
    <row r="503">
      <c r="P503" s="153"/>
    </row>
    <row r="504">
      <c r="P504" s="153"/>
    </row>
    <row r="505">
      <c r="P505" s="153"/>
    </row>
    <row r="506">
      <c r="P506" s="153"/>
    </row>
    <row r="507">
      <c r="P507" s="153"/>
    </row>
    <row r="508">
      <c r="P508" s="153"/>
    </row>
    <row r="509">
      <c r="P509" s="153"/>
    </row>
    <row r="510">
      <c r="P510" s="153"/>
    </row>
    <row r="511">
      <c r="P511" s="153"/>
    </row>
    <row r="512">
      <c r="P512" s="153"/>
    </row>
    <row r="513">
      <c r="P513" s="153"/>
    </row>
    <row r="514">
      <c r="P514" s="153"/>
    </row>
    <row r="515">
      <c r="P515" s="153"/>
    </row>
    <row r="516">
      <c r="P516" s="153"/>
    </row>
    <row r="517">
      <c r="P517" s="153"/>
    </row>
    <row r="518">
      <c r="P518" s="153"/>
    </row>
    <row r="519">
      <c r="P519" s="153"/>
    </row>
    <row r="520">
      <c r="P520" s="153"/>
    </row>
    <row r="521">
      <c r="P521" s="153"/>
    </row>
    <row r="522">
      <c r="P522" s="153"/>
    </row>
    <row r="523">
      <c r="P523" s="153"/>
    </row>
    <row r="524">
      <c r="P524" s="153"/>
    </row>
    <row r="525">
      <c r="P525" s="153"/>
    </row>
    <row r="526">
      <c r="P526" s="153"/>
    </row>
    <row r="527">
      <c r="P527" s="153"/>
    </row>
    <row r="528">
      <c r="P528" s="153"/>
    </row>
    <row r="529">
      <c r="P529" s="153"/>
    </row>
    <row r="530">
      <c r="P530" s="153"/>
    </row>
    <row r="531">
      <c r="P531" s="153"/>
    </row>
    <row r="532">
      <c r="P532" s="153"/>
    </row>
    <row r="533">
      <c r="P533" s="153"/>
    </row>
    <row r="534">
      <c r="P534" s="153"/>
    </row>
    <row r="535">
      <c r="P535" s="153"/>
    </row>
    <row r="536">
      <c r="P536" s="153"/>
    </row>
    <row r="537">
      <c r="P537" s="153"/>
    </row>
    <row r="538">
      <c r="P538" s="153"/>
    </row>
    <row r="539">
      <c r="P539" s="153"/>
    </row>
    <row r="540">
      <c r="P540" s="153"/>
    </row>
    <row r="541">
      <c r="P541" s="153"/>
    </row>
    <row r="542">
      <c r="P542" s="153"/>
    </row>
    <row r="543">
      <c r="P543" s="153"/>
    </row>
    <row r="544">
      <c r="P544" s="153"/>
    </row>
    <row r="545">
      <c r="P545" s="153"/>
    </row>
    <row r="546">
      <c r="P546" s="153"/>
    </row>
    <row r="547">
      <c r="P547" s="153"/>
    </row>
    <row r="548">
      <c r="P548" s="153"/>
    </row>
    <row r="549">
      <c r="P549" s="153"/>
    </row>
    <row r="550">
      <c r="P550" s="153"/>
    </row>
    <row r="551">
      <c r="P551" s="153"/>
    </row>
    <row r="552">
      <c r="P552" s="153"/>
    </row>
    <row r="553">
      <c r="P553" s="153"/>
    </row>
    <row r="554">
      <c r="P554" s="153"/>
    </row>
    <row r="555">
      <c r="P555" s="153"/>
    </row>
    <row r="556">
      <c r="P556" s="153"/>
    </row>
    <row r="557">
      <c r="P557" s="153"/>
    </row>
    <row r="558">
      <c r="P558" s="153"/>
    </row>
    <row r="559">
      <c r="P559" s="153"/>
    </row>
    <row r="560">
      <c r="P560" s="153"/>
    </row>
    <row r="561">
      <c r="P561" s="153"/>
    </row>
    <row r="562">
      <c r="P562" s="153"/>
    </row>
    <row r="563">
      <c r="P563" s="153"/>
    </row>
    <row r="564">
      <c r="P564" s="153"/>
    </row>
    <row r="565">
      <c r="P565" s="153"/>
    </row>
    <row r="566">
      <c r="P566" s="153"/>
    </row>
    <row r="567">
      <c r="P567" s="153"/>
    </row>
    <row r="568">
      <c r="P568" s="153"/>
    </row>
    <row r="569">
      <c r="P569" s="153"/>
    </row>
    <row r="570">
      <c r="P570" s="153"/>
    </row>
    <row r="571">
      <c r="P571" s="153"/>
    </row>
    <row r="572">
      <c r="P572" s="153"/>
    </row>
    <row r="573">
      <c r="P573" s="153"/>
    </row>
    <row r="574">
      <c r="P574" s="153"/>
    </row>
    <row r="575">
      <c r="P575" s="153"/>
    </row>
    <row r="576">
      <c r="P576" s="153"/>
    </row>
    <row r="577">
      <c r="P577" s="153"/>
    </row>
    <row r="578">
      <c r="P578" s="153"/>
    </row>
    <row r="579">
      <c r="P579" s="153"/>
    </row>
    <row r="580">
      <c r="P580" s="153"/>
    </row>
    <row r="581">
      <c r="P581" s="153"/>
    </row>
    <row r="582">
      <c r="P582" s="153"/>
    </row>
    <row r="583">
      <c r="P583" s="153"/>
    </row>
    <row r="584">
      <c r="P584" s="153"/>
    </row>
    <row r="585">
      <c r="P585" s="153"/>
    </row>
    <row r="586">
      <c r="P586" s="153"/>
    </row>
    <row r="587">
      <c r="P587" s="153"/>
    </row>
    <row r="588">
      <c r="P588" s="153"/>
    </row>
    <row r="589">
      <c r="P589" s="153"/>
    </row>
    <row r="590">
      <c r="P590" s="153"/>
    </row>
    <row r="591">
      <c r="P591" s="153"/>
    </row>
    <row r="592">
      <c r="P592" s="153"/>
    </row>
    <row r="593">
      <c r="P593" s="153"/>
    </row>
    <row r="594">
      <c r="P594" s="153"/>
    </row>
    <row r="595">
      <c r="P595" s="153"/>
    </row>
    <row r="596">
      <c r="P596" s="153"/>
    </row>
    <row r="597">
      <c r="P597" s="153"/>
    </row>
    <row r="598">
      <c r="P598" s="153"/>
    </row>
    <row r="599">
      <c r="P599" s="153"/>
    </row>
    <row r="600">
      <c r="P600" s="153"/>
    </row>
    <row r="601">
      <c r="P601" s="153"/>
    </row>
    <row r="602">
      <c r="P602" s="153"/>
    </row>
    <row r="603">
      <c r="P603" s="153"/>
    </row>
    <row r="604">
      <c r="P604" s="153"/>
    </row>
    <row r="605">
      <c r="P605" s="153"/>
    </row>
    <row r="606">
      <c r="P606" s="153"/>
    </row>
    <row r="607">
      <c r="P607" s="153"/>
    </row>
    <row r="608">
      <c r="P608" s="153"/>
    </row>
    <row r="609">
      <c r="P609" s="153"/>
    </row>
    <row r="610">
      <c r="P610" s="153"/>
    </row>
    <row r="611">
      <c r="P611" s="153"/>
    </row>
    <row r="612">
      <c r="P612" s="153"/>
    </row>
    <row r="613">
      <c r="P613" s="153"/>
    </row>
    <row r="614">
      <c r="P614" s="153"/>
    </row>
    <row r="615">
      <c r="P615" s="153"/>
    </row>
    <row r="616">
      <c r="P616" s="153"/>
    </row>
    <row r="617">
      <c r="P617" s="153"/>
    </row>
    <row r="618">
      <c r="P618" s="153"/>
    </row>
    <row r="619">
      <c r="P619" s="153"/>
    </row>
    <row r="620">
      <c r="P620" s="153"/>
    </row>
    <row r="621">
      <c r="P621" s="153"/>
    </row>
    <row r="622">
      <c r="P622" s="153"/>
    </row>
    <row r="623">
      <c r="P623" s="153"/>
    </row>
    <row r="624">
      <c r="P624" s="153"/>
    </row>
    <row r="625">
      <c r="P625" s="153"/>
    </row>
    <row r="626">
      <c r="P626" s="153"/>
    </row>
    <row r="627">
      <c r="P627" s="153"/>
    </row>
    <row r="628">
      <c r="P628" s="153"/>
    </row>
    <row r="629">
      <c r="P629" s="153"/>
    </row>
    <row r="630">
      <c r="P630" s="153"/>
    </row>
    <row r="631">
      <c r="P631" s="153"/>
    </row>
    <row r="632">
      <c r="P632" s="153"/>
    </row>
    <row r="633">
      <c r="P633" s="153"/>
    </row>
    <row r="634">
      <c r="P634" s="153"/>
    </row>
    <row r="635">
      <c r="P635" s="153"/>
    </row>
    <row r="636">
      <c r="P636" s="153"/>
    </row>
    <row r="637">
      <c r="P637" s="153"/>
    </row>
    <row r="638">
      <c r="P638" s="153"/>
    </row>
    <row r="639">
      <c r="P639" s="153"/>
    </row>
    <row r="640">
      <c r="P640" s="153"/>
    </row>
    <row r="641">
      <c r="P641" s="153"/>
    </row>
    <row r="642">
      <c r="P642" s="153"/>
    </row>
    <row r="643">
      <c r="P643" s="153"/>
    </row>
    <row r="644">
      <c r="P644" s="153"/>
    </row>
    <row r="645">
      <c r="P645" s="153"/>
    </row>
    <row r="646">
      <c r="P646" s="153"/>
    </row>
    <row r="647">
      <c r="P647" s="153"/>
    </row>
    <row r="648">
      <c r="P648" s="153"/>
    </row>
    <row r="649">
      <c r="P649" s="153"/>
    </row>
    <row r="650">
      <c r="P650" s="153"/>
    </row>
    <row r="651">
      <c r="P651" s="153"/>
    </row>
    <row r="652">
      <c r="P652" s="153"/>
    </row>
    <row r="653">
      <c r="P653" s="153"/>
    </row>
    <row r="654">
      <c r="P654" s="153"/>
    </row>
    <row r="655">
      <c r="P655" s="153"/>
    </row>
    <row r="656">
      <c r="P656" s="153"/>
    </row>
    <row r="657">
      <c r="P657" s="153"/>
    </row>
    <row r="658">
      <c r="P658" s="153"/>
    </row>
    <row r="659">
      <c r="P659" s="153"/>
    </row>
    <row r="660">
      <c r="P660" s="153"/>
    </row>
    <row r="661">
      <c r="P661" s="153"/>
    </row>
    <row r="662">
      <c r="P662" s="153"/>
    </row>
    <row r="663">
      <c r="P663" s="153"/>
    </row>
    <row r="664">
      <c r="P664" s="153"/>
    </row>
    <row r="665">
      <c r="P665" s="153"/>
    </row>
    <row r="666">
      <c r="P666" s="153"/>
    </row>
    <row r="667">
      <c r="P667" s="153"/>
    </row>
    <row r="668">
      <c r="P668" s="153"/>
    </row>
    <row r="669">
      <c r="P669" s="153"/>
    </row>
    <row r="670">
      <c r="P670" s="153"/>
    </row>
    <row r="671">
      <c r="P671" s="153"/>
    </row>
    <row r="672">
      <c r="P672" s="153"/>
    </row>
    <row r="673">
      <c r="P673" s="153"/>
    </row>
    <row r="674">
      <c r="P674" s="153"/>
    </row>
    <row r="675">
      <c r="P675" s="153"/>
    </row>
    <row r="676">
      <c r="P676" s="153"/>
    </row>
    <row r="677">
      <c r="P677" s="153"/>
    </row>
    <row r="678">
      <c r="P678" s="153"/>
    </row>
    <row r="679">
      <c r="P679" s="153"/>
    </row>
    <row r="680">
      <c r="P680" s="153"/>
    </row>
    <row r="681">
      <c r="P681" s="153"/>
    </row>
    <row r="682">
      <c r="P682" s="153"/>
    </row>
    <row r="683">
      <c r="P683" s="153"/>
    </row>
    <row r="684">
      <c r="P684" s="153"/>
    </row>
    <row r="685">
      <c r="P685" s="153"/>
    </row>
    <row r="686">
      <c r="P686" s="153"/>
    </row>
    <row r="687">
      <c r="P687" s="153"/>
    </row>
    <row r="688">
      <c r="P688" s="153"/>
    </row>
    <row r="689">
      <c r="P689" s="153"/>
    </row>
    <row r="690">
      <c r="P690" s="153"/>
    </row>
    <row r="691">
      <c r="P691" s="153"/>
    </row>
    <row r="692">
      <c r="P692" s="153"/>
    </row>
    <row r="693">
      <c r="P693" s="153"/>
    </row>
    <row r="694">
      <c r="P694" s="153"/>
    </row>
    <row r="695">
      <c r="P695" s="153"/>
    </row>
    <row r="696">
      <c r="P696" s="153"/>
    </row>
    <row r="697">
      <c r="P697" s="153"/>
    </row>
    <row r="698">
      <c r="P698" s="153"/>
    </row>
    <row r="699">
      <c r="P699" s="153"/>
    </row>
    <row r="700">
      <c r="P700" s="153"/>
    </row>
    <row r="701">
      <c r="P701" s="153"/>
    </row>
    <row r="702">
      <c r="P702" s="153"/>
    </row>
    <row r="703">
      <c r="P703" s="153"/>
    </row>
    <row r="704">
      <c r="P704" s="153"/>
    </row>
    <row r="705">
      <c r="P705" s="153"/>
    </row>
    <row r="706">
      <c r="P706" s="153"/>
    </row>
    <row r="707">
      <c r="P707" s="153"/>
    </row>
    <row r="708">
      <c r="P708" s="153"/>
    </row>
    <row r="709">
      <c r="P709" s="153"/>
    </row>
    <row r="710">
      <c r="P710" s="153"/>
    </row>
    <row r="711">
      <c r="P711" s="153"/>
    </row>
    <row r="712">
      <c r="P712" s="153"/>
    </row>
    <row r="713">
      <c r="P713" s="153"/>
    </row>
    <row r="714">
      <c r="P714" s="153"/>
    </row>
    <row r="715">
      <c r="P715" s="153"/>
    </row>
    <row r="716">
      <c r="P716" s="153"/>
    </row>
    <row r="717">
      <c r="P717" s="153"/>
    </row>
    <row r="718">
      <c r="P718" s="153"/>
    </row>
    <row r="719">
      <c r="P719" s="153"/>
    </row>
    <row r="720">
      <c r="P720" s="153"/>
    </row>
    <row r="721">
      <c r="P721" s="153"/>
    </row>
    <row r="722">
      <c r="P722" s="153"/>
    </row>
    <row r="723">
      <c r="P723" s="153"/>
    </row>
    <row r="724">
      <c r="P724" s="153"/>
    </row>
    <row r="725">
      <c r="P725" s="153"/>
    </row>
    <row r="726">
      <c r="P726" s="153"/>
    </row>
    <row r="727">
      <c r="P727" s="153"/>
    </row>
    <row r="728">
      <c r="P728" s="153"/>
    </row>
    <row r="729">
      <c r="P729" s="153"/>
    </row>
    <row r="730">
      <c r="P730" s="153"/>
    </row>
    <row r="731">
      <c r="P731" s="153"/>
    </row>
    <row r="732">
      <c r="P732" s="153"/>
    </row>
    <row r="733">
      <c r="P733" s="153"/>
    </row>
    <row r="734">
      <c r="P734" s="153"/>
    </row>
    <row r="735">
      <c r="P735" s="153"/>
    </row>
    <row r="736">
      <c r="P736" s="153"/>
    </row>
    <row r="737">
      <c r="P737" s="153"/>
    </row>
    <row r="738">
      <c r="P738" s="153"/>
    </row>
    <row r="739">
      <c r="P739" s="153"/>
    </row>
    <row r="740">
      <c r="P740" s="153"/>
    </row>
    <row r="741">
      <c r="P741" s="153"/>
    </row>
    <row r="742">
      <c r="P742" s="153"/>
    </row>
    <row r="743">
      <c r="P743" s="153"/>
    </row>
    <row r="744">
      <c r="P744" s="153"/>
    </row>
    <row r="745">
      <c r="P745" s="153"/>
    </row>
    <row r="746">
      <c r="P746" s="153"/>
    </row>
    <row r="747">
      <c r="P747" s="153"/>
    </row>
    <row r="748">
      <c r="P748" s="153"/>
    </row>
    <row r="749">
      <c r="P749" s="153"/>
    </row>
    <row r="750">
      <c r="P750" s="153"/>
    </row>
    <row r="751">
      <c r="P751" s="153"/>
    </row>
    <row r="752">
      <c r="P752" s="153"/>
    </row>
    <row r="753">
      <c r="P753" s="153"/>
    </row>
    <row r="754">
      <c r="P754" s="153"/>
    </row>
    <row r="755">
      <c r="P755" s="153"/>
    </row>
    <row r="756">
      <c r="P756" s="153"/>
    </row>
    <row r="757">
      <c r="P757" s="153"/>
    </row>
    <row r="758">
      <c r="P758" s="153"/>
    </row>
    <row r="759">
      <c r="P759" s="153"/>
    </row>
    <row r="760">
      <c r="P760" s="153"/>
    </row>
    <row r="761">
      <c r="P761" s="153"/>
    </row>
    <row r="762">
      <c r="P762" s="153"/>
    </row>
    <row r="763">
      <c r="P763" s="153"/>
    </row>
    <row r="764">
      <c r="P764" s="153"/>
    </row>
    <row r="765">
      <c r="P765" s="153"/>
    </row>
    <row r="766">
      <c r="P766" s="153"/>
    </row>
    <row r="767">
      <c r="P767" s="153"/>
    </row>
    <row r="768">
      <c r="P768" s="153"/>
    </row>
    <row r="769">
      <c r="P769" s="153"/>
    </row>
    <row r="770">
      <c r="P770" s="153"/>
    </row>
    <row r="771">
      <c r="P771" s="153"/>
    </row>
    <row r="772">
      <c r="P772" s="153"/>
    </row>
    <row r="773">
      <c r="P773" s="153"/>
    </row>
    <row r="774">
      <c r="P774" s="153"/>
    </row>
    <row r="775">
      <c r="P775" s="153"/>
    </row>
    <row r="776">
      <c r="P776" s="153"/>
    </row>
    <row r="777">
      <c r="P777" s="153"/>
    </row>
    <row r="778">
      <c r="P778" s="153"/>
    </row>
    <row r="779">
      <c r="P779" s="153"/>
    </row>
    <row r="780">
      <c r="P780" s="153"/>
    </row>
    <row r="781">
      <c r="P781" s="153"/>
    </row>
    <row r="782">
      <c r="P782" s="153"/>
    </row>
    <row r="783">
      <c r="P783" s="153"/>
    </row>
    <row r="784">
      <c r="P784" s="153"/>
    </row>
    <row r="785">
      <c r="P785" s="153"/>
    </row>
    <row r="786">
      <c r="P786" s="153"/>
    </row>
    <row r="787">
      <c r="P787" s="153"/>
    </row>
    <row r="788">
      <c r="P788" s="153"/>
    </row>
    <row r="789">
      <c r="P789" s="153"/>
    </row>
    <row r="790">
      <c r="P790" s="153"/>
    </row>
    <row r="791">
      <c r="P791" s="153"/>
    </row>
    <row r="792">
      <c r="P792" s="153"/>
    </row>
    <row r="793">
      <c r="P793" s="153"/>
    </row>
    <row r="794">
      <c r="P794" s="153"/>
    </row>
    <row r="795">
      <c r="P795" s="153"/>
    </row>
    <row r="796">
      <c r="P796" s="153"/>
    </row>
    <row r="797">
      <c r="P797" s="153"/>
    </row>
    <row r="798">
      <c r="P798" s="153"/>
    </row>
    <row r="799">
      <c r="P799" s="153"/>
    </row>
    <row r="800">
      <c r="P800" s="153"/>
    </row>
    <row r="801">
      <c r="P801" s="153"/>
    </row>
    <row r="802">
      <c r="P802" s="153"/>
    </row>
    <row r="803">
      <c r="P803" s="153"/>
    </row>
    <row r="804">
      <c r="P804" s="153"/>
    </row>
    <row r="805">
      <c r="P805" s="153"/>
    </row>
    <row r="806">
      <c r="P806" s="153"/>
    </row>
    <row r="807">
      <c r="P807" s="153"/>
    </row>
    <row r="808">
      <c r="P808" s="153"/>
    </row>
    <row r="809">
      <c r="P809" s="153"/>
    </row>
    <row r="810">
      <c r="P810" s="153"/>
    </row>
    <row r="811">
      <c r="P811" s="153"/>
    </row>
    <row r="812">
      <c r="P812" s="153"/>
    </row>
    <row r="813">
      <c r="P813" s="153"/>
    </row>
    <row r="814">
      <c r="P814" s="153"/>
    </row>
    <row r="815">
      <c r="P815" s="153"/>
    </row>
    <row r="816">
      <c r="P816" s="153"/>
    </row>
    <row r="817">
      <c r="P817" s="153"/>
    </row>
    <row r="818">
      <c r="P818" s="153"/>
    </row>
    <row r="819">
      <c r="P819" s="153"/>
    </row>
    <row r="820">
      <c r="P820" s="153"/>
    </row>
    <row r="821">
      <c r="P821" s="153"/>
    </row>
    <row r="822">
      <c r="P822" s="153"/>
    </row>
    <row r="823">
      <c r="P823" s="153"/>
    </row>
    <row r="824">
      <c r="P824" s="153"/>
    </row>
    <row r="825">
      <c r="P825" s="153"/>
    </row>
    <row r="826">
      <c r="P826" s="153"/>
    </row>
    <row r="827">
      <c r="P827" s="153"/>
    </row>
    <row r="828">
      <c r="P828" s="153"/>
    </row>
    <row r="829">
      <c r="P829" s="153"/>
    </row>
    <row r="830">
      <c r="P830" s="153"/>
    </row>
    <row r="831">
      <c r="P831" s="153"/>
    </row>
    <row r="832">
      <c r="P832" s="153"/>
    </row>
    <row r="833">
      <c r="P833" s="153"/>
    </row>
    <row r="834">
      <c r="P834" s="153"/>
    </row>
    <row r="835">
      <c r="P835" s="153"/>
    </row>
    <row r="836">
      <c r="P836" s="153"/>
    </row>
    <row r="837">
      <c r="P837" s="153"/>
    </row>
    <row r="838">
      <c r="P838" s="153"/>
    </row>
    <row r="839">
      <c r="P839" s="153"/>
    </row>
    <row r="840">
      <c r="P840" s="153"/>
    </row>
    <row r="841">
      <c r="P841" s="153"/>
    </row>
    <row r="842">
      <c r="P842" s="153"/>
    </row>
    <row r="843">
      <c r="P843" s="153"/>
    </row>
    <row r="844">
      <c r="P844" s="153"/>
    </row>
    <row r="845">
      <c r="P845" s="153"/>
    </row>
    <row r="846">
      <c r="P846" s="153"/>
    </row>
    <row r="847">
      <c r="P847" s="153"/>
    </row>
    <row r="848">
      <c r="P848" s="153"/>
    </row>
    <row r="849">
      <c r="P849" s="153"/>
    </row>
    <row r="850">
      <c r="P850" s="153"/>
    </row>
    <row r="851">
      <c r="P851" s="153"/>
    </row>
    <row r="852">
      <c r="P852" s="153"/>
    </row>
    <row r="853">
      <c r="P853" s="153"/>
    </row>
    <row r="854">
      <c r="P854" s="153"/>
    </row>
    <row r="855">
      <c r="P855" s="153"/>
    </row>
    <row r="856">
      <c r="P856" s="153"/>
    </row>
    <row r="857">
      <c r="P857" s="153"/>
    </row>
    <row r="858">
      <c r="P858" s="153"/>
    </row>
    <row r="859">
      <c r="P859" s="153"/>
    </row>
    <row r="860">
      <c r="P860" s="153"/>
    </row>
    <row r="861">
      <c r="P861" s="153"/>
    </row>
    <row r="862">
      <c r="P862" s="153"/>
    </row>
    <row r="863">
      <c r="P863" s="153"/>
    </row>
    <row r="864">
      <c r="P864" s="153"/>
    </row>
    <row r="865">
      <c r="P865" s="153"/>
    </row>
    <row r="866">
      <c r="P866" s="153"/>
    </row>
    <row r="867">
      <c r="P867" s="153"/>
    </row>
    <row r="868">
      <c r="P868" s="153"/>
    </row>
    <row r="869">
      <c r="P869" s="153"/>
    </row>
    <row r="870">
      <c r="P870" s="153"/>
    </row>
    <row r="871">
      <c r="P871" s="153"/>
    </row>
    <row r="872">
      <c r="P872" s="153"/>
    </row>
    <row r="873">
      <c r="P873" s="153"/>
    </row>
    <row r="874">
      <c r="P874" s="153"/>
    </row>
    <row r="875">
      <c r="P875" s="153"/>
    </row>
    <row r="876">
      <c r="P876" s="153"/>
    </row>
    <row r="877">
      <c r="P877" s="153"/>
    </row>
    <row r="878">
      <c r="P878" s="153"/>
    </row>
    <row r="879">
      <c r="P879" s="153"/>
    </row>
    <row r="880">
      <c r="P880" s="153"/>
    </row>
    <row r="881">
      <c r="P881" s="153"/>
    </row>
    <row r="882">
      <c r="P882" s="153"/>
    </row>
    <row r="883">
      <c r="P883" s="153"/>
    </row>
    <row r="884">
      <c r="P884" s="153"/>
    </row>
    <row r="885">
      <c r="P885" s="153"/>
    </row>
    <row r="886">
      <c r="P886" s="153"/>
    </row>
    <row r="887">
      <c r="P887" s="153"/>
    </row>
    <row r="888">
      <c r="P888" s="153"/>
    </row>
    <row r="889">
      <c r="P889" s="153"/>
    </row>
    <row r="890">
      <c r="P890" s="153"/>
    </row>
    <row r="891">
      <c r="P891" s="153"/>
    </row>
    <row r="892">
      <c r="P892" s="153"/>
    </row>
    <row r="893">
      <c r="P893" s="153"/>
    </row>
    <row r="894">
      <c r="P894" s="153"/>
    </row>
    <row r="895">
      <c r="P895" s="153"/>
    </row>
    <row r="896">
      <c r="P896" s="153"/>
    </row>
    <row r="897">
      <c r="P897" s="153"/>
    </row>
    <row r="898">
      <c r="P898" s="153"/>
    </row>
    <row r="899">
      <c r="P899" s="153"/>
    </row>
    <row r="900">
      <c r="P900" s="153"/>
    </row>
    <row r="901">
      <c r="P901" s="153"/>
    </row>
    <row r="902">
      <c r="P902" s="153"/>
    </row>
    <row r="903">
      <c r="P903" s="153"/>
    </row>
    <row r="904">
      <c r="P904" s="153"/>
    </row>
    <row r="905">
      <c r="P905" s="153"/>
    </row>
    <row r="906">
      <c r="P906" s="153"/>
    </row>
    <row r="907">
      <c r="P907" s="153"/>
    </row>
    <row r="908">
      <c r="P908" s="153"/>
    </row>
    <row r="909">
      <c r="P909" s="153"/>
    </row>
    <row r="910">
      <c r="P910" s="153"/>
    </row>
    <row r="911">
      <c r="P911" s="153"/>
    </row>
    <row r="912">
      <c r="P912" s="153"/>
    </row>
    <row r="913">
      <c r="P913" s="153"/>
    </row>
    <row r="914">
      <c r="P914" s="153"/>
    </row>
    <row r="915">
      <c r="P915" s="153"/>
    </row>
    <row r="916">
      <c r="P916" s="153"/>
    </row>
    <row r="917">
      <c r="P917" s="153"/>
    </row>
    <row r="918">
      <c r="P918" s="153"/>
    </row>
    <row r="919">
      <c r="P919" s="153"/>
    </row>
    <row r="920">
      <c r="P920" s="153"/>
    </row>
    <row r="921">
      <c r="P921" s="153"/>
    </row>
    <row r="922">
      <c r="P922" s="153"/>
    </row>
    <row r="923">
      <c r="P923" s="153"/>
    </row>
    <row r="924">
      <c r="P924" s="153"/>
    </row>
    <row r="925">
      <c r="P925" s="153"/>
    </row>
    <row r="926">
      <c r="P926" s="153"/>
    </row>
    <row r="927">
      <c r="P927" s="153"/>
    </row>
    <row r="928">
      <c r="P928" s="153"/>
    </row>
    <row r="929">
      <c r="P929" s="153"/>
    </row>
    <row r="930">
      <c r="P930" s="153"/>
    </row>
    <row r="931">
      <c r="P931" s="153"/>
    </row>
    <row r="932">
      <c r="P932" s="153"/>
    </row>
    <row r="933">
      <c r="P933" s="153"/>
    </row>
    <row r="934">
      <c r="P934" s="153"/>
    </row>
    <row r="935">
      <c r="P935" s="153"/>
    </row>
    <row r="936">
      <c r="P936" s="153"/>
    </row>
    <row r="937">
      <c r="P937" s="153"/>
    </row>
    <row r="938">
      <c r="P938" s="153"/>
    </row>
    <row r="939">
      <c r="P939" s="153"/>
    </row>
    <row r="940">
      <c r="P940" s="153"/>
    </row>
    <row r="941">
      <c r="P941" s="153"/>
    </row>
    <row r="942">
      <c r="P942" s="153"/>
    </row>
    <row r="943">
      <c r="P943" s="153"/>
    </row>
    <row r="944">
      <c r="P944" s="153"/>
    </row>
    <row r="945">
      <c r="P945" s="153"/>
    </row>
    <row r="946">
      <c r="P946" s="153"/>
    </row>
    <row r="947">
      <c r="P947" s="153"/>
    </row>
    <row r="948">
      <c r="P948" s="153"/>
    </row>
    <row r="949">
      <c r="P949" s="153"/>
    </row>
    <row r="950">
      <c r="P950" s="153"/>
    </row>
    <row r="951">
      <c r="P951" s="153"/>
    </row>
    <row r="952">
      <c r="P952" s="153"/>
    </row>
    <row r="953">
      <c r="P953" s="153"/>
    </row>
    <row r="954">
      <c r="P954" s="153"/>
    </row>
    <row r="955">
      <c r="P955" s="153"/>
    </row>
    <row r="956">
      <c r="P956" s="153"/>
    </row>
    <row r="957">
      <c r="P957" s="153"/>
    </row>
    <row r="958">
      <c r="P958" s="153"/>
    </row>
    <row r="959">
      <c r="P959" s="153"/>
    </row>
    <row r="960">
      <c r="P960" s="153"/>
    </row>
    <row r="961">
      <c r="P961" s="153"/>
    </row>
    <row r="962">
      <c r="P962" s="153"/>
    </row>
    <row r="963">
      <c r="P963" s="153"/>
    </row>
    <row r="964">
      <c r="P964" s="153"/>
    </row>
    <row r="965">
      <c r="P965" s="153"/>
    </row>
    <row r="966">
      <c r="P966" s="153"/>
    </row>
    <row r="967">
      <c r="P967" s="153"/>
    </row>
    <row r="968">
      <c r="P968" s="153"/>
    </row>
    <row r="969">
      <c r="P969" s="153"/>
    </row>
    <row r="970">
      <c r="P970" s="153"/>
    </row>
    <row r="971">
      <c r="P971" s="153"/>
    </row>
    <row r="972">
      <c r="P972" s="153"/>
    </row>
    <row r="973">
      <c r="P973" s="153"/>
    </row>
    <row r="974">
      <c r="P974" s="153"/>
    </row>
    <row r="975">
      <c r="P975" s="153"/>
    </row>
    <row r="976">
      <c r="P976" s="153"/>
    </row>
    <row r="977">
      <c r="P977" s="153"/>
    </row>
    <row r="978">
      <c r="P978" s="153"/>
    </row>
    <row r="979">
      <c r="P979" s="153"/>
    </row>
    <row r="980">
      <c r="P980" s="153"/>
    </row>
    <row r="981">
      <c r="P981" s="153"/>
    </row>
    <row r="982">
      <c r="P982" s="153"/>
    </row>
    <row r="983">
      <c r="P983" s="153"/>
    </row>
    <row r="984">
      <c r="P984" s="153"/>
    </row>
    <row r="985">
      <c r="P985" s="153"/>
    </row>
    <row r="986">
      <c r="P986" s="153"/>
    </row>
    <row r="987">
      <c r="P987" s="153"/>
    </row>
    <row r="988">
      <c r="P988" s="153"/>
    </row>
    <row r="989">
      <c r="P989" s="153"/>
    </row>
    <row r="990">
      <c r="P990" s="153"/>
    </row>
    <row r="991">
      <c r="P991" s="153"/>
    </row>
    <row r="992">
      <c r="P992" s="153"/>
    </row>
    <row r="993">
      <c r="P993" s="153"/>
    </row>
    <row r="994">
      <c r="P994" s="153"/>
    </row>
    <row r="995">
      <c r="P995" s="153"/>
    </row>
    <row r="996">
      <c r="P996" s="153"/>
    </row>
    <row r="997">
      <c r="P997" s="153"/>
    </row>
    <row r="998">
      <c r="P998" s="153"/>
    </row>
    <row r="999">
      <c r="P999" s="153"/>
    </row>
    <row r="1000">
      <c r="P1000" s="153"/>
    </row>
  </sheetData>
  <dataValidations>
    <dataValidation type="list" allowBlank="1" showErrorMessage="1" sqref="P1:P1000">
      <formula1>"IT Area,FMG Cabinet,WFH,Mezzanine,Transferred,Deployed Onsite,C3-6 2nd floor,IT storage"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P1" s="153"/>
    </row>
    <row r="2">
      <c r="P2" s="153"/>
    </row>
    <row r="3">
      <c r="P3" s="153"/>
    </row>
    <row r="4">
      <c r="P4" s="153"/>
    </row>
    <row r="5">
      <c r="P5" s="153"/>
    </row>
    <row r="6">
      <c r="P6" s="153"/>
    </row>
    <row r="7">
      <c r="P7" s="153"/>
    </row>
    <row r="8">
      <c r="P8" s="153"/>
    </row>
    <row r="9">
      <c r="P9" s="153"/>
    </row>
    <row r="10">
      <c r="P10" s="153"/>
    </row>
    <row r="11">
      <c r="P11" s="153"/>
    </row>
    <row r="12">
      <c r="P12" s="153"/>
    </row>
    <row r="13">
      <c r="P13" s="153"/>
    </row>
    <row r="14">
      <c r="P14" s="153"/>
    </row>
    <row r="15">
      <c r="P15" s="153"/>
    </row>
    <row r="16">
      <c r="P16" s="153"/>
    </row>
    <row r="17">
      <c r="P17" s="153"/>
    </row>
    <row r="18">
      <c r="P18" s="153"/>
    </row>
    <row r="19">
      <c r="P19" s="153"/>
    </row>
    <row r="20">
      <c r="P20" s="153"/>
    </row>
    <row r="21">
      <c r="P21" s="153"/>
    </row>
    <row r="22">
      <c r="P22" s="153"/>
    </row>
    <row r="23">
      <c r="P23" s="153"/>
    </row>
    <row r="24">
      <c r="P24" s="153"/>
    </row>
    <row r="25">
      <c r="P25" s="153"/>
    </row>
    <row r="26">
      <c r="P26" s="153"/>
    </row>
    <row r="27">
      <c r="P27" s="153"/>
    </row>
    <row r="28">
      <c r="P28" s="153"/>
    </row>
    <row r="29">
      <c r="P29" s="153"/>
    </row>
    <row r="30">
      <c r="P30" s="153"/>
    </row>
    <row r="31">
      <c r="P31" s="153"/>
    </row>
    <row r="32">
      <c r="P32" s="153"/>
    </row>
    <row r="33">
      <c r="P33" s="153"/>
    </row>
    <row r="34">
      <c r="P34" s="153"/>
    </row>
    <row r="35">
      <c r="P35" s="153"/>
    </row>
    <row r="36">
      <c r="P36" s="153"/>
    </row>
    <row r="37">
      <c r="P37" s="153"/>
    </row>
    <row r="38">
      <c r="P38" s="153"/>
    </row>
    <row r="39">
      <c r="P39" s="153"/>
    </row>
    <row r="40">
      <c r="P40" s="153"/>
    </row>
    <row r="41">
      <c r="P41" s="153"/>
    </row>
    <row r="42">
      <c r="P42" s="153"/>
    </row>
    <row r="43">
      <c r="P43" s="153"/>
    </row>
    <row r="44">
      <c r="P44" s="153"/>
    </row>
    <row r="45">
      <c r="P45" s="153"/>
    </row>
    <row r="46">
      <c r="P46" s="153"/>
    </row>
    <row r="47">
      <c r="P47" s="153"/>
    </row>
    <row r="48">
      <c r="P48" s="153"/>
    </row>
    <row r="49">
      <c r="P49" s="153"/>
    </row>
    <row r="50">
      <c r="P50" s="153"/>
    </row>
    <row r="51">
      <c r="P51" s="153"/>
    </row>
    <row r="52">
      <c r="P52" s="153"/>
    </row>
    <row r="53">
      <c r="P53" s="153"/>
    </row>
    <row r="54">
      <c r="P54" s="153"/>
    </row>
    <row r="55">
      <c r="P55" s="153"/>
    </row>
    <row r="56">
      <c r="P56" s="153"/>
    </row>
    <row r="57">
      <c r="P57" s="153"/>
    </row>
    <row r="58">
      <c r="P58" s="153"/>
    </row>
    <row r="59">
      <c r="P59" s="153"/>
    </row>
    <row r="60">
      <c r="P60" s="153"/>
    </row>
    <row r="61">
      <c r="P61" s="153"/>
    </row>
    <row r="62">
      <c r="P62" s="153"/>
    </row>
    <row r="63">
      <c r="P63" s="153"/>
    </row>
    <row r="64">
      <c r="P64" s="153"/>
    </row>
    <row r="65">
      <c r="P65" s="153"/>
    </row>
    <row r="66">
      <c r="P66" s="153"/>
    </row>
    <row r="67">
      <c r="P67" s="153"/>
    </row>
    <row r="68">
      <c r="P68" s="153"/>
    </row>
    <row r="69">
      <c r="P69" s="153"/>
    </row>
    <row r="70">
      <c r="P70" s="153"/>
    </row>
    <row r="71">
      <c r="P71" s="153"/>
    </row>
    <row r="72">
      <c r="P72" s="153"/>
    </row>
    <row r="73">
      <c r="P73" s="153"/>
    </row>
    <row r="74">
      <c r="P74" s="153"/>
    </row>
    <row r="75">
      <c r="P75" s="153"/>
    </row>
    <row r="76">
      <c r="P76" s="153"/>
    </row>
    <row r="77">
      <c r="P77" s="153"/>
    </row>
    <row r="78">
      <c r="P78" s="153"/>
    </row>
    <row r="79">
      <c r="P79" s="153"/>
    </row>
    <row r="80">
      <c r="P80" s="153"/>
    </row>
    <row r="81">
      <c r="P81" s="153"/>
    </row>
    <row r="82">
      <c r="P82" s="153"/>
    </row>
    <row r="83">
      <c r="P83" s="153"/>
    </row>
    <row r="84">
      <c r="P84" s="153"/>
    </row>
    <row r="85">
      <c r="P85" s="153"/>
    </row>
    <row r="86">
      <c r="P86" s="153"/>
    </row>
    <row r="87">
      <c r="P87" s="153"/>
    </row>
    <row r="88">
      <c r="P88" s="153"/>
    </row>
    <row r="89">
      <c r="P89" s="153"/>
    </row>
    <row r="90">
      <c r="P90" s="153"/>
    </row>
    <row r="91">
      <c r="P91" s="153"/>
    </row>
    <row r="92">
      <c r="P92" s="153"/>
    </row>
    <row r="93">
      <c r="P93" s="153"/>
    </row>
    <row r="94">
      <c r="P94" s="153"/>
    </row>
    <row r="95">
      <c r="P95" s="153"/>
    </row>
    <row r="96">
      <c r="P96" s="153"/>
    </row>
    <row r="97">
      <c r="P97" s="153"/>
    </row>
    <row r="98">
      <c r="P98" s="153"/>
    </row>
    <row r="99">
      <c r="P99" s="153"/>
    </row>
    <row r="100">
      <c r="P100" s="153"/>
    </row>
    <row r="101">
      <c r="P101" s="153"/>
    </row>
    <row r="102">
      <c r="P102" s="153"/>
    </row>
    <row r="103">
      <c r="P103" s="153"/>
    </row>
    <row r="104">
      <c r="P104" s="153"/>
    </row>
    <row r="105">
      <c r="P105" s="153"/>
    </row>
    <row r="106">
      <c r="P106" s="153"/>
    </row>
    <row r="107">
      <c r="P107" s="153"/>
    </row>
    <row r="108">
      <c r="P108" s="153"/>
    </row>
    <row r="109">
      <c r="P109" s="153"/>
    </row>
    <row r="110">
      <c r="P110" s="153"/>
    </row>
    <row r="111">
      <c r="P111" s="153"/>
    </row>
    <row r="112">
      <c r="P112" s="153"/>
    </row>
    <row r="113">
      <c r="P113" s="153"/>
    </row>
    <row r="114">
      <c r="P114" s="153"/>
    </row>
    <row r="115">
      <c r="P115" s="153"/>
    </row>
    <row r="116">
      <c r="P116" s="153"/>
    </row>
    <row r="117">
      <c r="P117" s="153"/>
    </row>
    <row r="118">
      <c r="P118" s="153"/>
    </row>
    <row r="119">
      <c r="P119" s="153"/>
    </row>
    <row r="120">
      <c r="P120" s="153"/>
    </row>
    <row r="121">
      <c r="P121" s="153"/>
    </row>
    <row r="122">
      <c r="P122" s="153"/>
    </row>
    <row r="123">
      <c r="P123" s="153"/>
    </row>
    <row r="124">
      <c r="P124" s="153"/>
    </row>
    <row r="125">
      <c r="P125" s="153"/>
    </row>
    <row r="126">
      <c r="P126" s="153"/>
    </row>
    <row r="127">
      <c r="P127" s="153"/>
    </row>
    <row r="128">
      <c r="P128" s="153"/>
    </row>
    <row r="129">
      <c r="P129" s="153"/>
    </row>
    <row r="130">
      <c r="P130" s="153"/>
    </row>
    <row r="131">
      <c r="P131" s="153"/>
    </row>
    <row r="132">
      <c r="P132" s="153"/>
    </row>
    <row r="133">
      <c r="P133" s="153"/>
    </row>
    <row r="134">
      <c r="P134" s="153"/>
    </row>
    <row r="135">
      <c r="P135" s="153"/>
    </row>
    <row r="136">
      <c r="P136" s="153"/>
    </row>
    <row r="137">
      <c r="P137" s="153"/>
    </row>
    <row r="138">
      <c r="P138" s="153"/>
    </row>
    <row r="139">
      <c r="P139" s="153"/>
    </row>
    <row r="140">
      <c r="P140" s="153"/>
    </row>
    <row r="141">
      <c r="P141" s="153"/>
    </row>
    <row r="142">
      <c r="P142" s="153"/>
    </row>
    <row r="143">
      <c r="P143" s="153"/>
    </row>
    <row r="144">
      <c r="P144" s="153"/>
    </row>
    <row r="145">
      <c r="P145" s="153"/>
    </row>
    <row r="146">
      <c r="P146" s="153"/>
    </row>
    <row r="147">
      <c r="P147" s="153"/>
    </row>
    <row r="148">
      <c r="P148" s="153"/>
    </row>
    <row r="149">
      <c r="P149" s="153"/>
    </row>
    <row r="150">
      <c r="P150" s="153"/>
    </row>
    <row r="151">
      <c r="P151" s="153"/>
    </row>
    <row r="152">
      <c r="P152" s="153"/>
    </row>
    <row r="153">
      <c r="P153" s="153"/>
    </row>
    <row r="154">
      <c r="P154" s="153"/>
    </row>
    <row r="155">
      <c r="P155" s="153"/>
    </row>
    <row r="156">
      <c r="P156" s="153"/>
    </row>
    <row r="157">
      <c r="P157" s="153"/>
    </row>
    <row r="158">
      <c r="P158" s="153"/>
    </row>
    <row r="159">
      <c r="P159" s="153"/>
    </row>
    <row r="160">
      <c r="P160" s="153"/>
    </row>
    <row r="161">
      <c r="P161" s="153"/>
    </row>
    <row r="162">
      <c r="P162" s="153"/>
    </row>
    <row r="163">
      <c r="P163" s="153"/>
    </row>
    <row r="164">
      <c r="P164" s="153"/>
    </row>
    <row r="165">
      <c r="P165" s="153"/>
    </row>
    <row r="166">
      <c r="P166" s="153"/>
    </row>
    <row r="167">
      <c r="P167" s="153"/>
    </row>
    <row r="168">
      <c r="P168" s="153"/>
    </row>
    <row r="169">
      <c r="P169" s="153"/>
    </row>
    <row r="170">
      <c r="P170" s="153"/>
    </row>
    <row r="171">
      <c r="P171" s="153"/>
    </row>
    <row r="172">
      <c r="P172" s="153"/>
    </row>
    <row r="173">
      <c r="P173" s="153"/>
    </row>
    <row r="174">
      <c r="P174" s="153"/>
    </row>
    <row r="175">
      <c r="P175" s="153"/>
    </row>
    <row r="176">
      <c r="P176" s="153"/>
    </row>
    <row r="177">
      <c r="P177" s="153"/>
    </row>
    <row r="178">
      <c r="P178" s="153"/>
    </row>
    <row r="179">
      <c r="P179" s="153"/>
    </row>
    <row r="180">
      <c r="P180" s="153"/>
    </row>
    <row r="181">
      <c r="P181" s="153"/>
    </row>
    <row r="182">
      <c r="P182" s="153"/>
    </row>
    <row r="183">
      <c r="P183" s="153"/>
    </row>
    <row r="184">
      <c r="P184" s="153"/>
    </row>
    <row r="185">
      <c r="P185" s="153"/>
    </row>
    <row r="186">
      <c r="P186" s="153"/>
    </row>
    <row r="187">
      <c r="P187" s="153"/>
    </row>
    <row r="188">
      <c r="P188" s="153"/>
    </row>
    <row r="189">
      <c r="P189" s="153"/>
    </row>
    <row r="190">
      <c r="P190" s="153"/>
    </row>
    <row r="191">
      <c r="P191" s="153"/>
    </row>
    <row r="192">
      <c r="P192" s="153"/>
    </row>
    <row r="193">
      <c r="P193" s="153"/>
    </row>
    <row r="194">
      <c r="P194" s="153"/>
    </row>
    <row r="195">
      <c r="P195" s="153"/>
    </row>
    <row r="196">
      <c r="P196" s="153"/>
    </row>
    <row r="197">
      <c r="P197" s="153"/>
    </row>
    <row r="198">
      <c r="P198" s="153"/>
    </row>
    <row r="199">
      <c r="P199" s="153"/>
    </row>
    <row r="200">
      <c r="P200" s="153"/>
    </row>
    <row r="201">
      <c r="P201" s="153"/>
    </row>
    <row r="202">
      <c r="P202" s="153"/>
    </row>
    <row r="203">
      <c r="P203" s="153"/>
    </row>
    <row r="204">
      <c r="P204" s="153"/>
    </row>
    <row r="205">
      <c r="P205" s="153"/>
    </row>
    <row r="206">
      <c r="P206" s="153"/>
    </row>
    <row r="207">
      <c r="P207" s="153"/>
    </row>
    <row r="208">
      <c r="P208" s="153"/>
    </row>
    <row r="209">
      <c r="P209" s="153"/>
    </row>
    <row r="210">
      <c r="P210" s="153"/>
    </row>
    <row r="211">
      <c r="P211" s="153"/>
    </row>
    <row r="212">
      <c r="P212" s="153"/>
    </row>
    <row r="213">
      <c r="P213" s="153"/>
    </row>
    <row r="214">
      <c r="P214" s="153"/>
    </row>
    <row r="215">
      <c r="P215" s="153"/>
    </row>
    <row r="216">
      <c r="P216" s="153"/>
    </row>
    <row r="217">
      <c r="P217" s="153"/>
    </row>
    <row r="218">
      <c r="P218" s="153"/>
    </row>
    <row r="219">
      <c r="P219" s="153"/>
    </row>
    <row r="220">
      <c r="P220" s="153"/>
    </row>
    <row r="221">
      <c r="P221" s="153"/>
    </row>
    <row r="222">
      <c r="P222" s="153"/>
    </row>
    <row r="223">
      <c r="P223" s="153"/>
    </row>
    <row r="224">
      <c r="P224" s="153"/>
    </row>
    <row r="225">
      <c r="P225" s="153"/>
    </row>
    <row r="226">
      <c r="P226" s="153"/>
    </row>
    <row r="227">
      <c r="P227" s="153"/>
    </row>
    <row r="228">
      <c r="P228" s="153"/>
    </row>
    <row r="229">
      <c r="P229" s="153"/>
    </row>
    <row r="230">
      <c r="P230" s="153"/>
    </row>
    <row r="231">
      <c r="P231" s="153"/>
    </row>
    <row r="232">
      <c r="P232" s="153"/>
    </row>
    <row r="233">
      <c r="P233" s="153"/>
    </row>
    <row r="234">
      <c r="P234" s="153"/>
    </row>
    <row r="235">
      <c r="P235" s="153"/>
    </row>
    <row r="236">
      <c r="P236" s="153"/>
    </row>
    <row r="237">
      <c r="P237" s="153"/>
    </row>
    <row r="238">
      <c r="P238" s="153"/>
    </row>
    <row r="239">
      <c r="P239" s="153"/>
    </row>
    <row r="240">
      <c r="P240" s="153"/>
    </row>
    <row r="241">
      <c r="P241" s="153"/>
    </row>
    <row r="242">
      <c r="P242" s="153"/>
    </row>
    <row r="243">
      <c r="P243" s="153"/>
    </row>
    <row r="244">
      <c r="P244" s="153"/>
    </row>
    <row r="245">
      <c r="P245" s="153"/>
    </row>
    <row r="246">
      <c r="P246" s="153"/>
    </row>
    <row r="247">
      <c r="P247" s="153"/>
    </row>
    <row r="248">
      <c r="P248" s="153"/>
    </row>
    <row r="249">
      <c r="P249" s="153"/>
    </row>
    <row r="250">
      <c r="P250" s="153"/>
    </row>
    <row r="251">
      <c r="P251" s="153"/>
    </row>
    <row r="252">
      <c r="P252" s="153"/>
    </row>
    <row r="253">
      <c r="P253" s="153"/>
    </row>
    <row r="254">
      <c r="P254" s="153"/>
    </row>
    <row r="255">
      <c r="P255" s="153"/>
    </row>
    <row r="256">
      <c r="P256" s="153"/>
    </row>
    <row r="257">
      <c r="P257" s="153"/>
    </row>
    <row r="258">
      <c r="P258" s="153"/>
    </row>
    <row r="259">
      <c r="P259" s="153"/>
    </row>
    <row r="260">
      <c r="P260" s="153"/>
    </row>
    <row r="261">
      <c r="P261" s="153"/>
    </row>
    <row r="262">
      <c r="P262" s="153"/>
    </row>
    <row r="263">
      <c r="P263" s="153"/>
    </row>
    <row r="264">
      <c r="P264" s="153"/>
    </row>
    <row r="265">
      <c r="P265" s="153"/>
    </row>
    <row r="266">
      <c r="P266" s="153"/>
    </row>
    <row r="267">
      <c r="P267" s="153"/>
    </row>
    <row r="268">
      <c r="P268" s="153"/>
    </row>
    <row r="269">
      <c r="P269" s="153"/>
    </row>
    <row r="270">
      <c r="P270" s="153"/>
    </row>
    <row r="271">
      <c r="P271" s="153"/>
    </row>
    <row r="272">
      <c r="P272" s="153"/>
    </row>
    <row r="273">
      <c r="P273" s="153"/>
    </row>
    <row r="274">
      <c r="P274" s="153"/>
    </row>
    <row r="275">
      <c r="P275" s="153"/>
    </row>
    <row r="276">
      <c r="P276" s="153"/>
    </row>
    <row r="277">
      <c r="P277" s="153"/>
    </row>
    <row r="278">
      <c r="P278" s="153"/>
    </row>
    <row r="279">
      <c r="P279" s="153"/>
    </row>
    <row r="280">
      <c r="P280" s="153"/>
    </row>
    <row r="281">
      <c r="P281" s="153"/>
    </row>
    <row r="282">
      <c r="P282" s="153"/>
    </row>
    <row r="283">
      <c r="P283" s="153"/>
    </row>
    <row r="284">
      <c r="P284" s="153"/>
    </row>
    <row r="285">
      <c r="P285" s="153"/>
    </row>
    <row r="286">
      <c r="P286" s="153"/>
    </row>
    <row r="287">
      <c r="P287" s="153"/>
    </row>
    <row r="288">
      <c r="P288" s="153"/>
    </row>
    <row r="289">
      <c r="P289" s="153"/>
    </row>
    <row r="290">
      <c r="P290" s="153"/>
    </row>
    <row r="291">
      <c r="P291" s="153"/>
    </row>
    <row r="292">
      <c r="P292" s="153"/>
    </row>
    <row r="293">
      <c r="P293" s="153"/>
    </row>
    <row r="294">
      <c r="P294" s="153"/>
    </row>
    <row r="295">
      <c r="P295" s="153"/>
    </row>
    <row r="296">
      <c r="P296" s="153"/>
    </row>
    <row r="297">
      <c r="P297" s="153"/>
    </row>
    <row r="298">
      <c r="P298" s="153"/>
    </row>
    <row r="299">
      <c r="P299" s="153"/>
    </row>
    <row r="300">
      <c r="P300" s="153"/>
    </row>
    <row r="301">
      <c r="P301" s="153"/>
    </row>
    <row r="302">
      <c r="P302" s="153"/>
    </row>
    <row r="303">
      <c r="P303" s="153"/>
    </row>
    <row r="304">
      <c r="P304" s="153"/>
    </row>
    <row r="305">
      <c r="P305" s="153"/>
    </row>
    <row r="306">
      <c r="P306" s="153"/>
    </row>
    <row r="307">
      <c r="P307" s="153"/>
    </row>
    <row r="308">
      <c r="P308" s="153"/>
    </row>
    <row r="309">
      <c r="P309" s="153"/>
    </row>
    <row r="310">
      <c r="P310" s="153"/>
    </row>
    <row r="311">
      <c r="P311" s="153"/>
    </row>
    <row r="312">
      <c r="P312" s="153"/>
    </row>
    <row r="313">
      <c r="P313" s="153"/>
    </row>
    <row r="314">
      <c r="P314" s="153"/>
    </row>
    <row r="315">
      <c r="P315" s="153"/>
    </row>
    <row r="316">
      <c r="P316" s="153"/>
    </row>
    <row r="317">
      <c r="P317" s="153"/>
    </row>
    <row r="318">
      <c r="P318" s="153"/>
    </row>
    <row r="319">
      <c r="P319" s="153"/>
    </row>
    <row r="320">
      <c r="P320" s="153"/>
    </row>
    <row r="321">
      <c r="P321" s="153"/>
    </row>
    <row r="322">
      <c r="P322" s="153"/>
    </row>
    <row r="323">
      <c r="P323" s="153"/>
    </row>
    <row r="324">
      <c r="P324" s="153"/>
    </row>
    <row r="325">
      <c r="P325" s="153"/>
    </row>
    <row r="326">
      <c r="P326" s="153"/>
    </row>
    <row r="327">
      <c r="P327" s="153"/>
    </row>
    <row r="328">
      <c r="P328" s="153"/>
    </row>
    <row r="329">
      <c r="P329" s="153"/>
    </row>
    <row r="330">
      <c r="P330" s="153"/>
    </row>
    <row r="331">
      <c r="P331" s="153"/>
    </row>
    <row r="332">
      <c r="P332" s="153"/>
    </row>
    <row r="333">
      <c r="P333" s="153"/>
    </row>
    <row r="334">
      <c r="P334" s="153"/>
    </row>
    <row r="335">
      <c r="P335" s="153"/>
    </row>
    <row r="336">
      <c r="P336" s="153"/>
    </row>
    <row r="337">
      <c r="P337" s="153"/>
    </row>
    <row r="338">
      <c r="P338" s="153"/>
    </row>
    <row r="339">
      <c r="P339" s="153"/>
    </row>
    <row r="340">
      <c r="P340" s="153"/>
    </row>
    <row r="341">
      <c r="P341" s="153"/>
    </row>
    <row r="342">
      <c r="P342" s="153"/>
    </row>
    <row r="343">
      <c r="P343" s="153"/>
    </row>
    <row r="344">
      <c r="P344" s="153"/>
    </row>
    <row r="345">
      <c r="P345" s="153"/>
    </row>
    <row r="346">
      <c r="P346" s="153"/>
    </row>
    <row r="347">
      <c r="P347" s="153"/>
    </row>
    <row r="348">
      <c r="P348" s="153"/>
    </row>
    <row r="349">
      <c r="P349" s="153"/>
    </row>
    <row r="350">
      <c r="P350" s="153"/>
    </row>
    <row r="351">
      <c r="P351" s="153"/>
    </row>
    <row r="352">
      <c r="P352" s="153"/>
    </row>
    <row r="353">
      <c r="P353" s="153"/>
    </row>
    <row r="354">
      <c r="P354" s="153"/>
    </row>
    <row r="355">
      <c r="P355" s="153"/>
    </row>
    <row r="356">
      <c r="P356" s="153"/>
    </row>
    <row r="357">
      <c r="P357" s="153"/>
    </row>
    <row r="358">
      <c r="P358" s="153"/>
    </row>
    <row r="359">
      <c r="P359" s="153"/>
    </row>
    <row r="360">
      <c r="P360" s="153"/>
    </row>
    <row r="361">
      <c r="P361" s="153"/>
    </row>
    <row r="362">
      <c r="P362" s="153"/>
    </row>
    <row r="363">
      <c r="P363" s="153"/>
    </row>
    <row r="364">
      <c r="P364" s="153"/>
    </row>
    <row r="365">
      <c r="P365" s="153"/>
    </row>
    <row r="366">
      <c r="P366" s="153"/>
    </row>
    <row r="367">
      <c r="P367" s="153"/>
    </row>
    <row r="368">
      <c r="P368" s="153"/>
    </row>
    <row r="369">
      <c r="P369" s="153"/>
    </row>
    <row r="370">
      <c r="P370" s="153"/>
    </row>
    <row r="371">
      <c r="P371" s="153"/>
    </row>
    <row r="372">
      <c r="P372" s="153"/>
    </row>
    <row r="373">
      <c r="P373" s="153"/>
    </row>
    <row r="374">
      <c r="P374" s="153"/>
    </row>
    <row r="375">
      <c r="P375" s="153"/>
    </row>
    <row r="376">
      <c r="P376" s="153"/>
    </row>
    <row r="377">
      <c r="P377" s="153"/>
    </row>
    <row r="378">
      <c r="P378" s="153"/>
    </row>
    <row r="379">
      <c r="P379" s="153"/>
    </row>
    <row r="380">
      <c r="P380" s="153"/>
    </row>
    <row r="381">
      <c r="P381" s="153"/>
    </row>
    <row r="382">
      <c r="P382" s="153"/>
    </row>
    <row r="383">
      <c r="P383" s="153"/>
    </row>
    <row r="384">
      <c r="P384" s="153"/>
    </row>
    <row r="385">
      <c r="P385" s="153"/>
    </row>
    <row r="386">
      <c r="P386" s="153"/>
    </row>
    <row r="387">
      <c r="P387" s="153"/>
    </row>
    <row r="388">
      <c r="P388" s="153"/>
    </row>
    <row r="389">
      <c r="P389" s="153"/>
    </row>
    <row r="390">
      <c r="P390" s="153"/>
    </row>
    <row r="391">
      <c r="P391" s="153"/>
    </row>
    <row r="392">
      <c r="P392" s="153"/>
    </row>
    <row r="393">
      <c r="P393" s="153"/>
    </row>
    <row r="394">
      <c r="P394" s="153"/>
    </row>
    <row r="395">
      <c r="P395" s="153"/>
    </row>
    <row r="396">
      <c r="P396" s="153"/>
    </row>
    <row r="397">
      <c r="P397" s="153"/>
    </row>
    <row r="398">
      <c r="P398" s="153"/>
    </row>
    <row r="399">
      <c r="P399" s="153"/>
    </row>
    <row r="400">
      <c r="P400" s="153"/>
    </row>
    <row r="401">
      <c r="P401" s="153"/>
    </row>
    <row r="402">
      <c r="P402" s="153"/>
    </row>
    <row r="403">
      <c r="P403" s="153"/>
    </row>
    <row r="404">
      <c r="P404" s="153"/>
    </row>
    <row r="405">
      <c r="P405" s="153"/>
    </row>
    <row r="406">
      <c r="P406" s="153"/>
    </row>
    <row r="407">
      <c r="P407" s="153"/>
    </row>
    <row r="408">
      <c r="P408" s="153"/>
    </row>
    <row r="409">
      <c r="P409" s="153"/>
    </row>
    <row r="410">
      <c r="P410" s="153"/>
    </row>
    <row r="411">
      <c r="P411" s="153"/>
    </row>
    <row r="412">
      <c r="P412" s="153"/>
    </row>
    <row r="413">
      <c r="P413" s="153"/>
    </row>
    <row r="414">
      <c r="P414" s="153"/>
    </row>
    <row r="415">
      <c r="P415" s="153"/>
    </row>
    <row r="416">
      <c r="P416" s="153"/>
    </row>
    <row r="417">
      <c r="P417" s="153"/>
    </row>
    <row r="418">
      <c r="P418" s="153"/>
    </row>
    <row r="419">
      <c r="P419" s="153"/>
    </row>
    <row r="420">
      <c r="P420" s="153"/>
    </row>
    <row r="421">
      <c r="P421" s="153"/>
    </row>
    <row r="422">
      <c r="P422" s="153"/>
    </row>
    <row r="423">
      <c r="P423" s="153"/>
    </row>
    <row r="424">
      <c r="P424" s="153"/>
    </row>
    <row r="425">
      <c r="P425" s="153"/>
    </row>
    <row r="426">
      <c r="P426" s="153"/>
    </row>
    <row r="427">
      <c r="P427" s="153"/>
    </row>
    <row r="428">
      <c r="P428" s="153"/>
    </row>
    <row r="429">
      <c r="P429" s="153"/>
    </row>
    <row r="430">
      <c r="P430" s="153"/>
    </row>
    <row r="431">
      <c r="P431" s="153"/>
    </row>
    <row r="432">
      <c r="P432" s="153"/>
    </row>
    <row r="433">
      <c r="P433" s="153"/>
    </row>
    <row r="434">
      <c r="P434" s="153"/>
    </row>
    <row r="435">
      <c r="P435" s="153"/>
    </row>
    <row r="436">
      <c r="P436" s="153"/>
    </row>
    <row r="437">
      <c r="P437" s="153"/>
    </row>
    <row r="438">
      <c r="P438" s="153"/>
    </row>
    <row r="439">
      <c r="P439" s="153"/>
    </row>
    <row r="440">
      <c r="P440" s="153"/>
    </row>
    <row r="441">
      <c r="P441" s="153"/>
    </row>
    <row r="442">
      <c r="P442" s="153"/>
    </row>
    <row r="443">
      <c r="P443" s="153"/>
    </row>
    <row r="444">
      <c r="P444" s="153"/>
    </row>
    <row r="445">
      <c r="P445" s="153"/>
    </row>
    <row r="446">
      <c r="P446" s="153"/>
    </row>
    <row r="447">
      <c r="P447" s="153"/>
    </row>
    <row r="448">
      <c r="P448" s="153"/>
    </row>
    <row r="449">
      <c r="P449" s="153"/>
    </row>
    <row r="450">
      <c r="P450" s="153"/>
    </row>
    <row r="451">
      <c r="P451" s="153"/>
    </row>
    <row r="452">
      <c r="P452" s="153"/>
    </row>
    <row r="453">
      <c r="P453" s="153"/>
    </row>
    <row r="454">
      <c r="P454" s="153"/>
    </row>
    <row r="455">
      <c r="P455" s="153"/>
    </row>
    <row r="456">
      <c r="P456" s="153"/>
    </row>
    <row r="457">
      <c r="P457" s="153"/>
    </row>
    <row r="458">
      <c r="P458" s="153"/>
    </row>
    <row r="459">
      <c r="P459" s="153"/>
    </row>
    <row r="460">
      <c r="P460" s="153"/>
    </row>
    <row r="461">
      <c r="P461" s="153"/>
    </row>
    <row r="462">
      <c r="P462" s="153"/>
    </row>
    <row r="463">
      <c r="P463" s="153"/>
    </row>
    <row r="464">
      <c r="P464" s="153"/>
    </row>
    <row r="465">
      <c r="P465" s="153"/>
    </row>
    <row r="466">
      <c r="P466" s="153"/>
    </row>
    <row r="467">
      <c r="P467" s="153"/>
    </row>
    <row r="468">
      <c r="P468" s="153"/>
    </row>
    <row r="469">
      <c r="P469" s="153"/>
    </row>
    <row r="470">
      <c r="P470" s="153"/>
    </row>
    <row r="471">
      <c r="P471" s="153"/>
    </row>
    <row r="472">
      <c r="P472" s="153"/>
    </row>
    <row r="473">
      <c r="P473" s="153"/>
    </row>
    <row r="474">
      <c r="P474" s="153"/>
    </row>
    <row r="475">
      <c r="P475" s="153"/>
    </row>
    <row r="476">
      <c r="P476" s="153"/>
    </row>
    <row r="477">
      <c r="P477" s="153"/>
    </row>
    <row r="478">
      <c r="P478" s="153"/>
    </row>
    <row r="479">
      <c r="P479" s="153"/>
    </row>
    <row r="480">
      <c r="P480" s="153"/>
    </row>
    <row r="481">
      <c r="P481" s="153"/>
    </row>
    <row r="482">
      <c r="P482" s="153"/>
    </row>
    <row r="483">
      <c r="P483" s="153"/>
    </row>
    <row r="484">
      <c r="P484" s="153"/>
    </row>
    <row r="485">
      <c r="P485" s="153"/>
    </row>
    <row r="486">
      <c r="P486" s="153"/>
    </row>
    <row r="487">
      <c r="P487" s="153"/>
    </row>
    <row r="488">
      <c r="P488" s="153"/>
    </row>
    <row r="489">
      <c r="P489" s="153"/>
    </row>
    <row r="490">
      <c r="P490" s="153"/>
    </row>
    <row r="491">
      <c r="P491" s="153"/>
    </row>
    <row r="492">
      <c r="P492" s="153"/>
    </row>
    <row r="493">
      <c r="P493" s="153"/>
    </row>
    <row r="494">
      <c r="P494" s="153"/>
    </row>
    <row r="495">
      <c r="P495" s="153"/>
    </row>
    <row r="496">
      <c r="P496" s="153"/>
    </row>
    <row r="497">
      <c r="P497" s="153"/>
    </row>
    <row r="498">
      <c r="P498" s="153"/>
    </row>
    <row r="499">
      <c r="P499" s="153"/>
    </row>
    <row r="500">
      <c r="P500" s="153"/>
    </row>
    <row r="501">
      <c r="P501" s="153"/>
    </row>
    <row r="502">
      <c r="P502" s="153"/>
    </row>
    <row r="503">
      <c r="P503" s="153"/>
    </row>
    <row r="504">
      <c r="P504" s="153"/>
    </row>
    <row r="505">
      <c r="P505" s="153"/>
    </row>
    <row r="506">
      <c r="P506" s="153"/>
    </row>
    <row r="507">
      <c r="P507" s="153"/>
    </row>
    <row r="508">
      <c r="P508" s="153"/>
    </row>
    <row r="509">
      <c r="P509" s="153"/>
    </row>
    <row r="510">
      <c r="P510" s="153"/>
    </row>
    <row r="511">
      <c r="P511" s="153"/>
    </row>
    <row r="512">
      <c r="P512" s="153"/>
    </row>
    <row r="513">
      <c r="P513" s="153"/>
    </row>
    <row r="514">
      <c r="P514" s="153"/>
    </row>
    <row r="515">
      <c r="P515" s="153"/>
    </row>
    <row r="516">
      <c r="P516" s="153"/>
    </row>
    <row r="517">
      <c r="P517" s="153"/>
    </row>
    <row r="518">
      <c r="P518" s="153"/>
    </row>
    <row r="519">
      <c r="P519" s="153"/>
    </row>
    <row r="520">
      <c r="P520" s="153"/>
    </row>
    <row r="521">
      <c r="P521" s="153"/>
    </row>
    <row r="522">
      <c r="P522" s="153"/>
    </row>
    <row r="523">
      <c r="P523" s="153"/>
    </row>
    <row r="524">
      <c r="P524" s="153"/>
    </row>
    <row r="525">
      <c r="P525" s="153"/>
    </row>
    <row r="526">
      <c r="P526" s="153"/>
    </row>
    <row r="527">
      <c r="P527" s="153"/>
    </row>
    <row r="528">
      <c r="P528" s="153"/>
    </row>
    <row r="529">
      <c r="P529" s="153"/>
    </row>
    <row r="530">
      <c r="P530" s="153"/>
    </row>
    <row r="531">
      <c r="P531" s="153"/>
    </row>
    <row r="532">
      <c r="P532" s="153"/>
    </row>
    <row r="533">
      <c r="P533" s="153"/>
    </row>
    <row r="534">
      <c r="P534" s="153"/>
    </row>
    <row r="535">
      <c r="P535" s="153"/>
    </row>
    <row r="536">
      <c r="P536" s="153"/>
    </row>
    <row r="537">
      <c r="P537" s="153"/>
    </row>
    <row r="538">
      <c r="P538" s="153"/>
    </row>
    <row r="539">
      <c r="P539" s="153"/>
    </row>
    <row r="540">
      <c r="P540" s="153"/>
    </row>
    <row r="541">
      <c r="P541" s="153"/>
    </row>
    <row r="542">
      <c r="P542" s="153"/>
    </row>
    <row r="543">
      <c r="P543" s="153"/>
    </row>
    <row r="544">
      <c r="P544" s="153"/>
    </row>
    <row r="545">
      <c r="P545" s="153"/>
    </row>
    <row r="546">
      <c r="P546" s="153"/>
    </row>
    <row r="547">
      <c r="P547" s="153"/>
    </row>
    <row r="548">
      <c r="P548" s="153"/>
    </row>
    <row r="549">
      <c r="P549" s="153"/>
    </row>
    <row r="550">
      <c r="P550" s="153"/>
    </row>
    <row r="551">
      <c r="P551" s="153"/>
    </row>
    <row r="552">
      <c r="P552" s="153"/>
    </row>
    <row r="553">
      <c r="P553" s="153"/>
    </row>
    <row r="554">
      <c r="P554" s="153"/>
    </row>
    <row r="555">
      <c r="P555" s="153"/>
    </row>
    <row r="556">
      <c r="P556" s="153"/>
    </row>
    <row r="557">
      <c r="P557" s="153"/>
    </row>
    <row r="558">
      <c r="P558" s="153"/>
    </row>
    <row r="559">
      <c r="P559" s="153"/>
    </row>
    <row r="560">
      <c r="P560" s="153"/>
    </row>
    <row r="561">
      <c r="P561" s="153"/>
    </row>
    <row r="562">
      <c r="P562" s="153"/>
    </row>
    <row r="563">
      <c r="P563" s="153"/>
    </row>
    <row r="564">
      <c r="P564" s="153"/>
    </row>
    <row r="565">
      <c r="P565" s="153"/>
    </row>
    <row r="566">
      <c r="P566" s="153"/>
    </row>
    <row r="567">
      <c r="P567" s="153"/>
    </row>
    <row r="568">
      <c r="P568" s="153"/>
    </row>
    <row r="569">
      <c r="P569" s="153"/>
    </row>
    <row r="570">
      <c r="P570" s="153"/>
    </row>
    <row r="571">
      <c r="P571" s="153"/>
    </row>
    <row r="572">
      <c r="P572" s="153"/>
    </row>
    <row r="573">
      <c r="P573" s="153"/>
    </row>
    <row r="574">
      <c r="P574" s="153"/>
    </row>
    <row r="575">
      <c r="P575" s="153"/>
    </row>
    <row r="576">
      <c r="P576" s="153"/>
    </row>
    <row r="577">
      <c r="P577" s="153"/>
    </row>
    <row r="578">
      <c r="P578" s="153"/>
    </row>
    <row r="579">
      <c r="P579" s="153"/>
    </row>
    <row r="580">
      <c r="P580" s="153"/>
    </row>
    <row r="581">
      <c r="P581" s="153"/>
    </row>
    <row r="582">
      <c r="P582" s="153"/>
    </row>
    <row r="583">
      <c r="P583" s="153"/>
    </row>
    <row r="584">
      <c r="P584" s="153"/>
    </row>
    <row r="585">
      <c r="P585" s="153"/>
    </row>
    <row r="586">
      <c r="P586" s="153"/>
    </row>
    <row r="587">
      <c r="P587" s="153"/>
    </row>
    <row r="588">
      <c r="P588" s="153"/>
    </row>
    <row r="589">
      <c r="P589" s="153"/>
    </row>
    <row r="590">
      <c r="P590" s="153"/>
    </row>
    <row r="591">
      <c r="P591" s="153"/>
    </row>
    <row r="592">
      <c r="P592" s="153"/>
    </row>
    <row r="593">
      <c r="P593" s="153"/>
    </row>
    <row r="594">
      <c r="P594" s="153"/>
    </row>
    <row r="595">
      <c r="P595" s="153"/>
    </row>
    <row r="596">
      <c r="P596" s="153"/>
    </row>
    <row r="597">
      <c r="P597" s="153"/>
    </row>
    <row r="598">
      <c r="P598" s="153"/>
    </row>
    <row r="599">
      <c r="P599" s="153"/>
    </row>
    <row r="600">
      <c r="P600" s="153"/>
    </row>
    <row r="601">
      <c r="P601" s="153"/>
    </row>
    <row r="602">
      <c r="P602" s="153"/>
    </row>
    <row r="603">
      <c r="P603" s="153"/>
    </row>
    <row r="604">
      <c r="P604" s="153"/>
    </row>
    <row r="605">
      <c r="P605" s="153"/>
    </row>
    <row r="606">
      <c r="P606" s="153"/>
    </row>
    <row r="607">
      <c r="P607" s="153"/>
    </row>
    <row r="608">
      <c r="P608" s="153"/>
    </row>
    <row r="609">
      <c r="P609" s="153"/>
    </row>
    <row r="610">
      <c r="P610" s="153"/>
    </row>
    <row r="611">
      <c r="P611" s="153"/>
    </row>
    <row r="612">
      <c r="P612" s="153"/>
    </row>
    <row r="613">
      <c r="P613" s="153"/>
    </row>
    <row r="614">
      <c r="P614" s="153"/>
    </row>
    <row r="615">
      <c r="P615" s="153"/>
    </row>
    <row r="616">
      <c r="P616" s="153"/>
    </row>
    <row r="617">
      <c r="P617" s="153"/>
    </row>
    <row r="618">
      <c r="P618" s="153"/>
    </row>
    <row r="619">
      <c r="P619" s="153"/>
    </row>
    <row r="620">
      <c r="P620" s="153"/>
    </row>
    <row r="621">
      <c r="P621" s="153"/>
    </row>
    <row r="622">
      <c r="P622" s="153"/>
    </row>
    <row r="623">
      <c r="P623" s="153"/>
    </row>
    <row r="624">
      <c r="P624" s="153"/>
    </row>
    <row r="625">
      <c r="P625" s="153"/>
    </row>
    <row r="626">
      <c r="P626" s="153"/>
    </row>
    <row r="627">
      <c r="P627" s="153"/>
    </row>
    <row r="628">
      <c r="P628" s="153"/>
    </row>
    <row r="629">
      <c r="P629" s="153"/>
    </row>
    <row r="630">
      <c r="P630" s="153"/>
    </row>
    <row r="631">
      <c r="P631" s="153"/>
    </row>
    <row r="632">
      <c r="P632" s="153"/>
    </row>
    <row r="633">
      <c r="P633" s="153"/>
    </row>
    <row r="634">
      <c r="P634" s="153"/>
    </row>
    <row r="635">
      <c r="P635" s="153"/>
    </row>
    <row r="636">
      <c r="P636" s="153"/>
    </row>
    <row r="637">
      <c r="P637" s="153"/>
    </row>
    <row r="638">
      <c r="P638" s="153"/>
    </row>
    <row r="639">
      <c r="P639" s="153"/>
    </row>
    <row r="640">
      <c r="P640" s="153"/>
    </row>
    <row r="641">
      <c r="P641" s="153"/>
    </row>
    <row r="642">
      <c r="P642" s="153"/>
    </row>
    <row r="643">
      <c r="P643" s="153"/>
    </row>
    <row r="644">
      <c r="P644" s="153"/>
    </row>
    <row r="645">
      <c r="P645" s="153"/>
    </row>
    <row r="646">
      <c r="P646" s="153"/>
    </row>
    <row r="647">
      <c r="P647" s="153"/>
    </row>
    <row r="648">
      <c r="P648" s="153"/>
    </row>
    <row r="649">
      <c r="P649" s="153"/>
    </row>
    <row r="650">
      <c r="P650" s="153"/>
    </row>
    <row r="651">
      <c r="P651" s="153"/>
    </row>
    <row r="652">
      <c r="P652" s="153"/>
    </row>
    <row r="653">
      <c r="P653" s="153"/>
    </row>
    <row r="654">
      <c r="P654" s="153"/>
    </row>
    <row r="655">
      <c r="P655" s="153"/>
    </row>
    <row r="656">
      <c r="P656" s="153"/>
    </row>
    <row r="657">
      <c r="P657" s="153"/>
    </row>
    <row r="658">
      <c r="P658" s="153"/>
    </row>
    <row r="659">
      <c r="P659" s="153"/>
    </row>
    <row r="660">
      <c r="P660" s="153"/>
    </row>
    <row r="661">
      <c r="P661" s="153"/>
    </row>
    <row r="662">
      <c r="P662" s="153"/>
    </row>
    <row r="663">
      <c r="P663" s="153"/>
    </row>
    <row r="664">
      <c r="P664" s="153"/>
    </row>
    <row r="665">
      <c r="P665" s="153"/>
    </row>
    <row r="666">
      <c r="P666" s="153"/>
    </row>
    <row r="667">
      <c r="P667" s="153"/>
    </row>
    <row r="668">
      <c r="P668" s="153"/>
    </row>
    <row r="669">
      <c r="P669" s="153"/>
    </row>
    <row r="670">
      <c r="P670" s="153"/>
    </row>
    <row r="671">
      <c r="P671" s="153"/>
    </row>
    <row r="672">
      <c r="P672" s="153"/>
    </row>
    <row r="673">
      <c r="P673" s="153"/>
    </row>
    <row r="674">
      <c r="P674" s="153"/>
    </row>
    <row r="675">
      <c r="P675" s="153"/>
    </row>
    <row r="676">
      <c r="P676" s="153"/>
    </row>
    <row r="677">
      <c r="P677" s="153"/>
    </row>
    <row r="678">
      <c r="P678" s="153"/>
    </row>
    <row r="679">
      <c r="P679" s="153"/>
    </row>
    <row r="680">
      <c r="P680" s="153"/>
    </row>
    <row r="681">
      <c r="P681" s="153"/>
    </row>
    <row r="682">
      <c r="P682" s="153"/>
    </row>
    <row r="683">
      <c r="P683" s="153"/>
    </row>
    <row r="684">
      <c r="P684" s="153"/>
    </row>
    <row r="685">
      <c r="P685" s="153"/>
    </row>
    <row r="686">
      <c r="P686" s="153"/>
    </row>
    <row r="687">
      <c r="P687" s="153"/>
    </row>
    <row r="688">
      <c r="P688" s="153"/>
    </row>
    <row r="689">
      <c r="P689" s="153"/>
    </row>
    <row r="690">
      <c r="P690" s="153"/>
    </row>
    <row r="691">
      <c r="P691" s="153"/>
    </row>
    <row r="692">
      <c r="P692" s="153"/>
    </row>
    <row r="693">
      <c r="P693" s="153"/>
    </row>
    <row r="694">
      <c r="P694" s="153"/>
    </row>
    <row r="695">
      <c r="P695" s="153"/>
    </row>
    <row r="696">
      <c r="P696" s="153"/>
    </row>
    <row r="697">
      <c r="P697" s="153"/>
    </row>
    <row r="698">
      <c r="P698" s="153"/>
    </row>
    <row r="699">
      <c r="P699" s="153"/>
    </row>
    <row r="700">
      <c r="P700" s="153"/>
    </row>
    <row r="701">
      <c r="P701" s="153"/>
    </row>
    <row r="702">
      <c r="P702" s="153"/>
    </row>
    <row r="703">
      <c r="P703" s="153"/>
    </row>
    <row r="704">
      <c r="P704" s="153"/>
    </row>
    <row r="705">
      <c r="P705" s="153"/>
    </row>
    <row r="706">
      <c r="P706" s="153"/>
    </row>
    <row r="707">
      <c r="P707" s="153"/>
    </row>
    <row r="708">
      <c r="P708" s="153"/>
    </row>
    <row r="709">
      <c r="P709" s="153"/>
    </row>
    <row r="710">
      <c r="P710" s="153"/>
    </row>
    <row r="711">
      <c r="P711" s="153"/>
    </row>
    <row r="712">
      <c r="P712" s="153"/>
    </row>
    <row r="713">
      <c r="P713" s="153"/>
    </row>
    <row r="714">
      <c r="P714" s="153"/>
    </row>
    <row r="715">
      <c r="P715" s="153"/>
    </row>
    <row r="716">
      <c r="P716" s="153"/>
    </row>
    <row r="717">
      <c r="P717" s="153"/>
    </row>
    <row r="718">
      <c r="P718" s="153"/>
    </row>
    <row r="719">
      <c r="P719" s="153"/>
    </row>
    <row r="720">
      <c r="P720" s="153"/>
    </row>
    <row r="721">
      <c r="P721" s="153"/>
    </row>
    <row r="722">
      <c r="P722" s="153"/>
    </row>
    <row r="723">
      <c r="P723" s="153"/>
    </row>
    <row r="724">
      <c r="P724" s="153"/>
    </row>
    <row r="725">
      <c r="P725" s="153"/>
    </row>
    <row r="726">
      <c r="P726" s="153"/>
    </row>
    <row r="727">
      <c r="P727" s="153"/>
    </row>
    <row r="728">
      <c r="P728" s="153"/>
    </row>
    <row r="729">
      <c r="P729" s="153"/>
    </row>
    <row r="730">
      <c r="P730" s="153"/>
    </row>
    <row r="731">
      <c r="P731" s="153"/>
    </row>
    <row r="732">
      <c r="P732" s="153"/>
    </row>
    <row r="733">
      <c r="P733" s="153"/>
    </row>
    <row r="734">
      <c r="P734" s="153"/>
    </row>
    <row r="735">
      <c r="P735" s="153"/>
    </row>
    <row r="736">
      <c r="P736" s="153"/>
    </row>
    <row r="737">
      <c r="P737" s="153"/>
    </row>
    <row r="738">
      <c r="P738" s="153"/>
    </row>
    <row r="739">
      <c r="P739" s="153"/>
    </row>
    <row r="740">
      <c r="P740" s="153"/>
    </row>
    <row r="741">
      <c r="P741" s="153"/>
    </row>
    <row r="742">
      <c r="P742" s="153"/>
    </row>
    <row r="743">
      <c r="P743" s="153"/>
    </row>
    <row r="744">
      <c r="P744" s="153"/>
    </row>
    <row r="745">
      <c r="P745" s="153"/>
    </row>
    <row r="746">
      <c r="P746" s="153"/>
    </row>
    <row r="747">
      <c r="P747" s="153"/>
    </row>
    <row r="748">
      <c r="P748" s="153"/>
    </row>
    <row r="749">
      <c r="P749" s="153"/>
    </row>
    <row r="750">
      <c r="P750" s="153"/>
    </row>
    <row r="751">
      <c r="P751" s="153"/>
    </row>
    <row r="752">
      <c r="P752" s="153"/>
    </row>
    <row r="753">
      <c r="P753" s="153"/>
    </row>
    <row r="754">
      <c r="P754" s="153"/>
    </row>
    <row r="755">
      <c r="P755" s="153"/>
    </row>
    <row r="756">
      <c r="P756" s="153"/>
    </row>
    <row r="757">
      <c r="P757" s="153"/>
    </row>
    <row r="758">
      <c r="P758" s="153"/>
    </row>
    <row r="759">
      <c r="P759" s="153"/>
    </row>
    <row r="760">
      <c r="P760" s="153"/>
    </row>
    <row r="761">
      <c r="P761" s="153"/>
    </row>
    <row r="762">
      <c r="P762" s="153"/>
    </row>
    <row r="763">
      <c r="P763" s="153"/>
    </row>
    <row r="764">
      <c r="P764" s="153"/>
    </row>
    <row r="765">
      <c r="P765" s="153"/>
    </row>
    <row r="766">
      <c r="P766" s="153"/>
    </row>
    <row r="767">
      <c r="P767" s="153"/>
    </row>
    <row r="768">
      <c r="P768" s="153"/>
    </row>
    <row r="769">
      <c r="P769" s="153"/>
    </row>
    <row r="770">
      <c r="P770" s="153"/>
    </row>
    <row r="771">
      <c r="P771" s="153"/>
    </row>
    <row r="772">
      <c r="P772" s="153"/>
    </row>
    <row r="773">
      <c r="P773" s="153"/>
    </row>
    <row r="774">
      <c r="P774" s="153"/>
    </row>
    <row r="775">
      <c r="P775" s="153"/>
    </row>
    <row r="776">
      <c r="P776" s="153"/>
    </row>
    <row r="777">
      <c r="P777" s="153"/>
    </row>
    <row r="778">
      <c r="P778" s="153"/>
    </row>
    <row r="779">
      <c r="P779" s="153"/>
    </row>
    <row r="780">
      <c r="P780" s="153"/>
    </row>
    <row r="781">
      <c r="P781" s="153"/>
    </row>
    <row r="782">
      <c r="P782" s="153"/>
    </row>
    <row r="783">
      <c r="P783" s="153"/>
    </row>
    <row r="784">
      <c r="P784" s="153"/>
    </row>
    <row r="785">
      <c r="P785" s="153"/>
    </row>
    <row r="786">
      <c r="P786" s="153"/>
    </row>
    <row r="787">
      <c r="P787" s="153"/>
    </row>
    <row r="788">
      <c r="P788" s="153"/>
    </row>
    <row r="789">
      <c r="P789" s="153"/>
    </row>
    <row r="790">
      <c r="P790" s="153"/>
    </row>
    <row r="791">
      <c r="P791" s="153"/>
    </row>
    <row r="792">
      <c r="P792" s="153"/>
    </row>
    <row r="793">
      <c r="P793" s="153"/>
    </row>
    <row r="794">
      <c r="P794" s="153"/>
    </row>
    <row r="795">
      <c r="P795" s="153"/>
    </row>
    <row r="796">
      <c r="P796" s="153"/>
    </row>
    <row r="797">
      <c r="P797" s="153"/>
    </row>
    <row r="798">
      <c r="P798" s="153"/>
    </row>
    <row r="799">
      <c r="P799" s="153"/>
    </row>
    <row r="800">
      <c r="P800" s="153"/>
    </row>
    <row r="801">
      <c r="P801" s="153"/>
    </row>
    <row r="802">
      <c r="P802" s="153"/>
    </row>
    <row r="803">
      <c r="P803" s="153"/>
    </row>
    <row r="804">
      <c r="P804" s="153"/>
    </row>
    <row r="805">
      <c r="P805" s="153"/>
    </row>
    <row r="806">
      <c r="P806" s="153"/>
    </row>
    <row r="807">
      <c r="P807" s="153"/>
    </row>
    <row r="808">
      <c r="P808" s="153"/>
    </row>
    <row r="809">
      <c r="P809" s="153"/>
    </row>
    <row r="810">
      <c r="P810" s="153"/>
    </row>
    <row r="811">
      <c r="P811" s="153"/>
    </row>
    <row r="812">
      <c r="P812" s="153"/>
    </row>
    <row r="813">
      <c r="P813" s="153"/>
    </row>
    <row r="814">
      <c r="P814" s="153"/>
    </row>
    <row r="815">
      <c r="P815" s="153"/>
    </row>
    <row r="816">
      <c r="P816" s="153"/>
    </row>
    <row r="817">
      <c r="P817" s="153"/>
    </row>
    <row r="818">
      <c r="P818" s="153"/>
    </row>
    <row r="819">
      <c r="P819" s="153"/>
    </row>
    <row r="820">
      <c r="P820" s="153"/>
    </row>
    <row r="821">
      <c r="P821" s="153"/>
    </row>
    <row r="822">
      <c r="P822" s="153"/>
    </row>
    <row r="823">
      <c r="P823" s="153"/>
    </row>
    <row r="824">
      <c r="P824" s="153"/>
    </row>
    <row r="825">
      <c r="P825" s="153"/>
    </row>
    <row r="826">
      <c r="P826" s="153"/>
    </row>
    <row r="827">
      <c r="P827" s="153"/>
    </row>
    <row r="828">
      <c r="P828" s="153"/>
    </row>
    <row r="829">
      <c r="P829" s="153"/>
    </row>
    <row r="830">
      <c r="P830" s="153"/>
    </row>
    <row r="831">
      <c r="P831" s="153"/>
    </row>
    <row r="832">
      <c r="P832" s="153"/>
    </row>
    <row r="833">
      <c r="P833" s="153"/>
    </row>
    <row r="834">
      <c r="P834" s="153"/>
    </row>
    <row r="835">
      <c r="P835" s="153"/>
    </row>
    <row r="836">
      <c r="P836" s="153"/>
    </row>
    <row r="837">
      <c r="P837" s="153"/>
    </row>
    <row r="838">
      <c r="P838" s="153"/>
    </row>
    <row r="839">
      <c r="P839" s="153"/>
    </row>
    <row r="840">
      <c r="P840" s="153"/>
    </row>
    <row r="841">
      <c r="P841" s="153"/>
    </row>
    <row r="842">
      <c r="P842" s="153"/>
    </row>
    <row r="843">
      <c r="P843" s="153"/>
    </row>
    <row r="844">
      <c r="P844" s="153"/>
    </row>
    <row r="845">
      <c r="P845" s="153"/>
    </row>
    <row r="846">
      <c r="P846" s="153"/>
    </row>
    <row r="847">
      <c r="P847" s="153"/>
    </row>
    <row r="848">
      <c r="P848" s="153"/>
    </row>
    <row r="849">
      <c r="P849" s="153"/>
    </row>
    <row r="850">
      <c r="P850" s="153"/>
    </row>
    <row r="851">
      <c r="P851" s="153"/>
    </row>
    <row r="852">
      <c r="P852" s="153"/>
    </row>
    <row r="853">
      <c r="P853" s="153"/>
    </row>
    <row r="854">
      <c r="P854" s="153"/>
    </row>
    <row r="855">
      <c r="P855" s="153"/>
    </row>
    <row r="856">
      <c r="P856" s="153"/>
    </row>
    <row r="857">
      <c r="P857" s="153"/>
    </row>
    <row r="858">
      <c r="P858" s="153"/>
    </row>
    <row r="859">
      <c r="P859" s="153"/>
    </row>
    <row r="860">
      <c r="P860" s="153"/>
    </row>
    <row r="861">
      <c r="P861" s="153"/>
    </row>
    <row r="862">
      <c r="P862" s="153"/>
    </row>
    <row r="863">
      <c r="P863" s="153"/>
    </row>
    <row r="864">
      <c r="P864" s="153"/>
    </row>
    <row r="865">
      <c r="P865" s="153"/>
    </row>
    <row r="866">
      <c r="P866" s="153"/>
    </row>
    <row r="867">
      <c r="P867" s="153"/>
    </row>
    <row r="868">
      <c r="P868" s="153"/>
    </row>
    <row r="869">
      <c r="P869" s="153"/>
    </row>
    <row r="870">
      <c r="P870" s="153"/>
    </row>
    <row r="871">
      <c r="P871" s="153"/>
    </row>
    <row r="872">
      <c r="P872" s="153"/>
    </row>
    <row r="873">
      <c r="P873" s="153"/>
    </row>
    <row r="874">
      <c r="P874" s="153"/>
    </row>
    <row r="875">
      <c r="P875" s="153"/>
    </row>
    <row r="876">
      <c r="P876" s="153"/>
    </row>
    <row r="877">
      <c r="P877" s="153"/>
    </row>
    <row r="878">
      <c r="P878" s="153"/>
    </row>
    <row r="879">
      <c r="P879" s="153"/>
    </row>
    <row r="880">
      <c r="P880" s="153"/>
    </row>
    <row r="881">
      <c r="P881" s="153"/>
    </row>
    <row r="882">
      <c r="P882" s="153"/>
    </row>
    <row r="883">
      <c r="P883" s="153"/>
    </row>
    <row r="884">
      <c r="P884" s="153"/>
    </row>
    <row r="885">
      <c r="P885" s="153"/>
    </row>
    <row r="886">
      <c r="P886" s="153"/>
    </row>
    <row r="887">
      <c r="P887" s="153"/>
    </row>
    <row r="888">
      <c r="P888" s="153"/>
    </row>
    <row r="889">
      <c r="P889" s="153"/>
    </row>
    <row r="890">
      <c r="P890" s="153"/>
    </row>
    <row r="891">
      <c r="P891" s="153"/>
    </row>
    <row r="892">
      <c r="P892" s="153"/>
    </row>
    <row r="893">
      <c r="P893" s="153"/>
    </row>
    <row r="894">
      <c r="P894" s="153"/>
    </row>
    <row r="895">
      <c r="P895" s="153"/>
    </row>
    <row r="896">
      <c r="P896" s="153"/>
    </row>
    <row r="897">
      <c r="P897" s="153"/>
    </row>
    <row r="898">
      <c r="P898" s="153"/>
    </row>
    <row r="899">
      <c r="P899" s="153"/>
    </row>
    <row r="900">
      <c r="P900" s="153"/>
    </row>
    <row r="901">
      <c r="P901" s="153"/>
    </row>
    <row r="902">
      <c r="P902" s="153"/>
    </row>
    <row r="903">
      <c r="P903" s="153"/>
    </row>
    <row r="904">
      <c r="P904" s="153"/>
    </row>
    <row r="905">
      <c r="P905" s="153"/>
    </row>
    <row r="906">
      <c r="P906" s="153"/>
    </row>
    <row r="907">
      <c r="P907" s="153"/>
    </row>
    <row r="908">
      <c r="P908" s="153"/>
    </row>
    <row r="909">
      <c r="P909" s="153"/>
    </row>
    <row r="910">
      <c r="P910" s="153"/>
    </row>
    <row r="911">
      <c r="P911" s="153"/>
    </row>
    <row r="912">
      <c r="P912" s="153"/>
    </row>
    <row r="913">
      <c r="P913" s="153"/>
    </row>
    <row r="914">
      <c r="P914" s="153"/>
    </row>
    <row r="915">
      <c r="P915" s="153"/>
    </row>
    <row r="916">
      <c r="P916" s="153"/>
    </row>
    <row r="917">
      <c r="P917" s="153"/>
    </row>
    <row r="918">
      <c r="P918" s="153"/>
    </row>
    <row r="919">
      <c r="P919" s="153"/>
    </row>
    <row r="920">
      <c r="P920" s="153"/>
    </row>
    <row r="921">
      <c r="P921" s="153"/>
    </row>
    <row r="922">
      <c r="P922" s="153"/>
    </row>
    <row r="923">
      <c r="P923" s="153"/>
    </row>
    <row r="924">
      <c r="P924" s="153"/>
    </row>
    <row r="925">
      <c r="P925" s="153"/>
    </row>
    <row r="926">
      <c r="P926" s="153"/>
    </row>
    <row r="927">
      <c r="P927" s="153"/>
    </row>
    <row r="928">
      <c r="P928" s="153"/>
    </row>
    <row r="929">
      <c r="P929" s="153"/>
    </row>
    <row r="930">
      <c r="P930" s="153"/>
    </row>
    <row r="931">
      <c r="P931" s="153"/>
    </row>
    <row r="932">
      <c r="P932" s="153"/>
    </row>
    <row r="933">
      <c r="P933" s="153"/>
    </row>
    <row r="934">
      <c r="P934" s="153"/>
    </row>
    <row r="935">
      <c r="P935" s="153"/>
    </row>
    <row r="936">
      <c r="P936" s="153"/>
    </row>
    <row r="937">
      <c r="P937" s="153"/>
    </row>
    <row r="938">
      <c r="P938" s="153"/>
    </row>
    <row r="939">
      <c r="P939" s="153"/>
    </row>
    <row r="940">
      <c r="P940" s="153"/>
    </row>
    <row r="941">
      <c r="P941" s="153"/>
    </row>
    <row r="942">
      <c r="P942" s="153"/>
    </row>
    <row r="943">
      <c r="P943" s="153"/>
    </row>
    <row r="944">
      <c r="P944" s="153"/>
    </row>
    <row r="945">
      <c r="P945" s="153"/>
    </row>
    <row r="946">
      <c r="P946" s="153"/>
    </row>
    <row r="947">
      <c r="P947" s="153"/>
    </row>
    <row r="948">
      <c r="P948" s="153"/>
    </row>
    <row r="949">
      <c r="P949" s="153"/>
    </row>
    <row r="950">
      <c r="P950" s="153"/>
    </row>
    <row r="951">
      <c r="P951" s="153"/>
    </row>
    <row r="952">
      <c r="P952" s="153"/>
    </row>
    <row r="953">
      <c r="P953" s="153"/>
    </row>
    <row r="954">
      <c r="P954" s="153"/>
    </row>
    <row r="955">
      <c r="P955" s="153"/>
    </row>
    <row r="956">
      <c r="P956" s="153"/>
    </row>
    <row r="957">
      <c r="P957" s="153"/>
    </row>
    <row r="958">
      <c r="P958" s="153"/>
    </row>
    <row r="959">
      <c r="P959" s="153"/>
    </row>
    <row r="960">
      <c r="P960" s="153"/>
    </row>
    <row r="961">
      <c r="P961" s="153"/>
    </row>
    <row r="962">
      <c r="P962" s="153"/>
    </row>
    <row r="963">
      <c r="P963" s="153"/>
    </row>
    <row r="964">
      <c r="P964" s="153"/>
    </row>
    <row r="965">
      <c r="P965" s="153"/>
    </row>
    <row r="966">
      <c r="P966" s="153"/>
    </row>
    <row r="967">
      <c r="P967" s="153"/>
    </row>
    <row r="968">
      <c r="P968" s="153"/>
    </row>
    <row r="969">
      <c r="P969" s="153"/>
    </row>
    <row r="970">
      <c r="P970" s="153"/>
    </row>
    <row r="971">
      <c r="P971" s="153"/>
    </row>
    <row r="972">
      <c r="P972" s="153"/>
    </row>
    <row r="973">
      <c r="P973" s="153"/>
    </row>
    <row r="974">
      <c r="P974" s="153"/>
    </row>
    <row r="975">
      <c r="P975" s="153"/>
    </row>
    <row r="976">
      <c r="P976" s="153"/>
    </row>
    <row r="977">
      <c r="P977" s="153"/>
    </row>
    <row r="978">
      <c r="P978" s="153"/>
    </row>
    <row r="979">
      <c r="P979" s="153"/>
    </row>
    <row r="980">
      <c r="P980" s="153"/>
    </row>
    <row r="981">
      <c r="P981" s="153"/>
    </row>
    <row r="982">
      <c r="P982" s="153"/>
    </row>
    <row r="983">
      <c r="P983" s="153"/>
    </row>
    <row r="984">
      <c r="P984" s="153"/>
    </row>
    <row r="985">
      <c r="P985" s="153"/>
    </row>
    <row r="986">
      <c r="P986" s="153"/>
    </row>
    <row r="987">
      <c r="P987" s="153"/>
    </row>
    <row r="988">
      <c r="P988" s="153"/>
    </row>
    <row r="989">
      <c r="P989" s="153"/>
    </row>
    <row r="990">
      <c r="P990" s="153"/>
    </row>
    <row r="991">
      <c r="P991" s="153"/>
    </row>
    <row r="992">
      <c r="P992" s="153"/>
    </row>
    <row r="993">
      <c r="P993" s="153"/>
    </row>
    <row r="994">
      <c r="P994" s="153"/>
    </row>
    <row r="995">
      <c r="P995" s="153"/>
    </row>
    <row r="996">
      <c r="P996" s="153"/>
    </row>
    <row r="997">
      <c r="P997" s="153"/>
    </row>
    <row r="998">
      <c r="P998" s="153"/>
    </row>
    <row r="999">
      <c r="P999" s="153"/>
    </row>
    <row r="1000">
      <c r="P1000" s="153"/>
    </row>
  </sheetData>
  <dataValidations>
    <dataValidation type="list" allowBlank="1" showErrorMessage="1" sqref="P1:P1000">
      <formula1>"IT Area,FMG Cabinet,WFH,Mezzanine,Transferred,Deployed Onsite,C3-6 2nd floor,IT storage"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63"/>
      <c r="AU1" s="11"/>
      <c r="AV1" s="11"/>
      <c r="AW1" s="11"/>
      <c r="AX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64"/>
      <c r="AV2" s="165" t="s">
        <v>4531</v>
      </c>
      <c r="AW2" s="166" t="s">
        <v>3621</v>
      </c>
      <c r="AX2" s="166" t="s">
        <v>3648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4">
        <v>7.0</v>
      </c>
      <c r="AP3" s="11"/>
      <c r="AQ3" s="124">
        <v>8.0</v>
      </c>
      <c r="AR3" s="124">
        <v>8.0</v>
      </c>
      <c r="AS3" s="11"/>
      <c r="AT3" s="124">
        <v>8.0</v>
      </c>
      <c r="AU3" s="167"/>
      <c r="AW3" s="16" t="s">
        <v>1232</v>
      </c>
      <c r="AX3" s="16" t="s">
        <v>1253</v>
      </c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4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68" t="s">
        <v>4532</v>
      </c>
      <c r="AR4" s="169"/>
      <c r="AS4" s="11"/>
      <c r="AT4" s="11"/>
      <c r="AU4" s="170" t="s">
        <v>3606</v>
      </c>
      <c r="AV4" s="171"/>
      <c r="AW4" s="17"/>
      <c r="AX4" s="17"/>
    </row>
    <row r="5">
      <c r="A5" s="172"/>
      <c r="B5" s="172"/>
      <c r="C5" s="173"/>
      <c r="D5" s="172"/>
      <c r="E5" s="172"/>
      <c r="F5" s="172"/>
      <c r="G5" s="174"/>
      <c r="H5" s="172"/>
      <c r="I5" s="175"/>
      <c r="J5" s="175"/>
      <c r="K5" s="172"/>
      <c r="L5" s="172"/>
      <c r="M5" s="172"/>
      <c r="N5" s="8"/>
      <c r="O5" s="176"/>
      <c r="P5" s="177" t="s">
        <v>4533</v>
      </c>
      <c r="Q5" s="178"/>
      <c r="R5" s="178"/>
      <c r="S5" s="179" t="s">
        <v>4532</v>
      </c>
      <c r="T5" s="180"/>
      <c r="U5" s="178"/>
      <c r="V5" s="181"/>
      <c r="W5" s="172"/>
      <c r="X5" s="172"/>
      <c r="Y5" s="172"/>
      <c r="Z5" s="172"/>
      <c r="AA5" s="174"/>
      <c r="AB5" s="172"/>
      <c r="AC5" s="172"/>
      <c r="AD5" s="175"/>
      <c r="AE5" s="172"/>
      <c r="AF5" s="172"/>
      <c r="AG5" s="172"/>
      <c r="AH5" s="182" t="s">
        <v>3141</v>
      </c>
      <c r="AI5" s="172"/>
      <c r="AJ5" s="172"/>
      <c r="AK5" s="172"/>
      <c r="AL5" s="174"/>
      <c r="AM5" s="172"/>
      <c r="AN5" s="172"/>
      <c r="AO5" s="183"/>
      <c r="AP5" s="184"/>
      <c r="AQ5" s="185" t="s">
        <v>4074</v>
      </c>
      <c r="AR5" s="185" t="s">
        <v>4084</v>
      </c>
      <c r="AS5" s="184"/>
      <c r="AT5" s="186" t="s">
        <v>4534</v>
      </c>
      <c r="AU5" s="187" t="s">
        <v>1229</v>
      </c>
      <c r="AV5" s="171"/>
      <c r="AW5" s="188" t="s">
        <v>3624</v>
      </c>
      <c r="AX5" s="188" t="s">
        <v>3645</v>
      </c>
    </row>
    <row r="6">
      <c r="A6" s="11"/>
      <c r="B6" s="11"/>
      <c r="C6" s="189"/>
      <c r="D6" s="11"/>
      <c r="E6" s="11"/>
      <c r="F6" s="190"/>
      <c r="G6" s="11"/>
      <c r="H6" s="191"/>
      <c r="I6" s="191"/>
      <c r="J6" s="191"/>
      <c r="K6" s="11"/>
      <c r="L6" s="11"/>
      <c r="M6" s="11"/>
      <c r="N6" s="11"/>
      <c r="O6" s="192"/>
      <c r="Q6" s="190"/>
      <c r="R6" s="190"/>
      <c r="S6" s="190"/>
      <c r="T6" s="190"/>
      <c r="U6" s="190"/>
      <c r="V6" s="193"/>
      <c r="W6" s="190"/>
      <c r="X6" s="190"/>
      <c r="Y6" s="190"/>
      <c r="Z6" s="190"/>
      <c r="AA6" s="194"/>
      <c r="AB6" s="11"/>
      <c r="AC6" s="11"/>
      <c r="AD6" s="191"/>
      <c r="AE6" s="11"/>
      <c r="AF6" s="11"/>
      <c r="AG6" s="11"/>
      <c r="AH6" s="11"/>
      <c r="AI6" s="11"/>
      <c r="AJ6" s="11"/>
      <c r="AK6" s="11"/>
      <c r="AL6" s="171"/>
      <c r="AM6" s="11"/>
      <c r="AN6" s="11"/>
      <c r="AO6" s="195"/>
      <c r="AP6" s="17"/>
      <c r="AQ6" s="102">
        <v>35801.0</v>
      </c>
      <c r="AR6" s="16" t="s">
        <v>776</v>
      </c>
      <c r="AS6" s="17"/>
      <c r="AT6" s="196"/>
      <c r="AU6" s="197"/>
      <c r="AV6" s="198"/>
      <c r="AW6" s="16" t="s">
        <v>1211</v>
      </c>
      <c r="AX6" s="16" t="s">
        <v>1247</v>
      </c>
    </row>
    <row r="7">
      <c r="A7" s="11"/>
      <c r="B7" s="11"/>
      <c r="C7" s="199"/>
      <c r="D7" s="11"/>
      <c r="E7" s="200"/>
      <c r="F7" s="200"/>
      <c r="G7" s="200"/>
      <c r="H7" s="191"/>
      <c r="I7" s="191"/>
      <c r="J7" s="191"/>
      <c r="K7" s="11"/>
      <c r="L7" s="11"/>
      <c r="M7" s="11"/>
      <c r="N7" s="11"/>
      <c r="O7" s="192"/>
      <c r="P7" s="11"/>
      <c r="Q7" s="201"/>
      <c r="R7" s="190"/>
      <c r="S7" s="190"/>
      <c r="T7" s="190"/>
      <c r="U7" s="190"/>
      <c r="V7" s="193"/>
      <c r="W7" s="190"/>
      <c r="X7" s="190"/>
      <c r="Y7" s="190"/>
      <c r="Z7" s="190"/>
      <c r="AA7" s="194"/>
      <c r="AB7" s="11"/>
      <c r="AC7" s="11"/>
      <c r="AD7" s="202" t="s">
        <v>4535</v>
      </c>
      <c r="AE7" s="11"/>
      <c r="AF7" s="11"/>
      <c r="AG7" s="11"/>
      <c r="AH7" s="11"/>
      <c r="AI7" s="11"/>
      <c r="AJ7" s="11"/>
      <c r="AK7" s="11"/>
      <c r="AL7" s="171"/>
      <c r="AM7" s="11"/>
      <c r="AN7" s="11"/>
      <c r="AO7" s="203"/>
      <c r="AP7" s="17"/>
      <c r="AQ7" s="16" t="s">
        <v>4536</v>
      </c>
      <c r="AR7" s="16" t="s">
        <v>4537</v>
      </c>
      <c r="AS7" s="17"/>
      <c r="AT7" s="204"/>
      <c r="AU7" s="205" t="s">
        <v>3609</v>
      </c>
      <c r="AV7" s="198"/>
      <c r="AW7" s="17"/>
      <c r="AX7" s="17"/>
    </row>
    <row r="8">
      <c r="A8" s="11"/>
      <c r="B8" s="11"/>
      <c r="C8" s="206" t="s">
        <v>4304</v>
      </c>
      <c r="D8" s="207" t="s">
        <v>4306</v>
      </c>
      <c r="E8" s="208" t="s">
        <v>4308</v>
      </c>
      <c r="F8" s="208" t="s">
        <v>4310</v>
      </c>
      <c r="G8" s="208" t="s">
        <v>4312</v>
      </c>
      <c r="H8" s="207" t="s">
        <v>4313</v>
      </c>
      <c r="I8" s="207" t="s">
        <v>4314</v>
      </c>
      <c r="J8" s="11"/>
      <c r="K8" s="209" t="s">
        <v>4251</v>
      </c>
      <c r="L8" s="210" t="s">
        <v>3883</v>
      </c>
      <c r="M8" s="210" t="s">
        <v>4253</v>
      </c>
      <c r="N8" s="210" t="s">
        <v>3679</v>
      </c>
      <c r="O8" s="211" t="s">
        <v>4255</v>
      </c>
      <c r="P8" s="11"/>
      <c r="Q8" s="212" t="s">
        <v>4010</v>
      </c>
      <c r="R8" s="213" t="s">
        <v>4011</v>
      </c>
      <c r="S8" s="213" t="s">
        <v>4013</v>
      </c>
      <c r="T8" s="213" t="s">
        <v>3908</v>
      </c>
      <c r="U8" s="213" t="s">
        <v>3910</v>
      </c>
      <c r="V8" s="214" t="s">
        <v>4016</v>
      </c>
      <c r="W8" s="215" t="s">
        <v>3975</v>
      </c>
      <c r="X8" s="216" t="s">
        <v>3976</v>
      </c>
      <c r="Y8" s="216" t="s">
        <v>3977</v>
      </c>
      <c r="Z8" s="216" t="s">
        <v>3978</v>
      </c>
      <c r="AA8" s="216" t="s">
        <v>3979</v>
      </c>
      <c r="AB8" s="11"/>
      <c r="AC8" s="11"/>
      <c r="AD8" s="188" t="s">
        <v>4133</v>
      </c>
      <c r="AE8" s="188" t="s">
        <v>4134</v>
      </c>
      <c r="AF8" s="188" t="s">
        <v>4135</v>
      </c>
      <c r="AG8" s="188" t="s">
        <v>4136</v>
      </c>
      <c r="AH8" s="188" t="s">
        <v>4137</v>
      </c>
      <c r="AI8" s="188" t="s">
        <v>4138</v>
      </c>
      <c r="AJ8" s="188" t="s">
        <v>4139</v>
      </c>
      <c r="AK8" s="188" t="s">
        <v>4140</v>
      </c>
      <c r="AL8" s="188" t="s">
        <v>4141</v>
      </c>
      <c r="AM8" s="11"/>
      <c r="AN8" s="11"/>
      <c r="AO8" s="217" t="s">
        <v>4061</v>
      </c>
      <c r="AP8" s="17"/>
      <c r="AQ8" s="213" t="s">
        <v>4073</v>
      </c>
      <c r="AR8" s="213" t="s">
        <v>4083</v>
      </c>
      <c r="AS8" s="17"/>
      <c r="AT8" s="218" t="s">
        <v>4085</v>
      </c>
      <c r="AU8" s="187" t="s">
        <v>1256</v>
      </c>
      <c r="AV8" s="171"/>
      <c r="AW8" s="188" t="s">
        <v>3627</v>
      </c>
      <c r="AX8" s="188" t="s">
        <v>3642</v>
      </c>
    </row>
    <row r="9">
      <c r="A9" s="11"/>
      <c r="B9" s="11"/>
      <c r="C9" s="219" t="s">
        <v>4538</v>
      </c>
      <c r="D9" s="220" t="s">
        <v>4539</v>
      </c>
      <c r="E9" s="220" t="s">
        <v>4540</v>
      </c>
      <c r="F9" s="220" t="s">
        <v>4541</v>
      </c>
      <c r="G9" s="220" t="s">
        <v>4542</v>
      </c>
      <c r="H9" s="220" t="s">
        <v>4543</v>
      </c>
      <c r="I9" s="220" t="s">
        <v>4544</v>
      </c>
      <c r="J9" s="11"/>
      <c r="K9" s="221" t="s">
        <v>4545</v>
      </c>
      <c r="L9" s="220" t="s">
        <v>4546</v>
      </c>
      <c r="M9" s="220" t="s">
        <v>4547</v>
      </c>
      <c r="N9" s="220" t="s">
        <v>4548</v>
      </c>
      <c r="O9" s="222"/>
      <c r="P9" s="11"/>
      <c r="Q9" s="17"/>
      <c r="R9" s="102" t="s">
        <v>4549</v>
      </c>
      <c r="S9" s="102" t="s">
        <v>4550</v>
      </c>
      <c r="T9" s="102" t="s">
        <v>4551</v>
      </c>
      <c r="U9" s="102" t="s">
        <v>4552</v>
      </c>
      <c r="V9" s="223" t="s">
        <v>4553</v>
      </c>
      <c r="W9" s="224"/>
      <c r="X9" s="225" t="s">
        <v>4554</v>
      </c>
      <c r="Y9" s="8"/>
      <c r="Z9" s="8"/>
      <c r="AA9" s="8"/>
      <c r="AB9" s="11"/>
      <c r="AC9" s="11"/>
      <c r="AD9" s="102" t="s">
        <v>4555</v>
      </c>
      <c r="AE9" s="16" t="s">
        <v>4556</v>
      </c>
      <c r="AF9" s="16" t="s">
        <v>4557</v>
      </c>
      <c r="AG9" s="16" t="s">
        <v>4558</v>
      </c>
      <c r="AH9" s="16" t="s">
        <v>4559</v>
      </c>
      <c r="AI9" s="16" t="s">
        <v>4560</v>
      </c>
      <c r="AJ9" s="16" t="s">
        <v>4561</v>
      </c>
      <c r="AK9" s="16" t="s">
        <v>4562</v>
      </c>
      <c r="AL9" s="16" t="s">
        <v>4563</v>
      </c>
      <c r="AM9" s="11"/>
      <c r="AN9" s="11"/>
      <c r="AO9" s="226" t="s">
        <v>4564</v>
      </c>
      <c r="AP9" s="17"/>
      <c r="AQ9" s="225">
        <v>35802.0</v>
      </c>
      <c r="AR9" s="227" t="s">
        <v>818</v>
      </c>
      <c r="AS9" s="17"/>
      <c r="AT9" s="228" t="s">
        <v>821</v>
      </c>
      <c r="AU9" s="197"/>
      <c r="AV9" s="198"/>
      <c r="AW9" s="6" t="s">
        <v>1217</v>
      </c>
      <c r="AX9" s="16" t="s">
        <v>1338</v>
      </c>
    </row>
    <row r="10">
      <c r="A10" s="11"/>
      <c r="B10" s="11"/>
      <c r="C10" s="229" t="s">
        <v>1456</v>
      </c>
      <c r="D10" s="30" t="s">
        <v>4564</v>
      </c>
      <c r="E10" s="30" t="s">
        <v>4564</v>
      </c>
      <c r="F10" s="30" t="s">
        <v>4564</v>
      </c>
      <c r="G10" s="30" t="s">
        <v>4564</v>
      </c>
      <c r="H10" s="30" t="s">
        <v>4564</v>
      </c>
      <c r="I10" s="106" t="s">
        <v>495</v>
      </c>
      <c r="J10" s="11"/>
      <c r="K10" s="16" t="s">
        <v>1713</v>
      </c>
      <c r="L10" s="16" t="s">
        <v>331</v>
      </c>
      <c r="M10" s="16" t="s">
        <v>225</v>
      </c>
      <c r="N10" s="16" t="s">
        <v>1465</v>
      </c>
      <c r="O10" s="230" t="s">
        <v>4564</v>
      </c>
      <c r="P10" s="11"/>
      <c r="Q10" s="16" t="s">
        <v>516</v>
      </c>
      <c r="R10" s="16" t="s">
        <v>548</v>
      </c>
      <c r="S10" s="16">
        <v>35227.0</v>
      </c>
      <c r="T10" s="16" t="s">
        <v>513</v>
      </c>
      <c r="U10" s="16" t="s">
        <v>528</v>
      </c>
      <c r="V10" s="231">
        <v>35252.0</v>
      </c>
      <c r="W10" s="220" t="s">
        <v>1513</v>
      </c>
      <c r="X10" s="225" t="s">
        <v>1520</v>
      </c>
      <c r="Y10" s="225" t="s">
        <v>694</v>
      </c>
      <c r="Z10" s="225" t="s">
        <v>731</v>
      </c>
      <c r="AA10" s="232" t="s">
        <v>1772</v>
      </c>
      <c r="AB10" s="11"/>
      <c r="AC10" s="11"/>
      <c r="AD10" s="16" t="s">
        <v>4565</v>
      </c>
      <c r="AE10" s="106" t="s">
        <v>1501</v>
      </c>
      <c r="AF10" s="16" t="s">
        <v>641</v>
      </c>
      <c r="AG10" s="16" t="s">
        <v>698</v>
      </c>
      <c r="AH10" s="16" t="s">
        <v>700</v>
      </c>
      <c r="AI10" s="16" t="s">
        <v>702</v>
      </c>
      <c r="AJ10" s="16" t="s">
        <v>704</v>
      </c>
      <c r="AK10" s="16" t="s">
        <v>706</v>
      </c>
      <c r="AL10" s="16" t="s">
        <v>708</v>
      </c>
      <c r="AM10" s="11"/>
      <c r="AN10" s="11"/>
      <c r="AO10" s="187" t="s">
        <v>4566</v>
      </c>
      <c r="AP10" s="233"/>
      <c r="AQ10" s="105" t="s">
        <v>4567</v>
      </c>
      <c r="AR10" s="105" t="s">
        <v>4568</v>
      </c>
      <c r="AS10" s="233"/>
      <c r="AT10" s="234" t="s">
        <v>4569</v>
      </c>
      <c r="AU10" s="205" t="s">
        <v>3612</v>
      </c>
      <c r="AV10" s="198"/>
      <c r="AW10" s="17"/>
      <c r="AX10" s="17"/>
    </row>
    <row r="11">
      <c r="A11" s="11"/>
      <c r="B11" s="11"/>
      <c r="C11" s="235" t="s">
        <v>4570</v>
      </c>
      <c r="D11" s="106" t="s">
        <v>4570</v>
      </c>
      <c r="E11" s="106" t="s">
        <v>4570</v>
      </c>
      <c r="F11" s="106" t="s">
        <v>4570</v>
      </c>
      <c r="G11" s="106" t="s">
        <v>4570</v>
      </c>
      <c r="H11" s="106" t="s">
        <v>4570</v>
      </c>
      <c r="I11" s="106" t="s">
        <v>4571</v>
      </c>
      <c r="J11" s="11"/>
      <c r="K11" s="105" t="s">
        <v>4572</v>
      </c>
      <c r="L11" s="106" t="s">
        <v>4572</v>
      </c>
      <c r="M11" s="106" t="s">
        <v>4572</v>
      </c>
      <c r="N11" s="106" t="s">
        <v>4572</v>
      </c>
      <c r="O11" s="231" t="s">
        <v>4572</v>
      </c>
      <c r="P11" s="11"/>
      <c r="Q11" s="6" t="s">
        <v>4573</v>
      </c>
      <c r="R11" s="6" t="s">
        <v>4573</v>
      </c>
      <c r="S11" s="6" t="s">
        <v>4573</v>
      </c>
      <c r="T11" s="6" t="s">
        <v>4573</v>
      </c>
      <c r="U11" s="6" t="s">
        <v>4573</v>
      </c>
      <c r="V11" s="236" t="s">
        <v>4573</v>
      </c>
      <c r="W11" s="237" t="s">
        <v>3141</v>
      </c>
      <c r="X11" s="225" t="s">
        <v>3141</v>
      </c>
      <c r="Y11" s="225" t="s">
        <v>3141</v>
      </c>
      <c r="Z11" s="225" t="s">
        <v>3141</v>
      </c>
      <c r="AA11" s="225" t="s">
        <v>3141</v>
      </c>
      <c r="AB11" s="11"/>
      <c r="AC11" s="11"/>
      <c r="AD11" s="16" t="s">
        <v>3141</v>
      </c>
      <c r="AE11" s="16" t="s">
        <v>3141</v>
      </c>
      <c r="AF11" s="16" t="s">
        <v>3141</v>
      </c>
      <c r="AG11" s="16" t="s">
        <v>3141</v>
      </c>
      <c r="AH11" s="16" t="s">
        <v>3141</v>
      </c>
      <c r="AI11" s="16" t="s">
        <v>3141</v>
      </c>
      <c r="AJ11" s="16" t="s">
        <v>3141</v>
      </c>
      <c r="AK11" s="16" t="s">
        <v>3141</v>
      </c>
      <c r="AL11" s="16" t="s">
        <v>3141</v>
      </c>
      <c r="AM11" s="11"/>
      <c r="AN11" s="11"/>
      <c r="AO11" s="238"/>
      <c r="AP11" s="17"/>
      <c r="AQ11" s="17"/>
      <c r="AR11" s="17"/>
      <c r="AS11" s="17"/>
      <c r="AT11" s="239"/>
      <c r="AU11" s="187" t="s">
        <v>1334</v>
      </c>
      <c r="AV11" s="11"/>
      <c r="AW11" s="17"/>
      <c r="AX11" s="17"/>
    </row>
    <row r="12">
      <c r="A12" s="11"/>
      <c r="B12" s="11"/>
      <c r="C12" s="240"/>
      <c r="D12" s="107"/>
      <c r="E12" s="107"/>
      <c r="F12" s="107"/>
      <c r="G12" s="107"/>
      <c r="H12" s="107"/>
      <c r="I12" s="107"/>
      <c r="J12" s="11"/>
      <c r="K12" s="233"/>
      <c r="L12" s="106" t="s">
        <v>4574</v>
      </c>
      <c r="M12" s="107"/>
      <c r="N12" s="107"/>
      <c r="O12" s="222"/>
      <c r="P12" s="11"/>
      <c r="Q12" s="6" t="s">
        <v>4575</v>
      </c>
      <c r="R12" s="6" t="s">
        <v>4575</v>
      </c>
      <c r="S12" s="6" t="s">
        <v>4575</v>
      </c>
      <c r="T12" s="124" t="s">
        <v>4575</v>
      </c>
      <c r="U12" s="6" t="s">
        <v>4575</v>
      </c>
      <c r="V12" s="236" t="s">
        <v>4575</v>
      </c>
      <c r="W12" s="224"/>
      <c r="X12" s="224"/>
      <c r="Y12" s="224"/>
      <c r="Z12" s="224"/>
      <c r="AA12" s="224"/>
      <c r="AB12" s="11"/>
      <c r="AC12" s="11"/>
      <c r="AD12" s="241"/>
      <c r="AE12" s="224"/>
      <c r="AF12" s="224"/>
      <c r="AG12" s="224"/>
      <c r="AH12" s="224"/>
      <c r="AI12" s="224"/>
      <c r="AJ12" s="224"/>
      <c r="AK12" s="224"/>
      <c r="AL12" s="224"/>
      <c r="AM12" s="11"/>
      <c r="AN12" s="11"/>
      <c r="AO12" s="170" t="s">
        <v>4058</v>
      </c>
      <c r="AP12" s="17"/>
      <c r="AQ12" s="188" t="s">
        <v>4071</v>
      </c>
      <c r="AR12" s="188" t="s">
        <v>4082</v>
      </c>
      <c r="AS12" s="17"/>
      <c r="AT12" s="242" t="s">
        <v>4086</v>
      </c>
      <c r="AU12" s="197"/>
      <c r="AV12" s="198"/>
      <c r="AW12" s="188" t="s">
        <v>3630</v>
      </c>
      <c r="AX12" s="188" t="s">
        <v>3639</v>
      </c>
    </row>
    <row r="13">
      <c r="A13" s="11"/>
      <c r="B13" s="11"/>
      <c r="C13" s="206" t="s">
        <v>4315</v>
      </c>
      <c r="D13" s="243" t="s">
        <v>4316</v>
      </c>
      <c r="E13" s="243" t="s">
        <v>4317</v>
      </c>
      <c r="F13" s="243" t="s">
        <v>4318</v>
      </c>
      <c r="G13" s="243" t="s">
        <v>4319</v>
      </c>
      <c r="H13" s="243" t="s">
        <v>4320</v>
      </c>
      <c r="I13" s="243" t="s">
        <v>4321</v>
      </c>
      <c r="J13" s="11"/>
      <c r="K13" s="244" t="s">
        <v>3864</v>
      </c>
      <c r="L13" s="245" t="s">
        <v>4257</v>
      </c>
      <c r="M13" s="245" t="s">
        <v>3868</v>
      </c>
      <c r="N13" s="245" t="s">
        <v>3871</v>
      </c>
      <c r="O13" s="246" t="s">
        <v>3885</v>
      </c>
      <c r="P13" s="11"/>
      <c r="Q13" s="213" t="s">
        <v>3913</v>
      </c>
      <c r="R13" s="213" t="s">
        <v>4017</v>
      </c>
      <c r="S13" s="213" t="s">
        <v>3917</v>
      </c>
      <c r="T13" s="213" t="s">
        <v>3919</v>
      </c>
      <c r="U13" s="213" t="s">
        <v>3921</v>
      </c>
      <c r="V13" s="247" t="s">
        <v>3922</v>
      </c>
      <c r="W13" s="248" t="s">
        <v>3980</v>
      </c>
      <c r="X13" s="248" t="s">
        <v>3981</v>
      </c>
      <c r="Y13" s="248" t="s">
        <v>3984</v>
      </c>
      <c r="Z13" s="248" t="s">
        <v>3985</v>
      </c>
      <c r="AA13" s="248" t="s">
        <v>3986</v>
      </c>
      <c r="AB13" s="11"/>
      <c r="AC13" s="11"/>
      <c r="AD13" s="249" t="s">
        <v>4029</v>
      </c>
      <c r="AE13" s="208" t="s">
        <v>4032</v>
      </c>
      <c r="AF13" s="208" t="s">
        <v>4142</v>
      </c>
      <c r="AG13" s="208" t="s">
        <v>4143</v>
      </c>
      <c r="AH13" s="208" t="s">
        <v>4144</v>
      </c>
      <c r="AI13" s="208" t="s">
        <v>4146</v>
      </c>
      <c r="AJ13" s="208" t="s">
        <v>4035</v>
      </c>
      <c r="AK13" s="208" t="s">
        <v>4147</v>
      </c>
      <c r="AL13" s="208" t="s">
        <v>4148</v>
      </c>
      <c r="AM13" s="11"/>
      <c r="AN13" s="250" t="s">
        <v>4532</v>
      </c>
      <c r="AO13" s="226" t="s">
        <v>4564</v>
      </c>
      <c r="AP13" s="17"/>
      <c r="AQ13" s="225">
        <v>35800.0</v>
      </c>
      <c r="AR13" s="9" t="s">
        <v>4564</v>
      </c>
      <c r="AS13" s="17"/>
      <c r="AT13" s="228" t="s">
        <v>824</v>
      </c>
      <c r="AU13" s="251"/>
      <c r="AV13" s="171"/>
      <c r="AW13" s="6" t="s">
        <v>1241</v>
      </c>
      <c r="AX13" s="16" t="s">
        <v>1226</v>
      </c>
    </row>
    <row r="14">
      <c r="A14" s="11"/>
      <c r="B14" s="11"/>
      <c r="C14" s="219" t="s">
        <v>4542</v>
      </c>
      <c r="D14" s="100" t="s">
        <v>4576</v>
      </c>
      <c r="E14" s="102" t="s">
        <v>4577</v>
      </c>
      <c r="F14" s="102" t="s">
        <v>4578</v>
      </c>
      <c r="G14" s="102" t="s">
        <v>4579</v>
      </c>
      <c r="H14" s="102" t="s">
        <v>4580</v>
      </c>
      <c r="I14" s="102" t="s">
        <v>4581</v>
      </c>
      <c r="J14" s="11"/>
      <c r="K14" s="102" t="s">
        <v>4582</v>
      </c>
      <c r="L14" s="102" t="s">
        <v>4583</v>
      </c>
      <c r="M14" s="102" t="s">
        <v>4584</v>
      </c>
      <c r="N14" s="220" t="s">
        <v>4585</v>
      </c>
      <c r="O14" s="223" t="s">
        <v>4586</v>
      </c>
      <c r="P14" s="11"/>
      <c r="Q14" s="102" t="s">
        <v>4587</v>
      </c>
      <c r="R14" s="102" t="s">
        <v>4588</v>
      </c>
      <c r="S14" s="102" t="s">
        <v>4589</v>
      </c>
      <c r="T14" s="102" t="s">
        <v>4590</v>
      </c>
      <c r="U14" s="102" t="s">
        <v>4591</v>
      </c>
      <c r="V14" s="252" t="s">
        <v>4592</v>
      </c>
      <c r="W14" s="237" t="s">
        <v>4593</v>
      </c>
      <c r="X14" s="225" t="s">
        <v>4594</v>
      </c>
      <c r="Y14" s="225" t="s">
        <v>4595</v>
      </c>
      <c r="Z14" s="225" t="s">
        <v>4596</v>
      </c>
      <c r="AA14" s="225" t="s">
        <v>4597</v>
      </c>
      <c r="AB14" s="11"/>
      <c r="AC14" s="11"/>
      <c r="AD14" s="221" t="s">
        <v>4598</v>
      </c>
      <c r="AE14" s="220" t="s">
        <v>4599</v>
      </c>
      <c r="AF14" s="220" t="s">
        <v>4600</v>
      </c>
      <c r="AG14" s="220" t="s">
        <v>4601</v>
      </c>
      <c r="AH14" s="220" t="s">
        <v>4602</v>
      </c>
      <c r="AI14" s="220" t="s">
        <v>4603</v>
      </c>
      <c r="AJ14" s="220" t="s">
        <v>4604</v>
      </c>
      <c r="AK14" s="220" t="s">
        <v>4605</v>
      </c>
      <c r="AL14" s="220" t="s">
        <v>4606</v>
      </c>
      <c r="AM14" s="11"/>
      <c r="AN14" s="253"/>
      <c r="AO14" s="254" t="s">
        <v>4536</v>
      </c>
      <c r="AP14" s="17"/>
      <c r="AQ14" s="16" t="s">
        <v>4607</v>
      </c>
      <c r="AR14" s="16" t="s">
        <v>4608</v>
      </c>
      <c r="AS14" s="17"/>
      <c r="AT14" s="255" t="s">
        <v>4609</v>
      </c>
      <c r="AU14" s="256" t="s">
        <v>3615</v>
      </c>
      <c r="AV14" s="11"/>
      <c r="AW14" s="17"/>
      <c r="AX14" s="17"/>
    </row>
    <row r="15">
      <c r="A15" s="124" t="s">
        <v>4610</v>
      </c>
      <c r="B15" s="11"/>
      <c r="C15" s="9" t="s">
        <v>4564</v>
      </c>
      <c r="D15" s="9" t="s">
        <v>4564</v>
      </c>
      <c r="E15" s="9" t="s">
        <v>4564</v>
      </c>
      <c r="F15" s="9" t="s">
        <v>4564</v>
      </c>
      <c r="G15" s="9" t="s">
        <v>4564</v>
      </c>
      <c r="H15" s="9" t="s">
        <v>4564</v>
      </c>
      <c r="I15" s="9" t="s">
        <v>4564</v>
      </c>
      <c r="J15" s="11"/>
      <c r="K15" s="257" t="s">
        <v>390</v>
      </c>
      <c r="L15" s="16" t="s">
        <v>1715</v>
      </c>
      <c r="M15" s="16" t="s">
        <v>1760</v>
      </c>
      <c r="N15" s="16" t="s">
        <v>1762</v>
      </c>
      <c r="O15" s="231" t="s">
        <v>1764</v>
      </c>
      <c r="P15" s="11"/>
      <c r="Q15" s="9" t="s">
        <v>4564</v>
      </c>
      <c r="R15" s="9" t="s">
        <v>4564</v>
      </c>
      <c r="S15" s="9" t="s">
        <v>4564</v>
      </c>
      <c r="T15" s="9" t="s">
        <v>4564</v>
      </c>
      <c r="U15" s="9" t="s">
        <v>4564</v>
      </c>
      <c r="V15" s="258" t="s">
        <v>4564</v>
      </c>
      <c r="W15" s="26" t="s">
        <v>4611</v>
      </c>
      <c r="X15" s="9" t="s">
        <v>4612</v>
      </c>
      <c r="Y15" s="16" t="s">
        <v>677</v>
      </c>
      <c r="Z15" s="16" t="s">
        <v>308</v>
      </c>
      <c r="AA15" s="16" t="s">
        <v>308</v>
      </c>
      <c r="AB15" s="11"/>
      <c r="AC15" s="11"/>
      <c r="AD15" s="16" t="s">
        <v>1775</v>
      </c>
      <c r="AE15" s="16" t="s">
        <v>1777</v>
      </c>
      <c r="AF15" s="106" t="s">
        <v>645</v>
      </c>
      <c r="AG15" s="106" t="s">
        <v>716</v>
      </c>
      <c r="AH15" s="106" t="s">
        <v>696</v>
      </c>
      <c r="AI15" s="106" t="s">
        <v>718</v>
      </c>
      <c r="AJ15" s="16" t="s">
        <v>1779</v>
      </c>
      <c r="AK15" s="106" t="s">
        <v>722</v>
      </c>
      <c r="AL15" s="106" t="s">
        <v>725</v>
      </c>
      <c r="AM15" s="11"/>
      <c r="AN15" s="253"/>
      <c r="AO15" s="170" t="s">
        <v>4057</v>
      </c>
      <c r="AP15" s="17"/>
      <c r="AQ15" s="188" t="s">
        <v>4069</v>
      </c>
      <c r="AR15" s="188" t="s">
        <v>4081</v>
      </c>
      <c r="AS15" s="17"/>
      <c r="AT15" s="242" t="s">
        <v>4088</v>
      </c>
      <c r="AU15" s="259" t="s">
        <v>4564</v>
      </c>
      <c r="AV15" s="11"/>
      <c r="AW15" s="188" t="s">
        <v>4454</v>
      </c>
      <c r="AX15" s="188" t="s">
        <v>3636</v>
      </c>
    </row>
    <row r="16">
      <c r="A16" s="11"/>
      <c r="B16" s="11"/>
      <c r="C16" s="235" t="s">
        <v>4570</v>
      </c>
      <c r="D16" s="106" t="s">
        <v>4570</v>
      </c>
      <c r="E16" s="106" t="s">
        <v>4570</v>
      </c>
      <c r="F16" s="106" t="s">
        <v>4570</v>
      </c>
      <c r="G16" s="106" t="s">
        <v>4522</v>
      </c>
      <c r="H16" s="106" t="s">
        <v>4522</v>
      </c>
      <c r="I16" s="106" t="s">
        <v>4522</v>
      </c>
      <c r="J16" s="11"/>
      <c r="K16" s="260" t="s">
        <v>4572</v>
      </c>
      <c r="L16" s="16" t="s">
        <v>4572</v>
      </c>
      <c r="M16" s="16" t="s">
        <v>4572</v>
      </c>
      <c r="N16" s="106" t="s">
        <v>4572</v>
      </c>
      <c r="O16" s="231" t="s">
        <v>4572</v>
      </c>
      <c r="P16" s="11"/>
      <c r="Q16" s="6" t="s">
        <v>3989</v>
      </c>
      <c r="R16" s="6" t="s">
        <v>3989</v>
      </c>
      <c r="S16" s="6" t="s">
        <v>3989</v>
      </c>
      <c r="T16" s="6" t="s">
        <v>3989</v>
      </c>
      <c r="U16" s="6" t="s">
        <v>3989</v>
      </c>
      <c r="V16" s="261" t="s">
        <v>3989</v>
      </c>
      <c r="W16" s="11"/>
      <c r="X16" s="11"/>
      <c r="Y16" s="11"/>
      <c r="Z16" s="190"/>
      <c r="AA16" s="190"/>
      <c r="AB16" s="11"/>
      <c r="AC16" s="11"/>
      <c r="AD16" s="260" t="s">
        <v>3141</v>
      </c>
      <c r="AE16" s="106" t="s">
        <v>3141</v>
      </c>
      <c r="AF16" s="106" t="s">
        <v>3141</v>
      </c>
      <c r="AG16" s="106" t="s">
        <v>3141</v>
      </c>
      <c r="AH16" s="106" t="s">
        <v>3141</v>
      </c>
      <c r="AI16" s="106" t="s">
        <v>3141</v>
      </c>
      <c r="AJ16" s="106" t="s">
        <v>3141</v>
      </c>
      <c r="AK16" s="106" t="s">
        <v>3141</v>
      </c>
      <c r="AL16" s="262" t="s">
        <v>3141</v>
      </c>
      <c r="AM16" s="11"/>
      <c r="AN16" s="263"/>
      <c r="AO16" s="226" t="s">
        <v>4564</v>
      </c>
      <c r="AP16" s="17"/>
      <c r="AQ16" s="225">
        <v>34989.0</v>
      </c>
      <c r="AR16" s="227" t="s">
        <v>830</v>
      </c>
      <c r="AS16" s="17"/>
      <c r="AT16" s="258" t="s">
        <v>4564</v>
      </c>
      <c r="AU16" s="251"/>
      <c r="AV16" s="11"/>
      <c r="AW16" s="6" t="s">
        <v>1244</v>
      </c>
      <c r="AX16" s="16" t="s">
        <v>1259</v>
      </c>
    </row>
    <row r="17">
      <c r="A17" s="11"/>
      <c r="B17" s="11"/>
      <c r="C17" s="189"/>
      <c r="D17" s="11"/>
      <c r="E17" s="11"/>
      <c r="F17" s="11"/>
      <c r="G17" s="11"/>
      <c r="H17" s="11"/>
      <c r="I17" s="11"/>
      <c r="J17" s="11"/>
      <c r="K17" s="172"/>
      <c r="L17" s="11"/>
      <c r="M17" s="11"/>
      <c r="N17" s="11"/>
      <c r="O17" s="192"/>
      <c r="P17" s="11"/>
      <c r="Q17" s="178"/>
      <c r="R17" s="178"/>
      <c r="S17" s="178"/>
      <c r="T17" s="190"/>
      <c r="U17" s="190"/>
      <c r="V17" s="264"/>
      <c r="W17" s="190"/>
      <c r="X17" s="190"/>
      <c r="Y17" s="190"/>
      <c r="Z17" s="190"/>
      <c r="AA17" s="190"/>
      <c r="AB17" s="11"/>
      <c r="AC17" s="11"/>
      <c r="AD17" s="172"/>
      <c r="AE17" s="11"/>
      <c r="AF17" s="11"/>
      <c r="AG17" s="11"/>
      <c r="AH17" s="11"/>
      <c r="AI17" s="11"/>
      <c r="AJ17" s="11"/>
      <c r="AK17" s="11"/>
      <c r="AL17" s="172"/>
      <c r="AM17" s="11"/>
      <c r="AN17" s="11"/>
      <c r="AO17" s="254" t="s">
        <v>4613</v>
      </c>
      <c r="AP17" s="17"/>
      <c r="AQ17" s="16" t="s">
        <v>4614</v>
      </c>
      <c r="AR17" s="16" t="s">
        <v>4615</v>
      </c>
      <c r="AS17" s="17"/>
      <c r="AT17" s="255" t="s">
        <v>4616</v>
      </c>
      <c r="AU17" s="256" t="s">
        <v>3618</v>
      </c>
      <c r="AV17" s="11"/>
      <c r="AW17" s="17"/>
      <c r="AX17" s="17"/>
    </row>
    <row r="18">
      <c r="A18" s="11"/>
      <c r="B18" s="11"/>
      <c r="C18" s="189"/>
      <c r="D18" s="11"/>
      <c r="E18" s="11"/>
      <c r="F18" s="11"/>
      <c r="G18" s="190"/>
      <c r="H18" s="11"/>
      <c r="I18" s="11"/>
      <c r="J18" s="11"/>
      <c r="K18" s="11"/>
      <c r="L18" s="11"/>
      <c r="M18" s="11"/>
      <c r="N18" s="11"/>
      <c r="O18" s="192"/>
      <c r="P18" s="11"/>
      <c r="Q18" s="190"/>
      <c r="R18" s="190"/>
      <c r="S18" s="190"/>
      <c r="T18" s="190"/>
      <c r="U18" s="190"/>
      <c r="V18" s="193"/>
      <c r="W18" s="11"/>
      <c r="X18" s="190"/>
      <c r="Y18" s="190"/>
      <c r="Z18" s="190"/>
      <c r="AA18" s="190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0" t="s">
        <v>4056</v>
      </c>
      <c r="AP18" s="17"/>
      <c r="AQ18" s="188" t="s">
        <v>4068</v>
      </c>
      <c r="AR18" s="188" t="s">
        <v>4080</v>
      </c>
      <c r="AS18" s="17"/>
      <c r="AT18" s="242" t="s">
        <v>4090</v>
      </c>
      <c r="AU18" s="259" t="s">
        <v>4564</v>
      </c>
      <c r="AV18" s="11"/>
      <c r="AW18" s="188" t="s">
        <v>4455</v>
      </c>
      <c r="AX18" s="188" t="s">
        <v>3633</v>
      </c>
    </row>
    <row r="19">
      <c r="A19" s="11"/>
      <c r="B19" s="11"/>
      <c r="C19" s="265"/>
      <c r="D19" s="11"/>
      <c r="E19" s="11"/>
      <c r="F19" s="11"/>
      <c r="G19" s="11"/>
      <c r="H19" s="11"/>
      <c r="I19" s="11"/>
      <c r="J19" s="11"/>
      <c r="K19" s="266"/>
      <c r="L19" s="11"/>
      <c r="M19" s="11"/>
      <c r="N19" s="11"/>
      <c r="O19" s="192"/>
      <c r="P19" s="11"/>
      <c r="Q19" s="11"/>
      <c r="R19" s="124" t="s">
        <v>4617</v>
      </c>
      <c r="S19" s="11"/>
      <c r="T19" s="11"/>
      <c r="U19" s="11"/>
      <c r="V19" s="192"/>
      <c r="W19" s="190"/>
      <c r="X19" s="190"/>
      <c r="Y19" s="190"/>
      <c r="Z19" s="11"/>
      <c r="AA19" s="190"/>
      <c r="AB19" s="11"/>
      <c r="AC19" s="11"/>
      <c r="AD19" s="266"/>
      <c r="AE19" s="11"/>
      <c r="AF19" s="11"/>
      <c r="AG19" s="11"/>
      <c r="AH19" s="11"/>
      <c r="AI19" s="11"/>
      <c r="AJ19" s="11"/>
      <c r="AK19" s="11"/>
      <c r="AL19" s="266"/>
      <c r="AM19" s="11"/>
      <c r="AN19" s="11"/>
      <c r="AO19" s="254" t="s">
        <v>537</v>
      </c>
      <c r="AP19" s="17"/>
      <c r="AQ19" s="225" t="s">
        <v>836</v>
      </c>
      <c r="AR19" s="9" t="s">
        <v>4564</v>
      </c>
      <c r="AS19" s="17"/>
      <c r="AT19" s="255" t="s">
        <v>851</v>
      </c>
      <c r="AU19" s="167"/>
      <c r="AV19" s="11"/>
      <c r="AW19" s="16" t="s">
        <v>1382</v>
      </c>
      <c r="AX19" s="16" t="s">
        <v>1374</v>
      </c>
    </row>
    <row r="20">
      <c r="A20" s="11"/>
      <c r="B20" s="11"/>
      <c r="C20" s="206" t="s">
        <v>4322</v>
      </c>
      <c r="D20" s="207" t="s">
        <v>4324</v>
      </c>
      <c r="E20" s="267" t="s">
        <v>4325</v>
      </c>
      <c r="F20" s="207" t="s">
        <v>4327</v>
      </c>
      <c r="G20" s="207" t="s">
        <v>4328</v>
      </c>
      <c r="H20" s="207" t="s">
        <v>4329</v>
      </c>
      <c r="I20" s="188" t="s">
        <v>4330</v>
      </c>
      <c r="J20" s="11"/>
      <c r="K20" s="209" t="s">
        <v>3861</v>
      </c>
      <c r="L20" s="210" t="s">
        <v>3874</v>
      </c>
      <c r="M20" s="210" t="s">
        <v>3877</v>
      </c>
      <c r="N20" s="210" t="s">
        <v>3880</v>
      </c>
      <c r="O20" s="211" t="s">
        <v>4261</v>
      </c>
      <c r="P20" s="11"/>
      <c r="Q20" s="213" t="s">
        <v>4020</v>
      </c>
      <c r="R20" s="213" t="s">
        <v>4021</v>
      </c>
      <c r="S20" s="213" t="s">
        <v>4022</v>
      </c>
      <c r="T20" s="213" t="s">
        <v>3927</v>
      </c>
      <c r="U20" s="213" t="s">
        <v>3929</v>
      </c>
      <c r="V20" s="214" t="s">
        <v>3931</v>
      </c>
      <c r="W20" s="215" t="s">
        <v>3943</v>
      </c>
      <c r="X20" s="215" t="s">
        <v>3946</v>
      </c>
      <c r="Y20" s="215" t="s">
        <v>3933</v>
      </c>
      <c r="Z20" s="215" t="s">
        <v>3968</v>
      </c>
      <c r="AA20" s="215" t="s">
        <v>3915</v>
      </c>
      <c r="AB20" s="11"/>
      <c r="AC20" s="11"/>
      <c r="AD20" s="249" t="s">
        <v>4026</v>
      </c>
      <c r="AE20" s="207" t="s">
        <v>4001</v>
      </c>
      <c r="AF20" s="207" t="s">
        <v>4149</v>
      </c>
      <c r="AG20" s="207" t="s">
        <v>4150</v>
      </c>
      <c r="AH20" s="207" t="s">
        <v>4151</v>
      </c>
      <c r="AI20" s="207" t="s">
        <v>4152</v>
      </c>
      <c r="AJ20" s="207" t="s">
        <v>4153</v>
      </c>
      <c r="AK20" s="207" t="s">
        <v>4154</v>
      </c>
      <c r="AL20" s="208" t="s">
        <v>4155</v>
      </c>
      <c r="AM20" s="11"/>
      <c r="AN20" s="11"/>
      <c r="AO20" s="254" t="s">
        <v>4618</v>
      </c>
      <c r="AP20" s="17"/>
      <c r="AQ20" s="16" t="s">
        <v>4619</v>
      </c>
      <c r="AR20" s="16" t="s">
        <v>4620</v>
      </c>
      <c r="AS20" s="17"/>
      <c r="AT20" s="255" t="s">
        <v>4621</v>
      </c>
      <c r="AU20" s="268"/>
      <c r="AV20" s="269"/>
      <c r="AW20" s="269"/>
      <c r="AX20" s="269"/>
    </row>
    <row r="21">
      <c r="A21" s="11"/>
      <c r="B21" s="11"/>
      <c r="C21" s="219" t="s">
        <v>4622</v>
      </c>
      <c r="D21" s="270" t="s">
        <v>4623</v>
      </c>
      <c r="E21" s="102" t="s">
        <v>4624</v>
      </c>
      <c r="F21" s="220" t="s">
        <v>4625</v>
      </c>
      <c r="G21" s="220" t="s">
        <v>4626</v>
      </c>
      <c r="H21" s="220" t="s">
        <v>4627</v>
      </c>
      <c r="I21" s="102" t="s">
        <v>4627</v>
      </c>
      <c r="J21" s="11"/>
      <c r="K21" s="102" t="s">
        <v>4628</v>
      </c>
      <c r="L21" s="220" t="s">
        <v>4629</v>
      </c>
      <c r="M21" s="220" t="s">
        <v>4630</v>
      </c>
      <c r="N21" s="220" t="s">
        <v>4631</v>
      </c>
      <c r="O21" s="223" t="s">
        <v>4632</v>
      </c>
      <c r="P21" s="11"/>
      <c r="Q21" s="102" t="s">
        <v>4633</v>
      </c>
      <c r="R21" s="102" t="s">
        <v>4592</v>
      </c>
      <c r="S21" s="102" t="s">
        <v>4634</v>
      </c>
      <c r="T21" s="102" t="s">
        <v>4635</v>
      </c>
      <c r="U21" s="102" t="s">
        <v>4636</v>
      </c>
      <c r="V21" s="223" t="s">
        <v>4637</v>
      </c>
      <c r="W21" s="237" t="s">
        <v>4638</v>
      </c>
      <c r="X21" s="225" t="s">
        <v>4639</v>
      </c>
      <c r="Y21" s="225" t="s">
        <v>4640</v>
      </c>
      <c r="Z21" s="225" t="s">
        <v>4641</v>
      </c>
      <c r="AA21" s="225" t="s">
        <v>4642</v>
      </c>
      <c r="AB21" s="11"/>
      <c r="AC21" s="11"/>
      <c r="AD21" s="221" t="s">
        <v>4643</v>
      </c>
      <c r="AE21" s="220" t="s">
        <v>4644</v>
      </c>
      <c r="AF21" s="220" t="s">
        <v>4645</v>
      </c>
      <c r="AG21" s="220" t="s">
        <v>4646</v>
      </c>
      <c r="AH21" s="220" t="s">
        <v>4647</v>
      </c>
      <c r="AI21" s="220" t="s">
        <v>4648</v>
      </c>
      <c r="AJ21" s="220" t="s">
        <v>4649</v>
      </c>
      <c r="AK21" s="220" t="s">
        <v>4650</v>
      </c>
      <c r="AL21" s="220" t="s">
        <v>4651</v>
      </c>
      <c r="AM21" s="11"/>
      <c r="AN21" s="11"/>
      <c r="AO21" s="170" t="s">
        <v>4054</v>
      </c>
      <c r="AP21" s="17"/>
      <c r="AQ21" s="188" t="s">
        <v>4067</v>
      </c>
      <c r="AR21" s="188" t="s">
        <v>4077</v>
      </c>
      <c r="AS21" s="17"/>
      <c r="AT21" s="242" t="s">
        <v>4091</v>
      </c>
      <c r="AU21" s="11"/>
      <c r="AV21" s="271"/>
      <c r="AW21" s="272" t="s">
        <v>4652</v>
      </c>
      <c r="AX21" s="192"/>
    </row>
    <row r="22">
      <c r="A22" s="11"/>
      <c r="B22" s="11"/>
      <c r="C22" s="235" t="s">
        <v>1563</v>
      </c>
      <c r="D22" s="105" t="s">
        <v>380</v>
      </c>
      <c r="E22" s="16" t="s">
        <v>1468</v>
      </c>
      <c r="F22" s="26" t="s">
        <v>1555</v>
      </c>
      <c r="G22" s="106" t="s">
        <v>382</v>
      </c>
      <c r="H22" s="6" t="s">
        <v>460</v>
      </c>
      <c r="I22" s="106" t="s">
        <v>21</v>
      </c>
      <c r="J22" s="124" t="s">
        <v>2090</v>
      </c>
      <c r="K22" s="273" t="s">
        <v>393</v>
      </c>
      <c r="L22" s="6" t="s">
        <v>371</v>
      </c>
      <c r="M22" s="230" t="s">
        <v>4564</v>
      </c>
      <c r="N22" s="227" t="s">
        <v>1471</v>
      </c>
      <c r="O22" s="236" t="s">
        <v>1462</v>
      </c>
      <c r="P22" s="11"/>
      <c r="Q22" s="6" t="s">
        <v>635</v>
      </c>
      <c r="R22" s="257" t="s">
        <v>638</v>
      </c>
      <c r="S22" s="274" t="s">
        <v>1435</v>
      </c>
      <c r="T22" s="9" t="s">
        <v>4564</v>
      </c>
      <c r="U22" s="6" t="s">
        <v>543</v>
      </c>
      <c r="V22" s="230" t="s">
        <v>4564</v>
      </c>
      <c r="W22" s="16" t="s">
        <v>283</v>
      </c>
      <c r="X22" s="16" t="s">
        <v>286</v>
      </c>
      <c r="Y22" s="9" t="s">
        <v>4612</v>
      </c>
      <c r="Z22" s="9" t="s">
        <v>4612</v>
      </c>
      <c r="AA22" s="9" t="s">
        <v>4612</v>
      </c>
      <c r="AB22" s="11"/>
      <c r="AC22" s="11"/>
      <c r="AD22" s="16" t="s">
        <v>1781</v>
      </c>
      <c r="AE22" s="16" t="s">
        <v>1783</v>
      </c>
      <c r="AF22" s="106" t="s">
        <v>1504</v>
      </c>
      <c r="AG22" s="26" t="s">
        <v>729</v>
      </c>
      <c r="AH22" s="26" t="s">
        <v>736</v>
      </c>
      <c r="AI22" s="26" t="s">
        <v>738</v>
      </c>
      <c r="AJ22" s="106" t="s">
        <v>740</v>
      </c>
      <c r="AK22" s="26" t="s">
        <v>743</v>
      </c>
      <c r="AL22" s="26" t="s">
        <v>745</v>
      </c>
      <c r="AM22" s="11"/>
      <c r="AN22" s="11"/>
      <c r="AO22" s="254" t="s">
        <v>441</v>
      </c>
      <c r="AP22" s="17"/>
      <c r="AQ22" s="9" t="s">
        <v>4564</v>
      </c>
      <c r="AR22" s="227" t="s">
        <v>839</v>
      </c>
      <c r="AS22" s="17"/>
      <c r="AT22" s="258" t="s">
        <v>4564</v>
      </c>
      <c r="AU22" s="11"/>
      <c r="AV22" s="17"/>
      <c r="AW22" s="17"/>
      <c r="AX22" s="192"/>
    </row>
    <row r="23">
      <c r="A23" s="11"/>
      <c r="B23" s="11"/>
      <c r="C23" s="235" t="s">
        <v>4468</v>
      </c>
      <c r="D23" s="105" t="s">
        <v>4468</v>
      </c>
      <c r="E23" s="105" t="s">
        <v>4468</v>
      </c>
      <c r="F23" s="105" t="s">
        <v>4468</v>
      </c>
      <c r="G23" s="106" t="s">
        <v>4522</v>
      </c>
      <c r="H23" s="106" t="s">
        <v>4522</v>
      </c>
      <c r="I23" s="106" t="s">
        <v>4653</v>
      </c>
      <c r="J23" s="171"/>
      <c r="K23" s="16" t="s">
        <v>4572</v>
      </c>
      <c r="L23" s="16" t="s">
        <v>4572</v>
      </c>
      <c r="M23" s="16" t="s">
        <v>4572</v>
      </c>
      <c r="N23" s="16" t="s">
        <v>4572</v>
      </c>
      <c r="O23" s="231" t="s">
        <v>4572</v>
      </c>
      <c r="P23" s="11"/>
      <c r="Q23" s="6" t="s">
        <v>3989</v>
      </c>
      <c r="R23" s="6" t="s">
        <v>3989</v>
      </c>
      <c r="S23" s="6" t="s">
        <v>3989</v>
      </c>
      <c r="T23" s="6" t="s">
        <v>3989</v>
      </c>
      <c r="U23" s="6" t="s">
        <v>3989</v>
      </c>
      <c r="V23" s="261" t="s">
        <v>3989</v>
      </c>
      <c r="W23" s="275" t="s">
        <v>3389</v>
      </c>
      <c r="X23" s="275" t="s">
        <v>3389</v>
      </c>
      <c r="Y23" s="275" t="s">
        <v>3389</v>
      </c>
      <c r="Z23" s="275" t="s">
        <v>3389</v>
      </c>
      <c r="AA23" s="275" t="s">
        <v>3389</v>
      </c>
      <c r="AB23" s="11"/>
      <c r="AC23" s="11"/>
      <c r="AD23" s="105" t="s">
        <v>3141</v>
      </c>
      <c r="AE23" s="106" t="s">
        <v>3141</v>
      </c>
      <c r="AF23" s="26" t="s">
        <v>3141</v>
      </c>
      <c r="AG23" s="26" t="s">
        <v>3141</v>
      </c>
      <c r="AH23" s="26" t="s">
        <v>3141</v>
      </c>
      <c r="AI23" s="26" t="s">
        <v>3141</v>
      </c>
      <c r="AJ23" s="26" t="s">
        <v>3141</v>
      </c>
      <c r="AK23" s="26" t="s">
        <v>3141</v>
      </c>
      <c r="AL23" s="26" t="s">
        <v>3141</v>
      </c>
      <c r="AM23" s="11"/>
      <c r="AN23" s="11"/>
      <c r="AO23" s="254" t="s">
        <v>4654</v>
      </c>
      <c r="AP23" s="17"/>
      <c r="AQ23" s="16" t="s">
        <v>4655</v>
      </c>
      <c r="AR23" s="16" t="s">
        <v>4656</v>
      </c>
      <c r="AS23" s="17"/>
      <c r="AT23" s="255" t="s">
        <v>4657</v>
      </c>
      <c r="AU23" s="11"/>
      <c r="AV23" s="188" t="s">
        <v>4292</v>
      </c>
      <c r="AW23" s="188" t="s">
        <v>4297</v>
      </c>
      <c r="AX23" s="192"/>
    </row>
    <row r="24">
      <c r="A24" s="11"/>
      <c r="B24" s="11"/>
      <c r="C24" s="206" t="s">
        <v>3858</v>
      </c>
      <c r="D24" s="188" t="s">
        <v>3891</v>
      </c>
      <c r="E24" s="188" t="s">
        <v>3893</v>
      </c>
      <c r="F24" s="208" t="s">
        <v>3895</v>
      </c>
      <c r="G24" s="208" t="s">
        <v>4332</v>
      </c>
      <c r="H24" s="208" t="s">
        <v>4333</v>
      </c>
      <c r="I24" s="188" t="s">
        <v>4334</v>
      </c>
      <c r="J24" s="11"/>
      <c r="K24" s="209" t="s">
        <v>4263</v>
      </c>
      <c r="L24" s="245" t="s">
        <v>4265</v>
      </c>
      <c r="M24" s="245" t="s">
        <v>4267</v>
      </c>
      <c r="N24" s="245" t="s">
        <v>4268</v>
      </c>
      <c r="O24" s="246" t="s">
        <v>4270</v>
      </c>
      <c r="P24" s="11"/>
      <c r="Q24" s="213" t="s">
        <v>4024</v>
      </c>
      <c r="R24" s="213" t="s">
        <v>4025</v>
      </c>
      <c r="S24" s="213" t="s">
        <v>3935</v>
      </c>
      <c r="T24" s="213" t="s">
        <v>3937</v>
      </c>
      <c r="U24" s="213" t="s">
        <v>3939</v>
      </c>
      <c r="V24" s="276" t="s">
        <v>3941</v>
      </c>
      <c r="W24" s="215" t="s">
        <v>3970</v>
      </c>
      <c r="X24" s="216" t="s">
        <v>3966</v>
      </c>
      <c r="Y24" s="216" t="s">
        <v>3954</v>
      </c>
      <c r="Z24" s="216" t="s">
        <v>3990</v>
      </c>
      <c r="AA24" s="216" t="s">
        <v>3991</v>
      </c>
      <c r="AB24" s="11"/>
      <c r="AC24" s="11"/>
      <c r="AD24" s="249" t="s">
        <v>4047</v>
      </c>
      <c r="AE24" s="208" t="s">
        <v>4157</v>
      </c>
      <c r="AF24" s="208" t="s">
        <v>4158</v>
      </c>
      <c r="AG24" s="208" t="s">
        <v>4159</v>
      </c>
      <c r="AH24" s="208" t="s">
        <v>4053</v>
      </c>
      <c r="AI24" s="208" t="s">
        <v>4160</v>
      </c>
      <c r="AJ24" s="208" t="s">
        <v>4161</v>
      </c>
      <c r="AK24" s="208" t="s">
        <v>4050</v>
      </c>
      <c r="AL24" s="208" t="s">
        <v>4060</v>
      </c>
      <c r="AM24" s="11"/>
      <c r="AN24" s="11"/>
      <c r="AO24" s="170" t="s">
        <v>4051</v>
      </c>
      <c r="AP24" s="17"/>
      <c r="AQ24" s="188" t="s">
        <v>4066</v>
      </c>
      <c r="AR24" s="188" t="s">
        <v>4076</v>
      </c>
      <c r="AS24" s="17"/>
      <c r="AT24" s="242" t="s">
        <v>4092</v>
      </c>
      <c r="AU24" s="11"/>
      <c r="AV24" s="9" t="s">
        <v>4564</v>
      </c>
      <c r="AW24" s="9" t="s">
        <v>4564</v>
      </c>
      <c r="AX24" s="192"/>
    </row>
    <row r="25">
      <c r="A25" s="11"/>
      <c r="B25" s="11"/>
      <c r="C25" s="219" t="s">
        <v>4658</v>
      </c>
      <c r="D25" s="220" t="s">
        <v>4659</v>
      </c>
      <c r="E25" s="220" t="s">
        <v>4660</v>
      </c>
      <c r="F25" s="220" t="s">
        <v>4661</v>
      </c>
      <c r="G25" s="220" t="s">
        <v>4662</v>
      </c>
      <c r="H25" s="220" t="s">
        <v>4663</v>
      </c>
      <c r="I25" s="102" t="s">
        <v>4664</v>
      </c>
      <c r="J25" s="11"/>
      <c r="K25" s="102" t="s">
        <v>4665</v>
      </c>
      <c r="L25" s="220" t="s">
        <v>4666</v>
      </c>
      <c r="M25" s="220" t="s">
        <v>4667</v>
      </c>
      <c r="N25" s="220" t="s">
        <v>4668</v>
      </c>
      <c r="O25" s="223" t="s">
        <v>4669</v>
      </c>
      <c r="P25" s="11"/>
      <c r="Q25" s="102" t="s">
        <v>4670</v>
      </c>
      <c r="R25" s="102" t="s">
        <v>4671</v>
      </c>
      <c r="S25" s="102" t="s">
        <v>4672</v>
      </c>
      <c r="T25" s="102" t="s">
        <v>4673</v>
      </c>
      <c r="U25" s="102" t="s">
        <v>4674</v>
      </c>
      <c r="V25" s="223" t="s">
        <v>4675</v>
      </c>
      <c r="W25" s="220" t="s">
        <v>4676</v>
      </c>
      <c r="X25" s="102" t="s">
        <v>4677</v>
      </c>
      <c r="Y25" s="102" t="s">
        <v>4678</v>
      </c>
      <c r="Z25" s="102" t="s">
        <v>4679</v>
      </c>
      <c r="AA25" s="102" t="s">
        <v>4680</v>
      </c>
      <c r="AB25" s="11"/>
      <c r="AC25" s="11"/>
      <c r="AD25" s="221" t="s">
        <v>4681</v>
      </c>
      <c r="AE25" s="220" t="s">
        <v>4682</v>
      </c>
      <c r="AF25" s="220" t="s">
        <v>4683</v>
      </c>
      <c r="AG25" s="220" t="s">
        <v>4684</v>
      </c>
      <c r="AH25" s="220" t="s">
        <v>4685</v>
      </c>
      <c r="AI25" s="220" t="s">
        <v>4686</v>
      </c>
      <c r="AJ25" s="220" t="s">
        <v>4687</v>
      </c>
      <c r="AK25" s="220" t="s">
        <v>4688</v>
      </c>
      <c r="AL25" s="220" t="s">
        <v>4689</v>
      </c>
      <c r="AM25" s="11"/>
      <c r="AN25" s="11"/>
      <c r="AO25" s="226" t="s">
        <v>4564</v>
      </c>
      <c r="AP25" s="17"/>
      <c r="AQ25" s="6" t="s">
        <v>779</v>
      </c>
      <c r="AR25" s="9" t="s">
        <v>4564</v>
      </c>
      <c r="AS25" s="17"/>
      <c r="AT25" s="258" t="s">
        <v>4564</v>
      </c>
      <c r="AU25" s="11"/>
      <c r="AV25" s="17"/>
      <c r="AW25" s="17"/>
      <c r="AX25" s="192"/>
    </row>
    <row r="26">
      <c r="A26" s="11"/>
      <c r="B26" s="11"/>
      <c r="C26" s="277" t="s">
        <v>4690</v>
      </c>
      <c r="D26" s="6" t="s">
        <v>466</v>
      </c>
      <c r="E26" s="106" t="s">
        <v>445</v>
      </c>
      <c r="F26" s="26" t="s">
        <v>463</v>
      </c>
      <c r="G26" s="278" t="s">
        <v>481</v>
      </c>
      <c r="H26" s="26" t="s">
        <v>4691</v>
      </c>
      <c r="I26" s="6" t="s">
        <v>4692</v>
      </c>
      <c r="J26" s="11"/>
      <c r="K26" s="16" t="s">
        <v>319</v>
      </c>
      <c r="L26" s="105" t="s">
        <v>322</v>
      </c>
      <c r="M26" s="16" t="s">
        <v>422</v>
      </c>
      <c r="N26" s="16" t="s">
        <v>352</v>
      </c>
      <c r="O26" s="279" t="s">
        <v>296</v>
      </c>
      <c r="P26" s="11"/>
      <c r="Q26" s="9" t="s">
        <v>4564</v>
      </c>
      <c r="R26" s="9" t="s">
        <v>4564</v>
      </c>
      <c r="S26" s="16" t="s">
        <v>1567</v>
      </c>
      <c r="T26" s="16" t="s">
        <v>1444</v>
      </c>
      <c r="U26" s="6" t="s">
        <v>632</v>
      </c>
      <c r="V26" s="236" t="s">
        <v>623</v>
      </c>
      <c r="W26" s="280" t="s">
        <v>4693</v>
      </c>
      <c r="X26" s="281" t="s">
        <v>4693</v>
      </c>
      <c r="Y26" s="281" t="s">
        <v>4693</v>
      </c>
      <c r="Z26" s="281" t="s">
        <v>4693</v>
      </c>
      <c r="AA26" s="281" t="s">
        <v>4693</v>
      </c>
      <c r="AB26" s="11"/>
      <c r="AC26" s="11"/>
      <c r="AD26" s="16" t="s">
        <v>4694</v>
      </c>
      <c r="AE26" s="16" t="s">
        <v>4695</v>
      </c>
      <c r="AF26" s="106" t="s">
        <v>4696</v>
      </c>
      <c r="AG26" s="16" t="s">
        <v>4697</v>
      </c>
      <c r="AH26" s="106" t="s">
        <v>4698</v>
      </c>
      <c r="AI26" s="106" t="s">
        <v>4699</v>
      </c>
      <c r="AJ26" s="106" t="s">
        <v>4700</v>
      </c>
      <c r="AK26" s="16" t="s">
        <v>1789</v>
      </c>
      <c r="AL26" s="6" t="s">
        <v>1791</v>
      </c>
      <c r="AM26" s="11"/>
      <c r="AN26" s="11"/>
      <c r="AO26" s="254" t="s">
        <v>4701</v>
      </c>
      <c r="AP26" s="17"/>
      <c r="AQ26" s="16" t="s">
        <v>4702</v>
      </c>
      <c r="AR26" s="16" t="s">
        <v>4703</v>
      </c>
      <c r="AS26" s="17"/>
      <c r="AT26" s="255" t="s">
        <v>4657</v>
      </c>
      <c r="AU26" s="11"/>
      <c r="AV26" s="188" t="s">
        <v>4293</v>
      </c>
      <c r="AW26" s="188" t="s">
        <v>4298</v>
      </c>
      <c r="AX26" s="192"/>
    </row>
    <row r="27">
      <c r="A27" s="11"/>
      <c r="B27" s="11"/>
      <c r="C27" s="235" t="s">
        <v>4704</v>
      </c>
      <c r="D27" s="106" t="s">
        <v>4704</v>
      </c>
      <c r="E27" s="106" t="s">
        <v>4704</v>
      </c>
      <c r="F27" s="106" t="s">
        <v>4704</v>
      </c>
      <c r="G27" s="106" t="s">
        <v>4704</v>
      </c>
      <c r="H27" s="106" t="s">
        <v>4571</v>
      </c>
      <c r="I27" s="16" t="s">
        <v>4571</v>
      </c>
      <c r="J27" s="11"/>
      <c r="K27" s="16" t="s">
        <v>4572</v>
      </c>
      <c r="L27" s="106" t="s">
        <v>4572</v>
      </c>
      <c r="M27" s="106" t="s">
        <v>4572</v>
      </c>
      <c r="N27" s="106" t="s">
        <v>4572</v>
      </c>
      <c r="O27" s="282" t="s">
        <v>4572</v>
      </c>
      <c r="P27" s="11"/>
      <c r="Q27" s="6" t="s">
        <v>3989</v>
      </c>
      <c r="R27" s="6" t="s">
        <v>3989</v>
      </c>
      <c r="S27" s="6" t="s">
        <v>3989</v>
      </c>
      <c r="T27" s="6" t="s">
        <v>3989</v>
      </c>
      <c r="U27" s="6" t="s">
        <v>3989</v>
      </c>
      <c r="V27" s="261" t="s">
        <v>3989</v>
      </c>
      <c r="W27" s="26" t="s">
        <v>3389</v>
      </c>
      <c r="X27" s="6" t="s">
        <v>3389</v>
      </c>
      <c r="Y27" s="6" t="s">
        <v>3389</v>
      </c>
      <c r="Z27" s="6" t="s">
        <v>3389</v>
      </c>
      <c r="AA27" s="6" t="s">
        <v>3389</v>
      </c>
      <c r="AB27" s="11"/>
      <c r="AC27" s="11"/>
      <c r="AD27" s="16" t="s">
        <v>4705</v>
      </c>
      <c r="AE27" s="16" t="s">
        <v>4705</v>
      </c>
      <c r="AF27" s="16" t="s">
        <v>4705</v>
      </c>
      <c r="AG27" s="16" t="s">
        <v>4705</v>
      </c>
      <c r="AH27" s="16" t="s">
        <v>4705</v>
      </c>
      <c r="AI27" s="16" t="s">
        <v>4705</v>
      </c>
      <c r="AJ27" s="16" t="s">
        <v>4705</v>
      </c>
      <c r="AK27" s="16" t="s">
        <v>4706</v>
      </c>
      <c r="AL27" s="16" t="s">
        <v>4706</v>
      </c>
      <c r="AM27" s="11"/>
      <c r="AN27" s="11"/>
      <c r="AO27" s="170" t="s">
        <v>4048</v>
      </c>
      <c r="AP27" s="17"/>
      <c r="AQ27" s="188" t="s">
        <v>4063</v>
      </c>
      <c r="AR27" s="188" t="s">
        <v>4075</v>
      </c>
      <c r="AS27" s="17"/>
      <c r="AT27" s="242" t="s">
        <v>4093</v>
      </c>
      <c r="AU27" s="11"/>
      <c r="AV27" s="283" t="s">
        <v>4564</v>
      </c>
      <c r="AW27" s="30" t="s">
        <v>4564</v>
      </c>
      <c r="AX27" s="192"/>
    </row>
    <row r="28">
      <c r="A28" s="11"/>
      <c r="B28" s="11"/>
      <c r="C28" s="284" t="s">
        <v>4707</v>
      </c>
      <c r="D28" s="124" t="s">
        <v>4707</v>
      </c>
      <c r="E28" s="124" t="s">
        <v>4707</v>
      </c>
      <c r="F28" s="124" t="s">
        <v>4707</v>
      </c>
      <c r="G28" s="124" t="s">
        <v>4707</v>
      </c>
      <c r="H28" s="11"/>
      <c r="I28" s="11"/>
      <c r="J28" s="11"/>
      <c r="K28" s="11"/>
      <c r="L28" s="11"/>
      <c r="M28" s="11"/>
      <c r="N28" s="11"/>
      <c r="O28" s="285" t="s">
        <v>4532</v>
      </c>
      <c r="P28" s="11"/>
      <c r="Q28" s="11"/>
      <c r="R28" s="11"/>
      <c r="S28" s="11"/>
      <c r="T28" s="11"/>
      <c r="U28" s="11"/>
      <c r="V28" s="192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226" t="s">
        <v>4564</v>
      </c>
      <c r="AP28" s="17"/>
      <c r="AQ28" s="6" t="s">
        <v>815</v>
      </c>
      <c r="AR28" s="9" t="s">
        <v>4564</v>
      </c>
      <c r="AS28" s="17"/>
      <c r="AT28" s="258" t="s">
        <v>4564</v>
      </c>
      <c r="AU28" s="11"/>
      <c r="AV28" s="17"/>
      <c r="AW28" s="17"/>
      <c r="AX28" s="192"/>
    </row>
    <row r="29">
      <c r="A29" s="11"/>
      <c r="B29" s="11"/>
      <c r="C29" s="189"/>
      <c r="D29" s="11"/>
      <c r="E29" s="11"/>
      <c r="F29" s="286" t="s">
        <v>4708</v>
      </c>
      <c r="G29" s="11"/>
      <c r="H29" s="11"/>
      <c r="I29" s="11"/>
      <c r="J29" s="11"/>
      <c r="K29" s="11"/>
      <c r="L29" s="11"/>
      <c r="M29" s="286" t="s">
        <v>4709</v>
      </c>
      <c r="N29" s="11"/>
      <c r="O29" s="287"/>
      <c r="P29" s="11"/>
      <c r="Q29" s="11"/>
      <c r="R29" s="11"/>
      <c r="S29" s="11"/>
      <c r="T29" s="11"/>
      <c r="U29" s="190"/>
      <c r="V29" s="193"/>
      <c r="W29" s="11"/>
      <c r="X29" s="11"/>
      <c r="Y29" s="288" t="s">
        <v>4710</v>
      </c>
      <c r="Z29" s="11"/>
      <c r="AA29" s="11"/>
      <c r="AB29" s="11"/>
      <c r="AC29" s="11"/>
      <c r="AD29" s="11"/>
      <c r="AE29" s="190"/>
      <c r="AF29" s="11"/>
      <c r="AG29" s="288" t="s">
        <v>4711</v>
      </c>
      <c r="AJ29" s="11"/>
      <c r="AK29" s="11"/>
      <c r="AL29" s="11"/>
      <c r="AM29" s="11"/>
      <c r="AN29" s="11"/>
      <c r="AO29" s="254" t="s">
        <v>4712</v>
      </c>
      <c r="AP29" s="17"/>
      <c r="AQ29" s="16" t="s">
        <v>4713</v>
      </c>
      <c r="AR29" s="16" t="s">
        <v>4714</v>
      </c>
      <c r="AS29" s="17"/>
      <c r="AT29" s="255" t="s">
        <v>4715</v>
      </c>
      <c r="AU29" s="11"/>
      <c r="AV29" s="188" t="s">
        <v>4294</v>
      </c>
      <c r="AW29" s="188" t="s">
        <v>4300</v>
      </c>
      <c r="AX29" s="192"/>
    </row>
    <row r="30">
      <c r="A30" s="11"/>
      <c r="B30" s="11"/>
      <c r="C30" s="189"/>
      <c r="D30" s="11"/>
      <c r="E30" s="11"/>
      <c r="F30" s="11"/>
      <c r="G30" s="11"/>
      <c r="H30" s="11"/>
      <c r="I30" s="266"/>
      <c r="J30" s="11"/>
      <c r="K30" s="266"/>
      <c r="L30" s="11"/>
      <c r="M30" s="11"/>
      <c r="N30" s="11"/>
      <c r="O30" s="192"/>
      <c r="P30" s="11"/>
      <c r="Q30" s="11"/>
      <c r="R30" s="11"/>
      <c r="S30" s="11"/>
      <c r="T30" s="11"/>
      <c r="U30" s="190"/>
      <c r="V30" s="193"/>
      <c r="W30" s="11"/>
      <c r="X30" s="11"/>
      <c r="Y30" s="11"/>
      <c r="Z30" s="11"/>
      <c r="AA30" s="11"/>
      <c r="AB30" s="11"/>
      <c r="AC30" s="11"/>
      <c r="AD30" s="266"/>
      <c r="AE30" s="11"/>
      <c r="AF30" s="11"/>
      <c r="AG30" s="11"/>
      <c r="AH30" s="11"/>
      <c r="AI30" s="11"/>
      <c r="AJ30" s="11"/>
      <c r="AK30" s="11"/>
      <c r="AL30" s="266"/>
      <c r="AM30" s="11"/>
      <c r="AN30" s="11"/>
      <c r="AO30" s="238"/>
      <c r="AP30" s="17"/>
      <c r="AQ30" s="289"/>
      <c r="AR30" s="17"/>
      <c r="AS30" s="17"/>
      <c r="AT30" s="242" t="s">
        <v>4094</v>
      </c>
      <c r="AU30" s="11"/>
      <c r="AV30" s="283" t="s">
        <v>4564</v>
      </c>
      <c r="AW30" s="283" t="s">
        <v>4564</v>
      </c>
      <c r="AX30" s="192"/>
    </row>
    <row r="31">
      <c r="A31" s="11"/>
      <c r="B31" s="11"/>
      <c r="C31" s="290" t="s">
        <v>4335</v>
      </c>
      <c r="D31" s="188" t="s">
        <v>4337</v>
      </c>
      <c r="E31" s="188" t="s">
        <v>4338</v>
      </c>
      <c r="F31" s="188" t="s">
        <v>4339</v>
      </c>
      <c r="G31" s="207" t="s">
        <v>4340</v>
      </c>
      <c r="H31" s="188" t="s">
        <v>4341</v>
      </c>
      <c r="I31" s="188" t="s">
        <v>4342</v>
      </c>
      <c r="J31" s="11"/>
      <c r="K31" s="209" t="s">
        <v>4271</v>
      </c>
      <c r="L31" s="210" t="s">
        <v>3850</v>
      </c>
      <c r="M31" s="210" t="s">
        <v>3848</v>
      </c>
      <c r="N31" s="210" t="s">
        <v>4273</v>
      </c>
      <c r="O31" s="211" t="s">
        <v>4274</v>
      </c>
      <c r="P31" s="11"/>
      <c r="Q31" s="213" t="s">
        <v>4027</v>
      </c>
      <c r="R31" s="213" t="s">
        <v>4030</v>
      </c>
      <c r="S31" s="213" t="s">
        <v>4033</v>
      </c>
      <c r="T31" s="213" t="s">
        <v>3948</v>
      </c>
      <c r="U31" s="213" t="s">
        <v>3950</v>
      </c>
      <c r="V31" s="214" t="s">
        <v>4036</v>
      </c>
      <c r="W31" s="215" t="s">
        <v>3903</v>
      </c>
      <c r="X31" s="291" t="s">
        <v>3992</v>
      </c>
      <c r="Y31" s="216" t="s">
        <v>3906</v>
      </c>
      <c r="Z31" s="216" t="s">
        <v>3923</v>
      </c>
      <c r="AA31" s="216" t="s">
        <v>3993</v>
      </c>
      <c r="AB31" s="11"/>
      <c r="AC31" s="11"/>
      <c r="AD31" s="249" t="s">
        <v>4162</v>
      </c>
      <c r="AE31" s="188" t="s">
        <v>4163</v>
      </c>
      <c r="AF31" s="188" t="s">
        <v>4164</v>
      </c>
      <c r="AG31" s="188" t="s">
        <v>4165</v>
      </c>
      <c r="AH31" s="188" t="s">
        <v>4166</v>
      </c>
      <c r="AI31" s="188" t="s">
        <v>4167</v>
      </c>
      <c r="AJ31" s="188" t="s">
        <v>4168</v>
      </c>
      <c r="AK31" s="188" t="s">
        <v>4169</v>
      </c>
      <c r="AL31" s="208" t="s">
        <v>4170</v>
      </c>
      <c r="AM31" s="11"/>
      <c r="AN31" s="11"/>
      <c r="AO31" s="238"/>
      <c r="AP31" s="292"/>
      <c r="AQ31" s="293" t="s">
        <v>4716</v>
      </c>
      <c r="AR31" s="294"/>
      <c r="AS31" s="17"/>
      <c r="AT31" s="258" t="s">
        <v>4564</v>
      </c>
      <c r="AU31" s="11"/>
      <c r="AV31" s="17"/>
      <c r="AW31" s="17"/>
      <c r="AX31" s="192"/>
    </row>
    <row r="32">
      <c r="A32" s="11"/>
      <c r="B32" s="11"/>
      <c r="C32" s="219" t="s">
        <v>4717</v>
      </c>
      <c r="D32" s="102" t="s">
        <v>4718</v>
      </c>
      <c r="E32" s="102" t="s">
        <v>4719</v>
      </c>
      <c r="F32" s="102" t="s">
        <v>4720</v>
      </c>
      <c r="G32" s="220" t="s">
        <v>4721</v>
      </c>
      <c r="H32" s="102" t="s">
        <v>4722</v>
      </c>
      <c r="I32" s="102" t="s">
        <v>4723</v>
      </c>
      <c r="J32" s="11"/>
      <c r="K32" s="102" t="s">
        <v>4545</v>
      </c>
      <c r="L32" s="220" t="s">
        <v>4546</v>
      </c>
      <c r="M32" s="220" t="s">
        <v>4547</v>
      </c>
      <c r="N32" s="220" t="s">
        <v>4577</v>
      </c>
      <c r="O32" s="223" t="s">
        <v>4660</v>
      </c>
      <c r="P32" s="11"/>
      <c r="Q32" s="102" t="s">
        <v>4724</v>
      </c>
      <c r="R32" s="102" t="s">
        <v>4675</v>
      </c>
      <c r="S32" s="102" t="s">
        <v>4725</v>
      </c>
      <c r="T32" s="102" t="s">
        <v>4726</v>
      </c>
      <c r="U32" s="17"/>
      <c r="V32" s="222"/>
      <c r="W32" s="270" t="s">
        <v>4727</v>
      </c>
      <c r="X32" s="102" t="s">
        <v>4677</v>
      </c>
      <c r="Y32" s="102" t="s">
        <v>4728</v>
      </c>
      <c r="Z32" s="102" t="s">
        <v>4679</v>
      </c>
      <c r="AA32" s="102" t="s">
        <v>4729</v>
      </c>
      <c r="AB32" s="11"/>
      <c r="AC32" s="11"/>
      <c r="AD32" s="102" t="s">
        <v>4730</v>
      </c>
      <c r="AE32" s="102" t="s">
        <v>4731</v>
      </c>
      <c r="AF32" s="102" t="s">
        <v>4732</v>
      </c>
      <c r="AG32" s="102" t="s">
        <v>4733</v>
      </c>
      <c r="AH32" s="102" t="s">
        <v>4734</v>
      </c>
      <c r="AI32" s="17"/>
      <c r="AJ32" s="102" t="s">
        <v>4735</v>
      </c>
      <c r="AK32" s="102" t="s">
        <v>4736</v>
      </c>
      <c r="AL32" s="102" t="s">
        <v>4737</v>
      </c>
      <c r="AM32" s="11"/>
      <c r="AN32" s="11"/>
      <c r="AO32" s="295"/>
      <c r="AP32" s="296"/>
      <c r="AQ32" s="297"/>
      <c r="AR32" s="298"/>
      <c r="AS32" s="299"/>
      <c r="AT32" s="300" t="s">
        <v>4738</v>
      </c>
      <c r="AU32" s="11"/>
      <c r="AV32" s="188" t="s">
        <v>4295</v>
      </c>
      <c r="AW32" s="188" t="s">
        <v>4302</v>
      </c>
      <c r="AX32" s="192"/>
    </row>
    <row r="33">
      <c r="A33" s="11"/>
      <c r="B33" s="11"/>
      <c r="C33" s="301" t="s">
        <v>4612</v>
      </c>
      <c r="D33" s="9" t="s">
        <v>4612</v>
      </c>
      <c r="E33" s="9" t="s">
        <v>4612</v>
      </c>
      <c r="F33" s="9" t="s">
        <v>4612</v>
      </c>
      <c r="G33" s="9" t="s">
        <v>4612</v>
      </c>
      <c r="H33" s="9" t="s">
        <v>4612</v>
      </c>
      <c r="I33" s="9" t="s">
        <v>4612</v>
      </c>
      <c r="J33" s="11"/>
      <c r="K33" s="6" t="s">
        <v>1531</v>
      </c>
      <c r="L33" s="16" t="s">
        <v>367</v>
      </c>
      <c r="M33" s="16" t="s">
        <v>369</v>
      </c>
      <c r="N33" s="106" t="s">
        <v>340</v>
      </c>
      <c r="O33" s="231" t="s">
        <v>337</v>
      </c>
      <c r="P33" s="11"/>
      <c r="Q33" s="6" t="s">
        <v>614</v>
      </c>
      <c r="R33" s="6" t="s">
        <v>611</v>
      </c>
      <c r="S33" s="6" t="s">
        <v>608</v>
      </c>
      <c r="T33" s="6" t="s">
        <v>605</v>
      </c>
      <c r="U33" s="6" t="s">
        <v>602</v>
      </c>
      <c r="V33" s="16" t="s">
        <v>1326</v>
      </c>
      <c r="W33" s="280" t="s">
        <v>4693</v>
      </c>
      <c r="X33" s="281" t="s">
        <v>4693</v>
      </c>
      <c r="Y33" s="281" t="s">
        <v>4693</v>
      </c>
      <c r="Z33" s="281" t="s">
        <v>4693</v>
      </c>
      <c r="AA33" s="16" t="s">
        <v>349</v>
      </c>
      <c r="AB33" s="11"/>
      <c r="AC33" s="11"/>
      <c r="AD33" s="278" t="s">
        <v>1888</v>
      </c>
      <c r="AE33" s="16" t="s">
        <v>478</v>
      </c>
      <c r="AF33" s="16" t="s">
        <v>1902</v>
      </c>
      <c r="AG33" s="16" t="s">
        <v>1892</v>
      </c>
      <c r="AH33" s="16" t="s">
        <v>1890</v>
      </c>
      <c r="AI33" s="16" t="s">
        <v>1894</v>
      </c>
      <c r="AJ33" s="16" t="s">
        <v>1896</v>
      </c>
      <c r="AK33" s="6" t="s">
        <v>1900</v>
      </c>
      <c r="AL33" s="6" t="s">
        <v>1898</v>
      </c>
      <c r="AM33" s="11"/>
      <c r="AN33" s="11"/>
      <c r="AO33" s="11"/>
      <c r="AP33" s="11"/>
      <c r="AQ33" s="11"/>
      <c r="AR33" s="11"/>
      <c r="AS33" s="11"/>
      <c r="AT33" s="11"/>
      <c r="AU33" s="11"/>
      <c r="AV33" s="283" t="s">
        <v>4564</v>
      </c>
      <c r="AW33" s="283" t="s">
        <v>4564</v>
      </c>
      <c r="AX33" s="192"/>
    </row>
    <row r="34">
      <c r="A34" s="11"/>
      <c r="B34" s="11"/>
      <c r="C34" s="240"/>
      <c r="D34" s="17"/>
      <c r="E34" s="17"/>
      <c r="F34" s="17"/>
      <c r="G34" s="17"/>
      <c r="H34" s="17"/>
      <c r="I34" s="17"/>
      <c r="J34" s="11"/>
      <c r="K34" s="16" t="s">
        <v>4571</v>
      </c>
      <c r="L34" s="106" t="s">
        <v>4571</v>
      </c>
      <c r="M34" s="106" t="s">
        <v>4571</v>
      </c>
      <c r="N34" s="106" t="s">
        <v>4571</v>
      </c>
      <c r="O34" s="231" t="s">
        <v>4571</v>
      </c>
      <c r="P34" s="11"/>
      <c r="Q34" s="6" t="s">
        <v>3989</v>
      </c>
      <c r="R34" s="6" t="s">
        <v>3989</v>
      </c>
      <c r="S34" s="6" t="s">
        <v>3989</v>
      </c>
      <c r="T34" s="6" t="s">
        <v>3989</v>
      </c>
      <c r="U34" s="6" t="s">
        <v>3989</v>
      </c>
      <c r="V34" s="261" t="s">
        <v>3989</v>
      </c>
      <c r="W34" s="78" t="s">
        <v>3389</v>
      </c>
      <c r="X34" s="6" t="s">
        <v>3389</v>
      </c>
      <c r="Y34" s="6" t="s">
        <v>3389</v>
      </c>
      <c r="Z34" s="6" t="s">
        <v>3389</v>
      </c>
      <c r="AA34" s="6" t="s">
        <v>3389</v>
      </c>
      <c r="AB34" s="11"/>
      <c r="AC34" s="11"/>
      <c r="AD34" s="16" t="s">
        <v>4705</v>
      </c>
      <c r="AE34" s="16" t="s">
        <v>4705</v>
      </c>
      <c r="AF34" s="16" t="s">
        <v>4705</v>
      </c>
      <c r="AG34" s="16" t="s">
        <v>4705</v>
      </c>
      <c r="AH34" s="16" t="s">
        <v>4705</v>
      </c>
      <c r="AI34" s="16" t="s">
        <v>4705</v>
      </c>
      <c r="AJ34" s="16" t="s">
        <v>4705</v>
      </c>
      <c r="AK34" s="16" t="s">
        <v>4706</v>
      </c>
      <c r="AL34" s="16" t="s">
        <v>4706</v>
      </c>
      <c r="AM34" s="11"/>
      <c r="AN34" s="11"/>
      <c r="AO34" s="11"/>
      <c r="AP34" s="11"/>
      <c r="AQ34" s="11"/>
      <c r="AR34" s="11"/>
      <c r="AS34" s="11"/>
      <c r="AT34" s="11"/>
      <c r="AU34" s="11"/>
      <c r="AV34" s="17"/>
      <c r="AW34" s="17"/>
      <c r="AX34" s="192"/>
    </row>
    <row r="35">
      <c r="A35" s="11"/>
      <c r="B35" s="11"/>
      <c r="C35" s="206" t="s">
        <v>4344</v>
      </c>
      <c r="D35" s="188" t="s">
        <v>4346</v>
      </c>
      <c r="E35" s="188" t="s">
        <v>4348</v>
      </c>
      <c r="F35" s="188" t="s">
        <v>4350</v>
      </c>
      <c r="G35" s="208" t="s">
        <v>4352</v>
      </c>
      <c r="H35" s="188" t="s">
        <v>4354</v>
      </c>
      <c r="I35" s="188" t="s">
        <v>4356</v>
      </c>
      <c r="J35" s="11"/>
      <c r="K35" s="209" t="s">
        <v>4275</v>
      </c>
      <c r="L35" s="245" t="s">
        <v>4276</v>
      </c>
      <c r="M35" s="245" t="s">
        <v>4277</v>
      </c>
      <c r="N35" s="245" t="s">
        <v>4278</v>
      </c>
      <c r="O35" s="246" t="s">
        <v>4279</v>
      </c>
      <c r="P35" s="11"/>
      <c r="Q35" s="213" t="s">
        <v>3952</v>
      </c>
      <c r="R35" s="213" t="s">
        <v>4038</v>
      </c>
      <c r="S35" s="213" t="s">
        <v>3956</v>
      </c>
      <c r="T35" s="213" t="s">
        <v>3958</v>
      </c>
      <c r="U35" s="213" t="s">
        <v>3960</v>
      </c>
      <c r="V35" s="276" t="s">
        <v>3962</v>
      </c>
      <c r="W35" s="302" t="s">
        <v>3994</v>
      </c>
      <c r="X35" s="216" t="s">
        <v>3995</v>
      </c>
      <c r="Y35" s="216" t="s">
        <v>3996</v>
      </c>
      <c r="Z35" s="216" t="s">
        <v>3997</v>
      </c>
      <c r="AA35" s="216" t="s">
        <v>3998</v>
      </c>
      <c r="AB35" s="11"/>
      <c r="AC35" s="11"/>
      <c r="AD35" s="188" t="s">
        <v>4171</v>
      </c>
      <c r="AE35" s="188" t="s">
        <v>4172</v>
      </c>
      <c r="AF35" s="188" t="s">
        <v>4173</v>
      </c>
      <c r="AG35" s="188" t="s">
        <v>4174</v>
      </c>
      <c r="AH35" s="188" t="s">
        <v>4175</v>
      </c>
      <c r="AI35" s="188" t="s">
        <v>4176</v>
      </c>
      <c r="AJ35" s="188" t="s">
        <v>4177</v>
      </c>
      <c r="AK35" s="188" t="s">
        <v>4178</v>
      </c>
      <c r="AL35" s="188" t="s">
        <v>4179</v>
      </c>
      <c r="AM35" s="11"/>
      <c r="AN35" s="11"/>
      <c r="AO35" s="11"/>
      <c r="AP35" s="11"/>
      <c r="AQ35" s="11"/>
      <c r="AR35" s="11"/>
      <c r="AS35" s="11"/>
      <c r="AT35" s="11"/>
      <c r="AU35" s="11"/>
      <c r="AV35" s="303" t="s">
        <v>4739</v>
      </c>
      <c r="AX35" s="192"/>
    </row>
    <row r="36">
      <c r="A36" s="11"/>
      <c r="B36" s="11"/>
      <c r="C36" s="219" t="s">
        <v>4740</v>
      </c>
      <c r="D36" s="102" t="s">
        <v>4741</v>
      </c>
      <c r="E36" s="102" t="s">
        <v>4742</v>
      </c>
      <c r="F36" s="102" t="s">
        <v>4743</v>
      </c>
      <c r="G36" s="220" t="s">
        <v>4740</v>
      </c>
      <c r="H36" s="102" t="s">
        <v>4744</v>
      </c>
      <c r="I36" s="102" t="s">
        <v>4745</v>
      </c>
      <c r="J36" s="11"/>
      <c r="K36" s="102" t="s">
        <v>4746</v>
      </c>
      <c r="L36" s="220" t="s">
        <v>4747</v>
      </c>
      <c r="M36" s="220" t="s">
        <v>4748</v>
      </c>
      <c r="N36" s="102" t="s">
        <v>4749</v>
      </c>
      <c r="O36" s="223" t="s">
        <v>4750</v>
      </c>
      <c r="P36" s="11"/>
      <c r="Q36" s="17"/>
      <c r="R36" s="17"/>
      <c r="S36" s="17"/>
      <c r="T36" s="17"/>
      <c r="U36" s="17"/>
      <c r="V36" s="222"/>
      <c r="W36" s="266"/>
      <c r="X36" s="102" t="s">
        <v>4751</v>
      </c>
      <c r="Y36" s="102" t="s">
        <v>4752</v>
      </c>
      <c r="Z36" s="102" t="s">
        <v>4753</v>
      </c>
      <c r="AA36" s="102" t="s">
        <v>4754</v>
      </c>
      <c r="AB36" s="11"/>
      <c r="AC36" s="11"/>
      <c r="AD36" s="102" t="s">
        <v>4755</v>
      </c>
      <c r="AE36" s="102" t="s">
        <v>4756</v>
      </c>
      <c r="AF36" s="102" t="s">
        <v>4757</v>
      </c>
      <c r="AG36" s="102" t="s">
        <v>4758</v>
      </c>
      <c r="AH36" s="102" t="s">
        <v>4759</v>
      </c>
      <c r="AI36" s="102" t="s">
        <v>4760</v>
      </c>
      <c r="AJ36" s="102" t="s">
        <v>4761</v>
      </c>
      <c r="AK36" s="102" t="s">
        <v>4762</v>
      </c>
      <c r="AL36" s="102" t="s">
        <v>4763</v>
      </c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92"/>
    </row>
    <row r="37">
      <c r="A37" s="11"/>
      <c r="B37" s="11"/>
      <c r="C37" s="301" t="s">
        <v>4612</v>
      </c>
      <c r="D37" s="9" t="s">
        <v>4612</v>
      </c>
      <c r="E37" s="9" t="s">
        <v>4612</v>
      </c>
      <c r="F37" s="9" t="s">
        <v>4612</v>
      </c>
      <c r="G37" s="9" t="s">
        <v>4612</v>
      </c>
      <c r="H37" s="9" t="s">
        <v>4612</v>
      </c>
      <c r="I37" s="9" t="s">
        <v>4612</v>
      </c>
      <c r="J37" s="11"/>
      <c r="K37" s="278" t="s">
        <v>1547</v>
      </c>
      <c r="L37" s="26" t="s">
        <v>1539</v>
      </c>
      <c r="M37" s="26" t="s">
        <v>1553</v>
      </c>
      <c r="N37" s="6" t="s">
        <v>1766</v>
      </c>
      <c r="O37" s="231" t="s">
        <v>432</v>
      </c>
      <c r="P37" s="11"/>
      <c r="Q37" s="6" t="s">
        <v>620</v>
      </c>
      <c r="R37" s="257" t="s">
        <v>617</v>
      </c>
      <c r="S37" s="16" t="s">
        <v>1565</v>
      </c>
      <c r="T37" s="274" t="s">
        <v>1438</v>
      </c>
      <c r="U37" s="16" t="s">
        <v>1312</v>
      </c>
      <c r="V37" s="304" t="s">
        <v>1447</v>
      </c>
      <c r="W37" s="305" t="s">
        <v>4612</v>
      </c>
      <c r="X37" s="9" t="s">
        <v>4612</v>
      </c>
      <c r="Y37" s="9" t="s">
        <v>4612</v>
      </c>
      <c r="Z37" s="9" t="s">
        <v>4612</v>
      </c>
      <c r="AA37" s="9" t="s">
        <v>4612</v>
      </c>
      <c r="AB37" s="11"/>
      <c r="AC37" s="11"/>
      <c r="AD37" s="16" t="s">
        <v>1785</v>
      </c>
      <c r="AE37" s="16" t="s">
        <v>4764</v>
      </c>
      <c r="AF37" s="124" t="s">
        <v>121</v>
      </c>
      <c r="AG37" s="16" t="s">
        <v>760</v>
      </c>
      <c r="AH37" s="16" t="s">
        <v>1787</v>
      </c>
      <c r="AI37" s="106" t="s">
        <v>663</v>
      </c>
      <c r="AJ37" s="281" t="s">
        <v>4693</v>
      </c>
      <c r="AK37" s="281" t="s">
        <v>4693</v>
      </c>
      <c r="AL37" s="281" t="s">
        <v>4693</v>
      </c>
      <c r="AM37" s="11"/>
      <c r="AN37" s="11"/>
      <c r="AO37" s="306" t="s">
        <v>4765</v>
      </c>
      <c r="AP37" s="11"/>
      <c r="AQ37" s="11"/>
      <c r="AR37" s="11"/>
      <c r="AS37" s="11"/>
      <c r="AT37" s="11"/>
      <c r="AU37" s="11"/>
      <c r="AV37" s="11"/>
      <c r="AW37" s="11"/>
      <c r="AX37" s="192"/>
    </row>
    <row r="38">
      <c r="A38" s="11"/>
      <c r="B38" s="11"/>
      <c r="C38" s="240"/>
      <c r="D38" s="17"/>
      <c r="E38" s="17"/>
      <c r="F38" s="17"/>
      <c r="G38" s="17"/>
      <c r="H38" s="17"/>
      <c r="I38" s="17"/>
      <c r="J38" s="11"/>
      <c r="K38" s="16" t="s">
        <v>3186</v>
      </c>
      <c r="L38" s="106" t="s">
        <v>3186</v>
      </c>
      <c r="M38" s="106" t="s">
        <v>3186</v>
      </c>
      <c r="N38" s="106" t="s">
        <v>3186</v>
      </c>
      <c r="O38" s="231" t="s">
        <v>3186</v>
      </c>
      <c r="P38" s="11"/>
      <c r="Q38" s="6" t="s">
        <v>3989</v>
      </c>
      <c r="R38" s="6" t="s">
        <v>3989</v>
      </c>
      <c r="S38" s="6" t="s">
        <v>3989</v>
      </c>
      <c r="T38" s="6" t="s">
        <v>3989</v>
      </c>
      <c r="U38" s="6" t="s">
        <v>3989</v>
      </c>
      <c r="V38" s="261" t="s">
        <v>3989</v>
      </c>
      <c r="W38" s="106" t="s">
        <v>2999</v>
      </c>
      <c r="X38" s="106" t="s">
        <v>2999</v>
      </c>
      <c r="Y38" s="106" t="s">
        <v>2999</v>
      </c>
      <c r="Z38" s="106" t="s">
        <v>2999</v>
      </c>
      <c r="AA38" s="106" t="s">
        <v>2999</v>
      </c>
      <c r="AB38" s="11"/>
      <c r="AC38" s="11"/>
      <c r="AD38" s="16" t="s">
        <v>3138</v>
      </c>
      <c r="AE38" s="16" t="s">
        <v>3138</v>
      </c>
      <c r="AF38" s="16" t="s">
        <v>3138</v>
      </c>
      <c r="AG38" s="16" t="s">
        <v>3138</v>
      </c>
      <c r="AH38" s="16" t="s">
        <v>3138</v>
      </c>
      <c r="AI38" s="16" t="s">
        <v>3138</v>
      </c>
      <c r="AJ38" s="16" t="s">
        <v>2935</v>
      </c>
      <c r="AK38" s="16" t="s">
        <v>2935</v>
      </c>
      <c r="AL38" s="262" t="s">
        <v>2935</v>
      </c>
      <c r="AM38" s="11"/>
      <c r="AN38" s="11"/>
      <c r="AO38" s="243" t="s">
        <v>4766</v>
      </c>
      <c r="AP38" s="11"/>
      <c r="AQ38" s="11"/>
      <c r="AR38" s="11"/>
      <c r="AS38" s="11"/>
      <c r="AT38" s="11"/>
      <c r="AU38" s="11"/>
      <c r="AV38" s="11"/>
      <c r="AW38" s="11"/>
      <c r="AX38" s="192"/>
    </row>
    <row r="39">
      <c r="A39" s="11"/>
      <c r="B39" s="11"/>
      <c r="C39" s="18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92"/>
      <c r="P39" s="11"/>
      <c r="Q39" s="190"/>
      <c r="R39" s="190"/>
      <c r="S39" s="190"/>
      <c r="T39" s="190"/>
      <c r="U39" s="78" t="s">
        <v>4575</v>
      </c>
      <c r="V39" s="307" t="s">
        <v>4575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72"/>
      <c r="AM39" s="11"/>
      <c r="AN39" s="11"/>
      <c r="AO39" s="243" t="s">
        <v>4767</v>
      </c>
      <c r="AP39" s="11"/>
      <c r="AQ39" s="11"/>
      <c r="AR39" s="11"/>
      <c r="AS39" s="11"/>
      <c r="AT39" s="11"/>
      <c r="AU39" s="11"/>
      <c r="AV39" s="11"/>
      <c r="AW39" s="11"/>
      <c r="AX39" s="192"/>
    </row>
    <row r="40">
      <c r="A40" s="11"/>
      <c r="B40" s="11"/>
      <c r="C40" s="18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92"/>
      <c r="P40" s="11"/>
      <c r="Q40" s="190"/>
      <c r="R40" s="190"/>
      <c r="S40" s="190"/>
      <c r="T40" s="190"/>
      <c r="U40" s="190"/>
      <c r="V40" s="19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286" t="s">
        <v>4768</v>
      </c>
      <c r="AJ40" s="11"/>
      <c r="AK40" s="11"/>
      <c r="AL40" s="11"/>
      <c r="AM40" s="11"/>
      <c r="AN40" s="11"/>
      <c r="AO40" s="306" t="s">
        <v>4769</v>
      </c>
      <c r="AP40" s="11"/>
      <c r="AQ40" s="11"/>
      <c r="AR40" s="11"/>
      <c r="AS40" s="11"/>
      <c r="AT40" s="11"/>
      <c r="AU40" s="11"/>
      <c r="AV40" s="11"/>
      <c r="AW40" s="11"/>
      <c r="AX40" s="192"/>
    </row>
    <row r="41">
      <c r="A41" s="11"/>
      <c r="B41" s="11"/>
      <c r="C41" s="265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92"/>
      <c r="P41" s="11"/>
      <c r="Q41" s="190"/>
      <c r="R41" s="190"/>
      <c r="S41" s="190"/>
      <c r="T41" s="190"/>
      <c r="U41" s="190"/>
      <c r="V41" s="193"/>
      <c r="W41" s="11"/>
      <c r="X41" s="11"/>
      <c r="Y41" s="11"/>
      <c r="Z41" s="11"/>
      <c r="AA41" s="11"/>
      <c r="AB41" s="11"/>
      <c r="AC41" s="11"/>
      <c r="AD41" s="266"/>
      <c r="AE41" s="11"/>
      <c r="AF41" s="11"/>
      <c r="AG41" s="11"/>
      <c r="AH41" s="11"/>
      <c r="AI41" s="11"/>
      <c r="AJ41" s="11"/>
      <c r="AK41" s="11"/>
      <c r="AL41" s="266"/>
      <c r="AM41" s="11"/>
      <c r="AN41" s="11"/>
      <c r="AO41" s="306" t="s">
        <v>4770</v>
      </c>
      <c r="AP41" s="11"/>
      <c r="AQ41" s="11"/>
      <c r="AR41" s="11"/>
      <c r="AS41" s="11"/>
      <c r="AT41" s="11"/>
      <c r="AU41" s="11"/>
      <c r="AV41" s="11"/>
      <c r="AW41" s="11"/>
      <c r="AX41" s="192"/>
    </row>
    <row r="42">
      <c r="A42" s="11"/>
      <c r="B42" s="11"/>
      <c r="C42" s="206" t="s">
        <v>4360</v>
      </c>
      <c r="D42" s="207" t="s">
        <v>4362</v>
      </c>
      <c r="E42" s="207" t="s">
        <v>4363</v>
      </c>
      <c r="F42" s="207" t="s">
        <v>4365</v>
      </c>
      <c r="G42" s="207" t="s">
        <v>4367</v>
      </c>
      <c r="H42" s="308" t="s">
        <v>4368</v>
      </c>
      <c r="I42" s="188" t="s">
        <v>4369</v>
      </c>
      <c r="J42" s="11"/>
      <c r="K42" s="209" t="s">
        <v>4280</v>
      </c>
      <c r="L42" s="210" t="s">
        <v>4281</v>
      </c>
      <c r="M42" s="210" t="s">
        <v>4282</v>
      </c>
      <c r="N42" s="210" t="s">
        <v>4283</v>
      </c>
      <c r="O42" s="211" t="s">
        <v>4284</v>
      </c>
      <c r="P42" s="11"/>
      <c r="Q42" s="213" t="s">
        <v>4043</v>
      </c>
      <c r="R42" s="213" t="s">
        <v>4044</v>
      </c>
      <c r="S42" s="213" t="s">
        <v>4045</v>
      </c>
      <c r="T42" s="213" t="s">
        <v>4046</v>
      </c>
      <c r="U42" s="213" t="s">
        <v>3972</v>
      </c>
      <c r="V42" s="214" t="s">
        <v>3974</v>
      </c>
      <c r="W42" s="309" t="s">
        <v>3999</v>
      </c>
      <c r="X42" s="309" t="s">
        <v>4000</v>
      </c>
      <c r="Y42" s="309" t="s">
        <v>4002</v>
      </c>
      <c r="Z42" s="309" t="s">
        <v>4004</v>
      </c>
      <c r="AA42" s="309" t="s">
        <v>4007</v>
      </c>
      <c r="AB42" s="11"/>
      <c r="AC42" s="11"/>
      <c r="AD42" s="249" t="s">
        <v>4180</v>
      </c>
      <c r="AE42" s="207" t="s">
        <v>4181</v>
      </c>
      <c r="AF42" s="207" t="s">
        <v>4182</v>
      </c>
      <c r="AG42" s="207" t="s">
        <v>4183</v>
      </c>
      <c r="AH42" s="207" t="s">
        <v>4184</v>
      </c>
      <c r="AI42" s="207" t="s">
        <v>4185</v>
      </c>
      <c r="AJ42" s="207" t="s">
        <v>4186</v>
      </c>
      <c r="AK42" s="207" t="s">
        <v>3603</v>
      </c>
      <c r="AL42" s="208" t="s">
        <v>4187</v>
      </c>
      <c r="AM42" s="11"/>
      <c r="AN42" s="11"/>
      <c r="AO42" s="11"/>
      <c r="AP42" s="11"/>
      <c r="AQ42" s="188" t="s">
        <v>4285</v>
      </c>
      <c r="AR42" s="188" t="s">
        <v>4286</v>
      </c>
      <c r="AS42" s="188" t="s">
        <v>4287</v>
      </c>
      <c r="AT42" s="188" t="s">
        <v>4288</v>
      </c>
      <c r="AU42" s="188" t="s">
        <v>4289</v>
      </c>
      <c r="AV42" s="188" t="s">
        <v>4290</v>
      </c>
      <c r="AW42" s="188" t="s">
        <v>4291</v>
      </c>
      <c r="AX42" s="310" t="s">
        <v>3925</v>
      </c>
    </row>
    <row r="43">
      <c r="A43" s="11"/>
      <c r="B43" s="11"/>
      <c r="C43" s="219" t="s">
        <v>4771</v>
      </c>
      <c r="D43" s="220" t="s">
        <v>4772</v>
      </c>
      <c r="E43" s="220" t="s">
        <v>4773</v>
      </c>
      <c r="F43" s="220" t="s">
        <v>4774</v>
      </c>
      <c r="G43" s="220" t="s">
        <v>4775</v>
      </c>
      <c r="H43" s="270" t="s">
        <v>4776</v>
      </c>
      <c r="I43" s="221" t="s">
        <v>4777</v>
      </c>
      <c r="J43" s="11"/>
      <c r="K43" s="221" t="s">
        <v>4778</v>
      </c>
      <c r="L43" s="102" t="s">
        <v>4779</v>
      </c>
      <c r="M43" s="102" t="s">
        <v>4780</v>
      </c>
      <c r="N43" s="220" t="s">
        <v>4781</v>
      </c>
      <c r="O43" s="223" t="s">
        <v>4782</v>
      </c>
      <c r="P43" s="11"/>
      <c r="Q43" s="225" t="s">
        <v>4783</v>
      </c>
      <c r="R43" s="225" t="s">
        <v>4784</v>
      </c>
      <c r="S43" s="225" t="s">
        <v>4785</v>
      </c>
      <c r="T43" s="225" t="s">
        <v>4786</v>
      </c>
      <c r="U43" s="225" t="s">
        <v>4787</v>
      </c>
      <c r="V43" s="311" t="s">
        <v>4788</v>
      </c>
      <c r="W43" s="312"/>
      <c r="X43" s="313"/>
      <c r="Y43" s="312"/>
      <c r="Z43" s="312"/>
      <c r="AA43" s="312"/>
      <c r="AB43" s="11"/>
      <c r="AC43" s="11"/>
      <c r="AD43" s="102" t="s">
        <v>4789</v>
      </c>
      <c r="AE43" s="102" t="s">
        <v>4790</v>
      </c>
      <c r="AF43" s="102" t="s">
        <v>4791</v>
      </c>
      <c r="AG43" s="102" t="s">
        <v>4792</v>
      </c>
      <c r="AH43" s="102" t="s">
        <v>4793</v>
      </c>
      <c r="AI43" s="102" t="s">
        <v>4794</v>
      </c>
      <c r="AJ43" s="102" t="s">
        <v>4795</v>
      </c>
      <c r="AK43" s="102" t="s">
        <v>4796</v>
      </c>
      <c r="AL43" s="102" t="s">
        <v>4797</v>
      </c>
      <c r="AM43" s="11"/>
      <c r="AN43" s="11"/>
      <c r="AO43" s="11"/>
      <c r="AP43" s="11"/>
      <c r="AQ43" s="188" t="s">
        <v>4798</v>
      </c>
      <c r="AR43" s="188" t="s">
        <v>4799</v>
      </c>
      <c r="AS43" s="188" t="s">
        <v>4800</v>
      </c>
      <c r="AT43" s="188" t="s">
        <v>4765</v>
      </c>
      <c r="AU43" s="188" t="s">
        <v>4766</v>
      </c>
      <c r="AV43" s="188" t="s">
        <v>4767</v>
      </c>
      <c r="AW43" s="188" t="s">
        <v>4769</v>
      </c>
      <c r="AX43" s="314" t="s">
        <v>4770</v>
      </c>
    </row>
    <row r="44">
      <c r="A44" s="11"/>
      <c r="B44" s="11"/>
      <c r="C44" s="301" t="s">
        <v>4612</v>
      </c>
      <c r="D44" s="9" t="s">
        <v>4612</v>
      </c>
      <c r="E44" s="9" t="s">
        <v>4612</v>
      </c>
      <c r="F44" s="9" t="s">
        <v>4612</v>
      </c>
      <c r="G44" s="9" t="s">
        <v>4612</v>
      </c>
      <c r="H44" s="9" t="s">
        <v>4612</v>
      </c>
      <c r="I44" s="9" t="s">
        <v>4612</v>
      </c>
      <c r="J44" s="11"/>
      <c r="K44" s="6" t="s">
        <v>1770</v>
      </c>
      <c r="L44" s="6" t="s">
        <v>1768</v>
      </c>
      <c r="M44" s="106" t="s">
        <v>346</v>
      </c>
      <c r="N44" s="26" t="s">
        <v>1545</v>
      </c>
      <c r="O44" s="236" t="s">
        <v>1571</v>
      </c>
      <c r="P44" s="11"/>
      <c r="Q44" s="16" t="s">
        <v>1952</v>
      </c>
      <c r="R44" s="6" t="s">
        <v>1950</v>
      </c>
      <c r="S44" s="6" t="s">
        <v>626</v>
      </c>
      <c r="T44" s="6" t="s">
        <v>1951</v>
      </c>
      <c r="U44" s="6" t="s">
        <v>1799</v>
      </c>
      <c r="V44" s="236" t="s">
        <v>1793</v>
      </c>
      <c r="W44" s="315" t="s">
        <v>4612</v>
      </c>
      <c r="X44" s="16" t="s">
        <v>334</v>
      </c>
      <c r="Y44" s="16" t="s">
        <v>325</v>
      </c>
      <c r="Z44" s="16" t="s">
        <v>343</v>
      </c>
      <c r="AA44" s="16" t="s">
        <v>1278</v>
      </c>
      <c r="AB44" s="11"/>
      <c r="AC44" s="11"/>
      <c r="AD44" s="16" t="s">
        <v>1732</v>
      </c>
      <c r="AE44" s="16" t="s">
        <v>1734</v>
      </c>
      <c r="AF44" s="16" t="s">
        <v>1736</v>
      </c>
      <c r="AG44" s="16" t="s">
        <v>1738</v>
      </c>
      <c r="AH44" s="16" t="s">
        <v>1740</v>
      </c>
      <c r="AI44" s="155" t="s">
        <v>1742</v>
      </c>
      <c r="AJ44" s="155" t="s">
        <v>1400</v>
      </c>
      <c r="AK44" s="16" t="s">
        <v>1398</v>
      </c>
      <c r="AL44" s="281" t="s">
        <v>4693</v>
      </c>
      <c r="AM44" s="11"/>
      <c r="AN44" s="11"/>
      <c r="AO44" s="11"/>
      <c r="AP44" s="11"/>
      <c r="AQ44" s="283" t="s">
        <v>4564</v>
      </c>
      <c r="AR44" s="30">
        <v>32741.0</v>
      </c>
      <c r="AS44" s="30" t="s">
        <v>4564</v>
      </c>
      <c r="AT44" s="30" t="s">
        <v>4564</v>
      </c>
      <c r="AU44" s="30" t="s">
        <v>4564</v>
      </c>
      <c r="AV44" s="30" t="s">
        <v>4564</v>
      </c>
      <c r="AW44" s="16" t="s">
        <v>812</v>
      </c>
      <c r="AX44" s="16" t="s">
        <v>1510</v>
      </c>
    </row>
    <row r="45">
      <c r="A45" s="11"/>
      <c r="B45" s="11"/>
      <c r="C45" s="240"/>
      <c r="D45" s="17"/>
      <c r="E45" s="17"/>
      <c r="F45" s="17"/>
      <c r="G45" s="17"/>
      <c r="H45" s="17"/>
      <c r="I45" s="17"/>
      <c r="J45" s="11"/>
      <c r="K45" s="105" t="s">
        <v>4801</v>
      </c>
      <c r="L45" s="106" t="s">
        <v>4801</v>
      </c>
      <c r="M45" s="106" t="s">
        <v>3186</v>
      </c>
      <c r="N45" s="106" t="s">
        <v>3186</v>
      </c>
      <c r="O45" s="231" t="s">
        <v>3186</v>
      </c>
      <c r="P45" s="11"/>
      <c r="Q45" s="6" t="s">
        <v>3989</v>
      </c>
      <c r="R45" s="6" t="s">
        <v>3989</v>
      </c>
      <c r="S45" s="6" t="s">
        <v>3989</v>
      </c>
      <c r="T45" s="6" t="s">
        <v>3989</v>
      </c>
      <c r="U45" s="6" t="s">
        <v>3989</v>
      </c>
      <c r="V45" s="261" t="s">
        <v>3989</v>
      </c>
      <c r="W45" s="106" t="s">
        <v>2999</v>
      </c>
      <c r="X45" s="106" t="s">
        <v>2999</v>
      </c>
      <c r="Y45" s="106" t="s">
        <v>2999</v>
      </c>
      <c r="Z45" s="106" t="s">
        <v>2999</v>
      </c>
      <c r="AA45" s="106" t="s">
        <v>2999</v>
      </c>
      <c r="AB45" s="11"/>
      <c r="AC45" s="11"/>
      <c r="AD45" s="16" t="s">
        <v>3171</v>
      </c>
      <c r="AE45" s="16" t="s">
        <v>3171</v>
      </c>
      <c r="AF45" s="16" t="s">
        <v>4802</v>
      </c>
      <c r="AG45" s="16" t="s">
        <v>4802</v>
      </c>
      <c r="AH45" s="16" t="s">
        <v>4802</v>
      </c>
      <c r="AI45" s="16" t="s">
        <v>4802</v>
      </c>
      <c r="AJ45" s="16" t="s">
        <v>3171</v>
      </c>
      <c r="AK45" s="16" t="s">
        <v>3171</v>
      </c>
      <c r="AL45" s="16" t="s">
        <v>2935</v>
      </c>
      <c r="AM45" s="11"/>
      <c r="AN45" s="11"/>
      <c r="AO45" s="11"/>
      <c r="AP45" s="11"/>
      <c r="AQ45" s="316" t="s">
        <v>3151</v>
      </c>
      <c r="AR45" s="317" t="s">
        <v>3151</v>
      </c>
      <c r="AS45" s="317" t="s">
        <v>3151</v>
      </c>
      <c r="AT45" s="317" t="s">
        <v>4803</v>
      </c>
      <c r="AU45" s="317" t="s">
        <v>4803</v>
      </c>
      <c r="AV45" s="317" t="s">
        <v>4803</v>
      </c>
      <c r="AW45" s="317" t="s">
        <v>4803</v>
      </c>
      <c r="AX45" s="318" t="s">
        <v>4803</v>
      </c>
    </row>
    <row r="46">
      <c r="A46" s="11"/>
      <c r="B46" s="11"/>
      <c r="C46" s="319" t="s">
        <v>4533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320"/>
      <c r="P46" s="11"/>
      <c r="Q46" s="124" t="s">
        <v>4575</v>
      </c>
      <c r="R46" s="124" t="s">
        <v>4575</v>
      </c>
      <c r="S46" s="124" t="s">
        <v>4575</v>
      </c>
      <c r="T46" s="124" t="s">
        <v>4575</v>
      </c>
      <c r="U46" s="78" t="s">
        <v>4575</v>
      </c>
      <c r="V46" s="124" t="s">
        <v>4575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321" t="s">
        <v>4716</v>
      </c>
    </row>
    <row r="47">
      <c r="A47" s="11"/>
      <c r="B47" s="11"/>
      <c r="C47" s="322"/>
      <c r="D47" s="323" t="s">
        <v>4804</v>
      </c>
      <c r="E47" s="324"/>
      <c r="F47" s="324"/>
      <c r="G47" s="324"/>
      <c r="H47" s="324"/>
      <c r="I47" s="324"/>
      <c r="J47" s="324"/>
      <c r="K47" s="324"/>
      <c r="L47" s="324"/>
      <c r="M47" s="325"/>
      <c r="N47" s="11"/>
      <c r="O47" s="326" t="s">
        <v>4716</v>
      </c>
      <c r="P47" s="11"/>
      <c r="Q47" s="327" t="s">
        <v>4804</v>
      </c>
      <c r="R47" s="328"/>
      <c r="S47" s="328"/>
      <c r="T47" s="328"/>
      <c r="U47" s="328"/>
      <c r="V47" s="328"/>
      <c r="W47" s="328"/>
      <c r="X47" s="328"/>
      <c r="Y47" s="328"/>
      <c r="Z47" s="328"/>
      <c r="AA47" s="329"/>
      <c r="AB47" s="11"/>
      <c r="AC47" s="11"/>
      <c r="AD47" s="327" t="s">
        <v>4804</v>
      </c>
      <c r="AE47" s="328"/>
      <c r="AF47" s="328"/>
      <c r="AG47" s="328"/>
      <c r="AH47" s="328"/>
      <c r="AI47" s="328"/>
      <c r="AJ47" s="328"/>
      <c r="AK47" s="328"/>
      <c r="AL47" s="329"/>
      <c r="AM47" s="11"/>
      <c r="AN47" s="327" t="s">
        <v>4804</v>
      </c>
      <c r="AO47" s="328"/>
      <c r="AP47" s="328"/>
      <c r="AQ47" s="328"/>
      <c r="AR47" s="328"/>
      <c r="AS47" s="328"/>
      <c r="AT47" s="328"/>
      <c r="AU47" s="328"/>
      <c r="AV47" s="329"/>
      <c r="AW47" s="11"/>
      <c r="AX47" s="330"/>
    </row>
    <row r="48">
      <c r="A48" s="11"/>
      <c r="B48" s="11"/>
      <c r="C48" s="322"/>
      <c r="D48" s="322"/>
      <c r="M48" s="330"/>
      <c r="N48" s="11"/>
      <c r="O48" s="330"/>
      <c r="P48" s="11"/>
      <c r="Q48" s="331"/>
      <c r="AA48" s="330"/>
      <c r="AB48" s="11"/>
      <c r="AC48" s="11"/>
      <c r="AD48" s="331"/>
      <c r="AL48" s="330"/>
      <c r="AM48" s="11"/>
      <c r="AN48" s="331"/>
      <c r="AV48" s="330"/>
      <c r="AW48" s="11"/>
      <c r="AX48" s="330"/>
    </row>
    <row r="49">
      <c r="A49" s="11"/>
      <c r="B49" s="11"/>
      <c r="C49" s="322"/>
      <c r="D49" s="332"/>
      <c r="E49" s="297"/>
      <c r="F49" s="297"/>
      <c r="G49" s="297"/>
      <c r="H49" s="297"/>
      <c r="I49" s="297"/>
      <c r="J49" s="297"/>
      <c r="K49" s="297"/>
      <c r="L49" s="297"/>
      <c r="M49" s="333"/>
      <c r="N49" s="11"/>
      <c r="O49" s="330"/>
      <c r="P49" s="11"/>
      <c r="Q49" s="334"/>
      <c r="R49" s="297"/>
      <c r="S49" s="297"/>
      <c r="T49" s="297"/>
      <c r="U49" s="297"/>
      <c r="V49" s="297"/>
      <c r="W49" s="297"/>
      <c r="X49" s="297"/>
      <c r="Y49" s="297"/>
      <c r="Z49" s="297"/>
      <c r="AA49" s="333"/>
      <c r="AB49" s="11"/>
      <c r="AC49" s="11"/>
      <c r="AD49" s="334"/>
      <c r="AE49" s="297"/>
      <c r="AF49" s="297"/>
      <c r="AG49" s="297"/>
      <c r="AH49" s="297"/>
      <c r="AI49" s="297"/>
      <c r="AJ49" s="297"/>
      <c r="AK49" s="297"/>
      <c r="AL49" s="333"/>
      <c r="AM49" s="11"/>
      <c r="AN49" s="334"/>
      <c r="AO49" s="297"/>
      <c r="AP49" s="297"/>
      <c r="AQ49" s="297"/>
      <c r="AR49" s="297"/>
      <c r="AS49" s="297"/>
      <c r="AT49" s="297"/>
      <c r="AU49" s="297"/>
      <c r="AV49" s="333"/>
      <c r="AW49" s="11"/>
      <c r="AX49" s="330"/>
    </row>
    <row r="50">
      <c r="A50" s="11"/>
      <c r="B50" s="11"/>
      <c r="C50" s="322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320"/>
      <c r="P50" s="11"/>
      <c r="Q50" s="190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90"/>
      <c r="AQ50" s="11"/>
      <c r="AR50" s="11"/>
      <c r="AS50" s="11"/>
      <c r="AT50" s="11"/>
      <c r="AU50" s="11"/>
      <c r="AV50" s="11"/>
      <c r="AW50" s="11"/>
      <c r="AX50" s="330"/>
    </row>
    <row r="51">
      <c r="A51" s="11"/>
      <c r="B51" s="11"/>
      <c r="C51" s="335" t="s">
        <v>3909</v>
      </c>
      <c r="D51" s="336" t="s">
        <v>3911</v>
      </c>
      <c r="E51" s="336" t="s">
        <v>3912</v>
      </c>
      <c r="F51" s="336" t="s">
        <v>3914</v>
      </c>
      <c r="G51" s="336" t="s">
        <v>3916</v>
      </c>
      <c r="H51" s="336" t="s">
        <v>3918</v>
      </c>
      <c r="I51" s="336" t="s">
        <v>3920</v>
      </c>
      <c r="J51" s="337" t="s">
        <v>4716</v>
      </c>
      <c r="K51" s="338"/>
      <c r="L51" s="339" t="s">
        <v>4223</v>
      </c>
      <c r="M51" s="339" t="s">
        <v>4225</v>
      </c>
      <c r="N51" s="339" t="s">
        <v>4226</v>
      </c>
      <c r="O51" s="340" t="s">
        <v>4228</v>
      </c>
      <c r="P51" s="124">
        <v>8.0</v>
      </c>
      <c r="Q51" s="341" t="s">
        <v>4805</v>
      </c>
      <c r="R51" s="342" t="s">
        <v>4806</v>
      </c>
      <c r="S51" s="342" t="s">
        <v>3576</v>
      </c>
      <c r="T51" s="342" t="s">
        <v>3579</v>
      </c>
      <c r="U51" s="342" t="s">
        <v>3582</v>
      </c>
      <c r="V51" s="342" t="s">
        <v>3585</v>
      </c>
      <c r="W51" s="342" t="s">
        <v>3588</v>
      </c>
      <c r="X51" s="343" t="s">
        <v>3591</v>
      </c>
      <c r="Y51" s="342" t="s">
        <v>3594</v>
      </c>
      <c r="Z51" s="342" t="s">
        <v>3597</v>
      </c>
      <c r="AA51" s="342" t="s">
        <v>3600</v>
      </c>
      <c r="AB51" s="344" t="s">
        <v>4716</v>
      </c>
      <c r="AC51" s="328"/>
      <c r="AD51" s="345" t="s">
        <v>4807</v>
      </c>
      <c r="AE51" s="342" t="s">
        <v>4808</v>
      </c>
      <c r="AF51" s="342" t="s">
        <v>4809</v>
      </c>
      <c r="AG51" s="342" t="s">
        <v>4810</v>
      </c>
      <c r="AH51" s="342" t="s">
        <v>4811</v>
      </c>
      <c r="AI51" s="342" t="s">
        <v>3826</v>
      </c>
      <c r="AJ51" s="342" t="s">
        <v>3827</v>
      </c>
      <c r="AK51" s="342" t="s">
        <v>3828</v>
      </c>
      <c r="AL51" s="342" t="s">
        <v>3829</v>
      </c>
      <c r="AM51" s="342" t="s">
        <v>3830</v>
      </c>
      <c r="AN51" s="342" t="s">
        <v>3831</v>
      </c>
      <c r="AO51" s="346" t="s">
        <v>4812</v>
      </c>
      <c r="AP51" s="328"/>
      <c r="AQ51" s="341" t="s">
        <v>4370</v>
      </c>
      <c r="AR51" s="342" t="s">
        <v>4371</v>
      </c>
      <c r="AS51" s="342" t="s">
        <v>4374</v>
      </c>
      <c r="AT51" s="342" t="s">
        <v>4376</v>
      </c>
      <c r="AU51" s="342" t="s">
        <v>4377</v>
      </c>
      <c r="AV51" s="342" t="s">
        <v>4379</v>
      </c>
      <c r="AW51" s="342" t="s">
        <v>4381</v>
      </c>
      <c r="AX51" s="347" t="s">
        <v>4383</v>
      </c>
    </row>
    <row r="52">
      <c r="A52" s="11"/>
      <c r="B52" s="11"/>
      <c r="C52" s="106" t="s">
        <v>215</v>
      </c>
      <c r="D52" s="26" t="s">
        <v>276</v>
      </c>
      <c r="E52" s="26" t="s">
        <v>274</v>
      </c>
      <c r="F52" s="26" t="s">
        <v>272</v>
      </c>
      <c r="G52" s="26" t="s">
        <v>270</v>
      </c>
      <c r="H52" s="26" t="s">
        <v>268</v>
      </c>
      <c r="I52" s="26" t="s">
        <v>266</v>
      </c>
      <c r="K52" s="348"/>
      <c r="L52" s="6" t="s">
        <v>212</v>
      </c>
      <c r="M52" s="6" t="s">
        <v>317</v>
      </c>
      <c r="N52" s="6" t="s">
        <v>219</v>
      </c>
      <c r="O52" s="349" t="s">
        <v>4813</v>
      </c>
      <c r="P52" s="11"/>
      <c r="Q52" s="6" t="s">
        <v>4814</v>
      </c>
      <c r="R52" s="26" t="s">
        <v>4815</v>
      </c>
      <c r="S52" s="26" t="s">
        <v>4816</v>
      </c>
      <c r="T52" s="26" t="s">
        <v>4817</v>
      </c>
      <c r="U52" s="26" t="s">
        <v>4818</v>
      </c>
      <c r="V52" s="26" t="s">
        <v>4819</v>
      </c>
      <c r="W52" s="26" t="s">
        <v>4820</v>
      </c>
      <c r="X52" s="350" t="s">
        <v>4821</v>
      </c>
      <c r="Y52" s="106" t="s">
        <v>4822</v>
      </c>
      <c r="Z52" s="16" t="s">
        <v>4823</v>
      </c>
      <c r="AA52" s="16" t="s">
        <v>4824</v>
      </c>
      <c r="AB52" s="11"/>
      <c r="AD52" s="105" t="s">
        <v>4825</v>
      </c>
      <c r="AE52" s="105" t="s">
        <v>4826</v>
      </c>
      <c r="AF52" s="6" t="s">
        <v>4827</v>
      </c>
      <c r="AG52" s="105" t="s">
        <v>4828</v>
      </c>
      <c r="AH52" s="6" t="s">
        <v>4829</v>
      </c>
      <c r="AI52" s="8"/>
      <c r="AJ52" s="11" t="s">
        <v>4830</v>
      </c>
      <c r="AK52" s="105" t="s">
        <v>4831</v>
      </c>
      <c r="AL52" s="11" t="s">
        <v>4832</v>
      </c>
      <c r="AM52" s="8"/>
      <c r="AN52" s="8"/>
      <c r="AQ52" s="105" t="s">
        <v>4833</v>
      </c>
      <c r="AR52" s="105" t="s">
        <v>4834</v>
      </c>
      <c r="AS52" s="11" t="s">
        <v>4835</v>
      </c>
      <c r="AT52" s="105" t="s">
        <v>4836</v>
      </c>
      <c r="AU52" s="194"/>
      <c r="AV52" s="194"/>
      <c r="AW52" s="105" t="s">
        <v>4837</v>
      </c>
      <c r="AX52" s="193"/>
    </row>
    <row r="53">
      <c r="A53" s="11"/>
      <c r="B53" s="11"/>
      <c r="C53" s="254" t="s">
        <v>4838</v>
      </c>
      <c r="D53" s="16" t="s">
        <v>4838</v>
      </c>
      <c r="E53" s="16" t="s">
        <v>4838</v>
      </c>
      <c r="F53" s="16" t="s">
        <v>4838</v>
      </c>
      <c r="G53" s="16" t="s">
        <v>4838</v>
      </c>
      <c r="H53" s="16" t="s">
        <v>4838</v>
      </c>
      <c r="I53" s="106" t="s">
        <v>4838</v>
      </c>
      <c r="J53" s="11"/>
      <c r="K53" s="11"/>
      <c r="L53" s="16" t="s">
        <v>4838</v>
      </c>
      <c r="M53" s="16" t="s">
        <v>4838</v>
      </c>
      <c r="N53" s="16" t="s">
        <v>4838</v>
      </c>
      <c r="O53" s="255" t="s">
        <v>4838</v>
      </c>
      <c r="P53" s="11"/>
      <c r="Q53" s="6" t="s">
        <v>2630</v>
      </c>
      <c r="R53" s="106" t="s">
        <v>551</v>
      </c>
      <c r="S53" s="16" t="s">
        <v>2661</v>
      </c>
      <c r="T53" s="16" t="s">
        <v>557</v>
      </c>
      <c r="U53" s="16" t="s">
        <v>560</v>
      </c>
      <c r="V53" s="16" t="s">
        <v>563</v>
      </c>
      <c r="W53" s="16" t="s">
        <v>1416</v>
      </c>
      <c r="X53" s="255" t="s">
        <v>1414</v>
      </c>
      <c r="Y53" s="30" t="s">
        <v>4612</v>
      </c>
      <c r="Z53" s="351" t="s">
        <v>590</v>
      </c>
      <c r="AA53" s="9" t="s">
        <v>4612</v>
      </c>
      <c r="AD53" s="187" t="s">
        <v>1130</v>
      </c>
      <c r="AE53" s="158" t="s">
        <v>1130</v>
      </c>
      <c r="AF53" s="158" t="s">
        <v>1127</v>
      </c>
      <c r="AG53" s="158" t="s">
        <v>1124</v>
      </c>
      <c r="AH53" s="106" t="s">
        <v>1133</v>
      </c>
      <c r="AI53" s="106" t="s">
        <v>1136</v>
      </c>
      <c r="AJ53" s="106" t="s">
        <v>1018</v>
      </c>
      <c r="AK53" s="106" t="s">
        <v>1021</v>
      </c>
      <c r="AL53" s="158" t="s">
        <v>1372</v>
      </c>
      <c r="AM53" s="106" t="s">
        <v>1220</v>
      </c>
      <c r="AN53" s="106" t="s">
        <v>1067</v>
      </c>
      <c r="AO53" s="11"/>
      <c r="AP53" s="11"/>
      <c r="AQ53" s="16" t="s">
        <v>992</v>
      </c>
      <c r="AR53" s="16" t="s">
        <v>872</v>
      </c>
      <c r="AS53" s="16" t="s">
        <v>875</v>
      </c>
      <c r="AT53" s="16" t="s">
        <v>878</v>
      </c>
      <c r="AU53" s="16" t="s">
        <v>880</v>
      </c>
      <c r="AV53" s="16" t="s">
        <v>883</v>
      </c>
      <c r="AW53" s="16" t="s">
        <v>886</v>
      </c>
      <c r="AX53" s="352" t="s">
        <v>889</v>
      </c>
    </row>
    <row r="54">
      <c r="A54" s="11"/>
      <c r="B54" s="11"/>
      <c r="C54" s="238"/>
      <c r="D54" s="17"/>
      <c r="E54" s="17"/>
      <c r="F54" s="17"/>
      <c r="G54" s="17"/>
      <c r="H54" s="17"/>
      <c r="I54" s="107"/>
      <c r="J54" s="353">
        <v>7.0</v>
      </c>
      <c r="K54" s="11"/>
      <c r="L54" s="17"/>
      <c r="M54" s="17"/>
      <c r="N54" s="17"/>
      <c r="O54" s="204"/>
      <c r="P54" s="354" t="s">
        <v>4839</v>
      </c>
      <c r="Q54" s="16" t="s">
        <v>3171</v>
      </c>
      <c r="R54" s="26" t="s">
        <v>3171</v>
      </c>
      <c r="S54" s="26" t="s">
        <v>3171</v>
      </c>
      <c r="T54" s="26" t="s">
        <v>3171</v>
      </c>
      <c r="U54" s="26" t="s">
        <v>3171</v>
      </c>
      <c r="V54" s="26" t="s">
        <v>3171</v>
      </c>
      <c r="W54" s="26" t="s">
        <v>3171</v>
      </c>
      <c r="X54" s="350" t="s">
        <v>3171</v>
      </c>
      <c r="Y54" s="106" t="s">
        <v>4840</v>
      </c>
      <c r="Z54" s="106" t="s">
        <v>4840</v>
      </c>
      <c r="AA54" s="106" t="s">
        <v>4840</v>
      </c>
      <c r="AD54" s="355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1"/>
      <c r="AP54" s="11"/>
      <c r="AQ54" s="8"/>
      <c r="AR54" s="8"/>
      <c r="AS54" s="8"/>
      <c r="AT54" s="8"/>
      <c r="AU54" s="8"/>
      <c r="AV54" s="8"/>
      <c r="AW54" s="8"/>
      <c r="AX54" s="356"/>
    </row>
    <row r="55">
      <c r="A55" s="11"/>
      <c r="B55" s="11"/>
      <c r="C55" s="357" t="s">
        <v>3567</v>
      </c>
      <c r="D55" s="358" t="s">
        <v>3566</v>
      </c>
      <c r="E55" s="358" t="s">
        <v>3924</v>
      </c>
      <c r="F55" s="358" t="s">
        <v>3926</v>
      </c>
      <c r="G55" s="358" t="s">
        <v>3928</v>
      </c>
      <c r="H55" s="358" t="s">
        <v>3930</v>
      </c>
      <c r="I55" s="359" t="s">
        <v>3932</v>
      </c>
      <c r="J55" s="11"/>
      <c r="K55" s="353">
        <v>4.0</v>
      </c>
      <c r="L55" s="358" t="s">
        <v>4229</v>
      </c>
      <c r="M55" s="358" t="s">
        <v>4230</v>
      </c>
      <c r="N55" s="358" t="s">
        <v>4231</v>
      </c>
      <c r="O55" s="360" t="s">
        <v>4232</v>
      </c>
      <c r="P55" s="361"/>
      <c r="Q55" s="241"/>
      <c r="R55" s="26" t="s">
        <v>4575</v>
      </c>
      <c r="S55" s="224"/>
      <c r="T55" s="26" t="s">
        <v>4575</v>
      </c>
      <c r="U55" s="26" t="s">
        <v>4575</v>
      </c>
      <c r="V55" s="26" t="s">
        <v>4575</v>
      </c>
      <c r="W55" s="26" t="s">
        <v>4575</v>
      </c>
      <c r="X55" s="350" t="s">
        <v>4575</v>
      </c>
      <c r="Y55" s="107"/>
      <c r="Z55" s="17"/>
      <c r="AA55" s="17"/>
      <c r="AD55" s="362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1"/>
      <c r="AP55" s="11"/>
      <c r="AQ55" s="8"/>
      <c r="AR55" s="8"/>
      <c r="AS55" s="8"/>
      <c r="AT55" s="8"/>
      <c r="AU55" s="8"/>
      <c r="AV55" s="8"/>
      <c r="AW55" s="8"/>
      <c r="AX55" s="356"/>
    </row>
    <row r="56">
      <c r="A56" s="11"/>
      <c r="B56" s="11"/>
      <c r="C56" s="363" t="s">
        <v>264</v>
      </c>
      <c r="D56" s="6" t="s">
        <v>262</v>
      </c>
      <c r="E56" s="6" t="s">
        <v>260</v>
      </c>
      <c r="F56" s="6" t="s">
        <v>258</v>
      </c>
      <c r="G56" s="6" t="s">
        <v>256</v>
      </c>
      <c r="H56" s="6" t="s">
        <v>254</v>
      </c>
      <c r="I56" s="26" t="s">
        <v>252</v>
      </c>
      <c r="J56" s="11"/>
      <c r="K56" s="11"/>
      <c r="L56" s="6" t="s">
        <v>289</v>
      </c>
      <c r="M56" s="6" t="s">
        <v>4841</v>
      </c>
      <c r="N56" s="6" t="s">
        <v>294</v>
      </c>
      <c r="O56" s="255" t="s">
        <v>291</v>
      </c>
      <c r="P56" s="11"/>
      <c r="Q56" s="249" t="s">
        <v>3688</v>
      </c>
      <c r="R56" s="208" t="s">
        <v>3691</v>
      </c>
      <c r="S56" s="208" t="s">
        <v>3694</v>
      </c>
      <c r="T56" s="208" t="s">
        <v>3696</v>
      </c>
      <c r="U56" s="208" t="s">
        <v>3698</v>
      </c>
      <c r="V56" s="208" t="s">
        <v>3700</v>
      </c>
      <c r="W56" s="208" t="s">
        <v>3702</v>
      </c>
      <c r="X56" s="364" t="s">
        <v>3703</v>
      </c>
      <c r="Y56" s="208" t="s">
        <v>3706</v>
      </c>
      <c r="Z56" s="188" t="s">
        <v>3708</v>
      </c>
      <c r="AA56" s="188" t="s">
        <v>3710</v>
      </c>
      <c r="AD56" s="195"/>
      <c r="AE56" s="188" t="s">
        <v>4842</v>
      </c>
      <c r="AF56" s="188" t="s">
        <v>4843</v>
      </c>
      <c r="AG56" s="188" t="s">
        <v>4844</v>
      </c>
      <c r="AH56" s="188" t="s">
        <v>4845</v>
      </c>
      <c r="AI56" s="188" t="s">
        <v>3832</v>
      </c>
      <c r="AJ56" s="188" t="s">
        <v>3833</v>
      </c>
      <c r="AK56" s="188" t="s">
        <v>3834</v>
      </c>
      <c r="AL56" s="188" t="s">
        <v>3835</v>
      </c>
      <c r="AM56" s="188" t="s">
        <v>3836</v>
      </c>
      <c r="AN56" s="188" t="s">
        <v>3837</v>
      </c>
      <c r="AO56" s="11"/>
      <c r="AP56" s="11"/>
      <c r="AQ56" s="188" t="s">
        <v>4385</v>
      </c>
      <c r="AR56" s="188" t="s">
        <v>4387</v>
      </c>
      <c r="AS56" s="188" t="s">
        <v>4389</v>
      </c>
      <c r="AT56" s="188" t="s">
        <v>4390</v>
      </c>
      <c r="AU56" s="188" t="s">
        <v>4392</v>
      </c>
      <c r="AV56" s="188" t="s">
        <v>4394</v>
      </c>
      <c r="AW56" s="188" t="s">
        <v>4395</v>
      </c>
      <c r="AX56" s="314" t="s">
        <v>4396</v>
      </c>
    </row>
    <row r="57">
      <c r="A57" s="11"/>
      <c r="B57" s="11"/>
      <c r="C57" s="254" t="s">
        <v>4838</v>
      </c>
      <c r="D57" s="16" t="s">
        <v>4838</v>
      </c>
      <c r="E57" s="16" t="s">
        <v>4838</v>
      </c>
      <c r="F57" s="16" t="s">
        <v>4838</v>
      </c>
      <c r="G57" s="16" t="s">
        <v>4838</v>
      </c>
      <c r="H57" s="16" t="s">
        <v>4838</v>
      </c>
      <c r="I57" s="106" t="s">
        <v>4838</v>
      </c>
      <c r="J57" s="11"/>
      <c r="K57" s="11"/>
      <c r="L57" s="16" t="s">
        <v>4838</v>
      </c>
      <c r="M57" s="16" t="s">
        <v>4838</v>
      </c>
      <c r="N57" s="16" t="s">
        <v>4838</v>
      </c>
      <c r="O57" s="255" t="s">
        <v>4838</v>
      </c>
      <c r="P57" s="124">
        <v>8.0</v>
      </c>
      <c r="Q57" s="278" t="s">
        <v>4846</v>
      </c>
      <c r="R57" s="26" t="s">
        <v>4847</v>
      </c>
      <c r="S57" s="26" t="s">
        <v>4848</v>
      </c>
      <c r="T57" s="26" t="s">
        <v>4849</v>
      </c>
      <c r="U57" s="26" t="s">
        <v>4850</v>
      </c>
      <c r="V57" s="26" t="s">
        <v>4851</v>
      </c>
      <c r="W57" s="26" t="s">
        <v>4852</v>
      </c>
      <c r="X57" s="350" t="s">
        <v>4853</v>
      </c>
      <c r="Y57" s="106" t="s">
        <v>4854</v>
      </c>
      <c r="Z57" s="16" t="s">
        <v>4852</v>
      </c>
      <c r="AA57" s="16" t="s">
        <v>4855</v>
      </c>
      <c r="AD57" s="195"/>
      <c r="AE57" s="6" t="s">
        <v>4856</v>
      </c>
      <c r="AF57" s="6" t="s">
        <v>4857</v>
      </c>
      <c r="AG57" s="6" t="s">
        <v>4858</v>
      </c>
      <c r="AH57" s="6" t="s">
        <v>4859</v>
      </c>
      <c r="AI57" s="8"/>
      <c r="AJ57" s="11" t="s">
        <v>4860</v>
      </c>
      <c r="AK57" s="8"/>
      <c r="AL57" s="8"/>
      <c r="AM57" s="8"/>
      <c r="AN57" s="105" t="s">
        <v>4861</v>
      </c>
      <c r="AO57" s="11"/>
      <c r="AP57" s="11"/>
      <c r="AQ57" s="8"/>
      <c r="AR57" s="8"/>
      <c r="AS57" s="8"/>
      <c r="AT57" s="105" t="s">
        <v>4862</v>
      </c>
      <c r="AU57" s="8"/>
      <c r="AV57" s="8"/>
      <c r="AW57" s="8"/>
      <c r="AX57" s="356"/>
    </row>
    <row r="58">
      <c r="A58" s="11"/>
      <c r="B58" s="11"/>
      <c r="C58" s="238"/>
      <c r="D58" s="17"/>
      <c r="E58" s="17"/>
      <c r="F58" s="17"/>
      <c r="G58" s="17"/>
      <c r="H58" s="17"/>
      <c r="I58" s="294"/>
      <c r="J58" s="124">
        <v>7.0</v>
      </c>
      <c r="K58" s="124">
        <v>4.0</v>
      </c>
      <c r="L58" s="17"/>
      <c r="M58" s="17"/>
      <c r="N58" s="17"/>
      <c r="O58" s="204"/>
      <c r="P58" s="11"/>
      <c r="Q58" s="105" t="s">
        <v>4863</v>
      </c>
      <c r="R58" s="6" t="s">
        <v>2562</v>
      </c>
      <c r="S58" s="106" t="s">
        <v>4864</v>
      </c>
      <c r="T58" s="16" t="s">
        <v>1402</v>
      </c>
      <c r="U58" s="16" t="s">
        <v>569</v>
      </c>
      <c r="V58" s="106" t="s">
        <v>581</v>
      </c>
      <c r="W58" s="106" t="s">
        <v>1406</v>
      </c>
      <c r="X58" s="365" t="s">
        <v>572</v>
      </c>
      <c r="Y58" s="275" t="s">
        <v>1453</v>
      </c>
      <c r="Z58" s="275" t="s">
        <v>1429</v>
      </c>
      <c r="AA58" s="9" t="s">
        <v>4612</v>
      </c>
      <c r="AD58" s="195"/>
      <c r="AE58" s="6" t="s">
        <v>1139</v>
      </c>
      <c r="AF58" s="106" t="s">
        <v>1142</v>
      </c>
      <c r="AG58" s="158" t="s">
        <v>1145</v>
      </c>
      <c r="AH58" s="106" t="s">
        <v>1148</v>
      </c>
      <c r="AI58" s="106" t="s">
        <v>1031</v>
      </c>
      <c r="AJ58" s="106" t="s">
        <v>1121</v>
      </c>
      <c r="AK58" s="106" t="s">
        <v>1034</v>
      </c>
      <c r="AL58" s="106" t="s">
        <v>1037</v>
      </c>
      <c r="AM58" s="158" t="s">
        <v>1023</v>
      </c>
      <c r="AN58" s="106" t="s">
        <v>934</v>
      </c>
      <c r="AO58" s="11"/>
      <c r="AP58" s="11"/>
      <c r="AQ58" s="16" t="s">
        <v>892</v>
      </c>
      <c r="AR58" s="16" t="s">
        <v>895</v>
      </c>
      <c r="AS58" s="16" t="s">
        <v>897</v>
      </c>
      <c r="AT58" s="16" t="s">
        <v>899</v>
      </c>
      <c r="AU58" s="16" t="s">
        <v>902</v>
      </c>
      <c r="AV58" s="16" t="s">
        <v>905</v>
      </c>
      <c r="AW58" s="16" t="s">
        <v>908</v>
      </c>
      <c r="AX58" s="231" t="s">
        <v>911</v>
      </c>
    </row>
    <row r="59">
      <c r="A59" s="11"/>
      <c r="B59" s="11"/>
      <c r="C59" s="366" t="s">
        <v>3934</v>
      </c>
      <c r="D59" s="358" t="s">
        <v>3936</v>
      </c>
      <c r="E59" s="358" t="s">
        <v>3938</v>
      </c>
      <c r="F59" s="358" t="s">
        <v>3940</v>
      </c>
      <c r="G59" s="358" t="s">
        <v>3942</v>
      </c>
      <c r="H59" s="358" t="s">
        <v>3944</v>
      </c>
      <c r="I59" s="367" t="s">
        <v>3945</v>
      </c>
      <c r="J59" s="11"/>
      <c r="K59" s="11"/>
      <c r="L59" s="358" t="s">
        <v>4233</v>
      </c>
      <c r="M59" s="358" t="s">
        <v>4234</v>
      </c>
      <c r="N59" s="358" t="s">
        <v>4235</v>
      </c>
      <c r="O59" s="360" t="s">
        <v>4236</v>
      </c>
      <c r="P59" s="11"/>
      <c r="Q59" s="278" t="s">
        <v>3171</v>
      </c>
      <c r="R59" s="26" t="s">
        <v>3171</v>
      </c>
      <c r="S59" s="26" t="s">
        <v>4865</v>
      </c>
      <c r="T59" s="26" t="s">
        <v>4866</v>
      </c>
      <c r="U59" s="26" t="s">
        <v>4866</v>
      </c>
      <c r="V59" s="26" t="s">
        <v>4866</v>
      </c>
      <c r="W59" s="26" t="s">
        <v>4866</v>
      </c>
      <c r="X59" s="350" t="s">
        <v>4866</v>
      </c>
      <c r="Y59" s="106" t="s">
        <v>4840</v>
      </c>
      <c r="Z59" s="106" t="s">
        <v>4840</v>
      </c>
      <c r="AA59" s="106" t="s">
        <v>4840</v>
      </c>
      <c r="AD59" s="195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1"/>
      <c r="AP59" s="11"/>
      <c r="AQ59" s="8"/>
      <c r="AR59" s="8"/>
      <c r="AS59" s="8"/>
      <c r="AT59" s="8"/>
      <c r="AU59" s="8"/>
      <c r="AV59" s="8"/>
      <c r="AW59" s="8"/>
      <c r="AX59" s="368"/>
    </row>
    <row r="60">
      <c r="A60" s="11"/>
      <c r="B60" s="11"/>
      <c r="C60" s="363" t="s">
        <v>249</v>
      </c>
      <c r="D60" s="6" t="s">
        <v>246</v>
      </c>
      <c r="E60" s="6" t="s">
        <v>243</v>
      </c>
      <c r="F60" s="6" t="s">
        <v>240</v>
      </c>
      <c r="G60" s="26" t="s">
        <v>228</v>
      </c>
      <c r="H60" s="6" t="s">
        <v>231</v>
      </c>
      <c r="I60" s="369" t="s">
        <v>234</v>
      </c>
      <c r="J60" s="11"/>
      <c r="K60" s="11"/>
      <c r="L60" s="6" t="s">
        <v>221</v>
      </c>
      <c r="M60" s="6" t="s">
        <v>4867</v>
      </c>
      <c r="N60" s="6" t="s">
        <v>302</v>
      </c>
      <c r="O60" s="349" t="s">
        <v>305</v>
      </c>
      <c r="P60" s="11"/>
      <c r="Q60" s="249" t="s">
        <v>3713</v>
      </c>
      <c r="R60" s="208" t="s">
        <v>3716</v>
      </c>
      <c r="S60" s="208" t="s">
        <v>3718</v>
      </c>
      <c r="T60" s="208" t="s">
        <v>3720</v>
      </c>
      <c r="U60" s="208" t="s">
        <v>3722</v>
      </c>
      <c r="V60" s="208" t="s">
        <v>3723</v>
      </c>
      <c r="W60" s="208" t="s">
        <v>3725</v>
      </c>
      <c r="X60" s="364" t="s">
        <v>3727</v>
      </c>
      <c r="Y60" s="208" t="s">
        <v>3730</v>
      </c>
      <c r="Z60" s="188" t="s">
        <v>3735</v>
      </c>
      <c r="AA60" s="188" t="s">
        <v>3738</v>
      </c>
      <c r="AD60" s="195"/>
      <c r="AE60" s="188" t="s">
        <v>4868</v>
      </c>
      <c r="AF60" s="188" t="s">
        <v>4869</v>
      </c>
      <c r="AG60" s="188" t="s">
        <v>4870</v>
      </c>
      <c r="AH60" s="188" t="s">
        <v>4871</v>
      </c>
      <c r="AI60" s="188" t="s">
        <v>3838</v>
      </c>
      <c r="AJ60" s="188" t="s">
        <v>3839</v>
      </c>
      <c r="AK60" s="188" t="s">
        <v>3840</v>
      </c>
      <c r="AL60" s="188" t="s">
        <v>3841</v>
      </c>
      <c r="AM60" s="188" t="s">
        <v>3842</v>
      </c>
      <c r="AN60" s="188" t="s">
        <v>3843</v>
      </c>
      <c r="AO60" s="11"/>
      <c r="AP60" s="11"/>
      <c r="AQ60" s="188" t="s">
        <v>4397</v>
      </c>
      <c r="AR60" s="188" t="s">
        <v>4399</v>
      </c>
      <c r="AS60" s="188" t="s">
        <v>4401</v>
      </c>
      <c r="AT60" s="188" t="s">
        <v>4403</v>
      </c>
      <c r="AU60" s="188" t="s">
        <v>4404</v>
      </c>
      <c r="AV60" s="188" t="s">
        <v>4405</v>
      </c>
      <c r="AW60" s="188" t="s">
        <v>4406</v>
      </c>
      <c r="AX60" s="364" t="s">
        <v>4409</v>
      </c>
    </row>
    <row r="61">
      <c r="A61" s="11"/>
      <c r="B61" s="11"/>
      <c r="C61" s="254" t="s">
        <v>4838</v>
      </c>
      <c r="D61" s="16" t="s">
        <v>4838</v>
      </c>
      <c r="E61" s="16" t="s">
        <v>4838</v>
      </c>
      <c r="F61" s="16" t="s">
        <v>4838</v>
      </c>
      <c r="G61" s="16" t="s">
        <v>4838</v>
      </c>
      <c r="H61" s="16" t="s">
        <v>4838</v>
      </c>
      <c r="I61" s="106" t="s">
        <v>4838</v>
      </c>
      <c r="J61" s="11"/>
      <c r="K61" s="11"/>
      <c r="L61" s="16" t="s">
        <v>4838</v>
      </c>
      <c r="M61" s="16" t="s">
        <v>4838</v>
      </c>
      <c r="N61" s="16" t="s">
        <v>4838</v>
      </c>
      <c r="O61" s="255" t="s">
        <v>4838</v>
      </c>
      <c r="P61" s="124">
        <v>8.0</v>
      </c>
      <c r="Q61" s="278" t="s">
        <v>4872</v>
      </c>
      <c r="R61" s="26" t="s">
        <v>4873</v>
      </c>
      <c r="S61" s="26" t="s">
        <v>4874</v>
      </c>
      <c r="T61" s="26" t="s">
        <v>4875</v>
      </c>
      <c r="U61" s="26" t="s">
        <v>4876</v>
      </c>
      <c r="V61" s="26" t="s">
        <v>4877</v>
      </c>
      <c r="W61" s="26" t="s">
        <v>4878</v>
      </c>
      <c r="X61" s="350" t="s">
        <v>4879</v>
      </c>
      <c r="Y61" s="106" t="s">
        <v>4880</v>
      </c>
      <c r="Z61" s="16" t="s">
        <v>4881</v>
      </c>
      <c r="AA61" s="16" t="s">
        <v>4882</v>
      </c>
      <c r="AD61" s="195"/>
      <c r="AE61" s="6" t="s">
        <v>4883</v>
      </c>
      <c r="AF61" s="105" t="s">
        <v>4884</v>
      </c>
      <c r="AG61" s="6" t="s">
        <v>4885</v>
      </c>
      <c r="AH61" s="6" t="s">
        <v>4886</v>
      </c>
      <c r="AI61" s="8"/>
      <c r="AJ61" s="8"/>
      <c r="AK61" s="8"/>
      <c r="AL61" s="105" t="s">
        <v>4887</v>
      </c>
      <c r="AM61" s="8"/>
      <c r="AN61" s="105" t="s">
        <v>4888</v>
      </c>
      <c r="AO61" s="11"/>
      <c r="AP61" s="11"/>
      <c r="AQ61" s="8"/>
      <c r="AR61" s="105" t="s">
        <v>4889</v>
      </c>
      <c r="AS61" s="11" t="s">
        <v>4890</v>
      </c>
      <c r="AT61" s="105" t="s">
        <v>4891</v>
      </c>
      <c r="AU61" s="105" t="s">
        <v>4892</v>
      </c>
      <c r="AV61" s="105" t="s">
        <v>4893</v>
      </c>
      <c r="AW61" s="11" t="s">
        <v>4894</v>
      </c>
      <c r="AX61" s="234" t="s">
        <v>4895</v>
      </c>
    </row>
    <row r="62">
      <c r="A62" s="11"/>
      <c r="B62" s="11"/>
      <c r="C62" s="238"/>
      <c r="D62" s="17"/>
      <c r="E62" s="17"/>
      <c r="F62" s="17"/>
      <c r="G62" s="17"/>
      <c r="H62" s="17"/>
      <c r="I62" s="294"/>
      <c r="J62" s="124">
        <v>7.0</v>
      </c>
      <c r="K62" s="124">
        <v>4.0</v>
      </c>
      <c r="L62" s="17"/>
      <c r="M62" s="17"/>
      <c r="N62" s="17"/>
      <c r="O62" s="204"/>
      <c r="P62" s="11"/>
      <c r="Q62" s="16" t="s">
        <v>1720</v>
      </c>
      <c r="R62" s="16" t="s">
        <v>1724</v>
      </c>
      <c r="S62" s="16" t="s">
        <v>1722</v>
      </c>
      <c r="T62" s="26" t="s">
        <v>1629</v>
      </c>
      <c r="U62" s="26" t="s">
        <v>1645</v>
      </c>
      <c r="V62" s="26" t="s">
        <v>1613</v>
      </c>
      <c r="W62" s="26" t="s">
        <v>1641</v>
      </c>
      <c r="X62" s="350" t="s">
        <v>1639</v>
      </c>
      <c r="Y62" s="9" t="s">
        <v>4612</v>
      </c>
      <c r="Z62" s="9" t="s">
        <v>4612</v>
      </c>
      <c r="AA62" s="9" t="s">
        <v>4612</v>
      </c>
      <c r="AD62" s="195"/>
      <c r="AE62" s="16" t="s">
        <v>1154</v>
      </c>
      <c r="AF62" s="106" t="s">
        <v>1364</v>
      </c>
      <c r="AG62" s="106" t="s">
        <v>1160</v>
      </c>
      <c r="AH62" s="106" t="s">
        <v>1163</v>
      </c>
      <c r="AI62" s="106" t="s">
        <v>1040</v>
      </c>
      <c r="AJ62" s="106" t="s">
        <v>1043</v>
      </c>
      <c r="AK62" s="106" t="s">
        <v>1046</v>
      </c>
      <c r="AL62" s="106" t="s">
        <v>1360</v>
      </c>
      <c r="AM62" s="106" t="s">
        <v>1052</v>
      </c>
      <c r="AN62" s="106" t="s">
        <v>1055</v>
      </c>
      <c r="AO62" s="11"/>
      <c r="AP62" s="11"/>
      <c r="AQ62" s="16" t="s">
        <v>914</v>
      </c>
      <c r="AR62" s="16" t="s">
        <v>917</v>
      </c>
      <c r="AS62" s="16" t="s">
        <v>919</v>
      </c>
      <c r="AT62" s="16" t="s">
        <v>922</v>
      </c>
      <c r="AU62" s="16" t="s">
        <v>925</v>
      </c>
      <c r="AV62" s="16" t="s">
        <v>928</v>
      </c>
      <c r="AW62" s="16" t="s">
        <v>931</v>
      </c>
      <c r="AX62" s="365" t="s">
        <v>1026</v>
      </c>
    </row>
    <row r="63">
      <c r="A63" s="11"/>
      <c r="B63" s="11"/>
      <c r="C63" s="251"/>
      <c r="D63" s="233"/>
      <c r="E63" s="233"/>
      <c r="F63" s="233"/>
      <c r="G63" s="233"/>
      <c r="H63" s="233"/>
      <c r="I63" s="17"/>
      <c r="J63" s="11"/>
      <c r="K63" s="11"/>
      <c r="L63" s="17"/>
      <c r="M63" s="17"/>
      <c r="N63" s="17"/>
      <c r="O63" s="204"/>
      <c r="P63" s="11"/>
      <c r="Q63" s="278" t="s">
        <v>3171</v>
      </c>
      <c r="R63" s="26" t="s">
        <v>3171</v>
      </c>
      <c r="S63" s="26" t="s">
        <v>3171</v>
      </c>
      <c r="T63" s="26" t="s">
        <v>3171</v>
      </c>
      <c r="U63" s="26" t="s">
        <v>3171</v>
      </c>
      <c r="V63" s="26" t="s">
        <v>3171</v>
      </c>
      <c r="W63" s="26" t="s">
        <v>3171</v>
      </c>
      <c r="X63" s="350" t="s">
        <v>3171</v>
      </c>
      <c r="Y63" s="106" t="s">
        <v>4840</v>
      </c>
      <c r="Z63" s="106" t="s">
        <v>4840</v>
      </c>
      <c r="AA63" s="106" t="s">
        <v>4840</v>
      </c>
      <c r="AD63" s="195"/>
      <c r="AE63" s="17"/>
      <c r="AF63" s="17"/>
      <c r="AG63" s="17"/>
      <c r="AH63" s="17"/>
      <c r="AI63" s="17"/>
      <c r="AJ63" s="17"/>
      <c r="AK63" s="17"/>
      <c r="AL63" s="17"/>
      <c r="AM63" s="17"/>
      <c r="AN63" s="8"/>
      <c r="AO63" s="11"/>
      <c r="AP63" s="11"/>
      <c r="AQ63" s="8"/>
      <c r="AR63" s="8"/>
      <c r="AS63" s="8"/>
      <c r="AT63" s="8"/>
      <c r="AU63" s="8"/>
      <c r="AV63" s="8"/>
      <c r="AW63" s="8"/>
      <c r="AX63" s="368"/>
    </row>
    <row r="64">
      <c r="A64" s="11"/>
      <c r="B64" s="11"/>
      <c r="C64" s="370" t="s">
        <v>3947</v>
      </c>
      <c r="D64" s="358" t="s">
        <v>3949</v>
      </c>
      <c r="E64" s="358" t="s">
        <v>3951</v>
      </c>
      <c r="F64" s="358" t="s">
        <v>3953</v>
      </c>
      <c r="G64" s="358" t="s">
        <v>3955</v>
      </c>
      <c r="H64" s="358" t="s">
        <v>3957</v>
      </c>
      <c r="I64" s="358" t="s">
        <v>3959</v>
      </c>
      <c r="J64" s="11"/>
      <c r="K64" s="11"/>
      <c r="L64" s="358" t="s">
        <v>4238</v>
      </c>
      <c r="M64" s="358" t="s">
        <v>4239</v>
      </c>
      <c r="N64" s="358" t="s">
        <v>4241</v>
      </c>
      <c r="O64" s="360" t="s">
        <v>4243</v>
      </c>
      <c r="P64" s="11"/>
      <c r="Q64" s="278" t="s">
        <v>4575</v>
      </c>
      <c r="R64" s="26" t="s">
        <v>4575</v>
      </c>
      <c r="S64" s="26" t="s">
        <v>4575</v>
      </c>
      <c r="T64" s="26" t="s">
        <v>4575</v>
      </c>
      <c r="U64" s="26" t="s">
        <v>4575</v>
      </c>
      <c r="V64" s="26" t="s">
        <v>4575</v>
      </c>
      <c r="W64" s="26" t="s">
        <v>4575</v>
      </c>
      <c r="X64" s="350" t="s">
        <v>4575</v>
      </c>
      <c r="Y64" s="107"/>
      <c r="Z64" s="17"/>
      <c r="AA64" s="17"/>
      <c r="AD64" s="195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1"/>
      <c r="AP64" s="11"/>
      <c r="AQ64" s="17"/>
      <c r="AR64" s="17"/>
      <c r="AS64" s="17"/>
      <c r="AT64" s="17"/>
      <c r="AU64" s="171"/>
      <c r="AV64" s="17"/>
      <c r="AW64" s="17"/>
      <c r="AX64" s="371"/>
    </row>
    <row r="65">
      <c r="A65" s="11"/>
      <c r="B65" s="11"/>
      <c r="C65" s="226" t="s">
        <v>4612</v>
      </c>
      <c r="D65" s="16" t="s">
        <v>4896</v>
      </c>
      <c r="E65" s="16" t="s">
        <v>4897</v>
      </c>
      <c r="F65" s="16" t="s">
        <v>4898</v>
      </c>
      <c r="G65" s="16" t="s">
        <v>4899</v>
      </c>
      <c r="H65" s="16" t="s">
        <v>4900</v>
      </c>
      <c r="I65" s="16" t="s">
        <v>4901</v>
      </c>
      <c r="J65" s="124">
        <v>7.0</v>
      </c>
      <c r="K65" s="124">
        <v>4.0</v>
      </c>
      <c r="L65" s="16" t="s">
        <v>4902</v>
      </c>
      <c r="M65" s="16" t="s">
        <v>4903</v>
      </c>
      <c r="N65" s="16" t="s">
        <v>4904</v>
      </c>
      <c r="O65" s="255" t="s">
        <v>4905</v>
      </c>
      <c r="P65" s="124">
        <v>8.0</v>
      </c>
      <c r="Q65" s="249" t="s">
        <v>3741</v>
      </c>
      <c r="R65" s="208" t="s">
        <v>3744</v>
      </c>
      <c r="S65" s="208" t="s">
        <v>3746</v>
      </c>
      <c r="T65" s="208" t="s">
        <v>3749</v>
      </c>
      <c r="U65" s="208" t="s">
        <v>3751</v>
      </c>
      <c r="V65" s="208" t="s">
        <v>3754</v>
      </c>
      <c r="W65" s="208" t="s">
        <v>3757</v>
      </c>
      <c r="X65" s="364" t="s">
        <v>3761</v>
      </c>
      <c r="Y65" s="208" t="s">
        <v>3763</v>
      </c>
      <c r="Z65" s="188" t="s">
        <v>3764</v>
      </c>
      <c r="AA65" s="188" t="s">
        <v>3765</v>
      </c>
      <c r="AD65" s="195"/>
      <c r="AE65" s="188" t="s">
        <v>4906</v>
      </c>
      <c r="AF65" s="188" t="s">
        <v>4907</v>
      </c>
      <c r="AG65" s="188" t="s">
        <v>4908</v>
      </c>
      <c r="AH65" s="188" t="s">
        <v>4909</v>
      </c>
      <c r="AI65" s="188" t="s">
        <v>3844</v>
      </c>
      <c r="AJ65" s="188" t="s">
        <v>3845</v>
      </c>
      <c r="AK65" s="188" t="s">
        <v>3846</v>
      </c>
      <c r="AL65" s="188" t="s">
        <v>3847</v>
      </c>
      <c r="AM65" s="188" t="s">
        <v>3849</v>
      </c>
      <c r="AN65" s="188" t="s">
        <v>3851</v>
      </c>
      <c r="AO65" s="11"/>
      <c r="AP65" s="11"/>
      <c r="AQ65" s="188" t="s">
        <v>4411</v>
      </c>
      <c r="AR65" s="188" t="s">
        <v>4413</v>
      </c>
      <c r="AS65" s="188" t="s">
        <v>4415</v>
      </c>
      <c r="AT65" s="372" t="s">
        <v>4417</v>
      </c>
      <c r="AU65" s="373" t="s">
        <v>4910</v>
      </c>
      <c r="AV65" s="208" t="s">
        <v>4419</v>
      </c>
      <c r="AW65" s="188" t="s">
        <v>4422</v>
      </c>
      <c r="AX65" s="364" t="s">
        <v>4424</v>
      </c>
    </row>
    <row r="66">
      <c r="A66" s="11"/>
      <c r="B66" s="11"/>
      <c r="C66" s="251"/>
      <c r="D66" s="17"/>
      <c r="E66" s="17"/>
      <c r="F66" s="17"/>
      <c r="G66" s="17"/>
      <c r="H66" s="17"/>
      <c r="I66" s="17"/>
      <c r="J66" s="11"/>
      <c r="K66" s="11"/>
      <c r="L66" s="17"/>
      <c r="M66" s="17"/>
      <c r="N66" s="17"/>
      <c r="O66" s="204"/>
      <c r="P66" s="11"/>
      <c r="Q66" s="278" t="s">
        <v>4911</v>
      </c>
      <c r="R66" s="26" t="s">
        <v>4912</v>
      </c>
      <c r="S66" s="26" t="s">
        <v>4913</v>
      </c>
      <c r="T66" s="26" t="s">
        <v>4914</v>
      </c>
      <c r="U66" s="224"/>
      <c r="V66" s="26" t="s">
        <v>4915</v>
      </c>
      <c r="W66" s="26" t="s">
        <v>4916</v>
      </c>
      <c r="X66" s="350" t="s">
        <v>4917</v>
      </c>
      <c r="Y66" s="106" t="s">
        <v>4918</v>
      </c>
      <c r="Z66" s="16" t="s">
        <v>4919</v>
      </c>
      <c r="AA66" s="16" t="s">
        <v>4920</v>
      </c>
      <c r="AD66" s="195"/>
      <c r="AE66" s="105" t="s">
        <v>4921</v>
      </c>
      <c r="AF66" s="105" t="s">
        <v>4922</v>
      </c>
      <c r="AG66" s="56" t="s">
        <v>4923</v>
      </c>
      <c r="AH66" s="6" t="s">
        <v>4924</v>
      </c>
      <c r="AI66" s="105" t="s">
        <v>4925</v>
      </c>
      <c r="AJ66" s="11" t="s">
        <v>4926</v>
      </c>
      <c r="AK66" s="8"/>
      <c r="AL66" s="8"/>
      <c r="AM66" s="8"/>
      <c r="AN66" s="17"/>
      <c r="AO66" s="11"/>
      <c r="AP66" s="11"/>
      <c r="AQ66" s="17"/>
      <c r="AR66" s="105" t="s">
        <v>4927</v>
      </c>
      <c r="AS66" s="105" t="s">
        <v>4928</v>
      </c>
      <c r="AT66" s="201"/>
      <c r="AU66" s="374"/>
      <c r="AV66" s="11" t="s">
        <v>4929</v>
      </c>
      <c r="AW66" s="8"/>
      <c r="AX66" s="375" t="s">
        <v>4930</v>
      </c>
    </row>
    <row r="67">
      <c r="A67" s="11"/>
      <c r="B67" s="11"/>
      <c r="C67" s="251"/>
      <c r="D67" s="17"/>
      <c r="E67" s="17"/>
      <c r="F67" s="17"/>
      <c r="G67" s="17"/>
      <c r="H67" s="17"/>
      <c r="I67" s="17"/>
      <c r="J67" s="11"/>
      <c r="K67" s="11"/>
      <c r="L67" s="17"/>
      <c r="M67" s="17"/>
      <c r="N67" s="17"/>
      <c r="O67" s="204"/>
      <c r="P67" s="11"/>
      <c r="Q67" s="105" t="s">
        <v>1627</v>
      </c>
      <c r="R67" s="106" t="s">
        <v>4931</v>
      </c>
      <c r="S67" s="106" t="s">
        <v>4932</v>
      </c>
      <c r="T67" s="106" t="s">
        <v>4933</v>
      </c>
      <c r="U67" s="26" t="s">
        <v>1625</v>
      </c>
      <c r="V67" s="26" t="s">
        <v>1631</v>
      </c>
      <c r="W67" s="26" t="s">
        <v>1728</v>
      </c>
      <c r="X67" s="350" t="s">
        <v>1623</v>
      </c>
      <c r="Y67" s="106" t="s">
        <v>704</v>
      </c>
      <c r="Z67" s="9" t="s">
        <v>4612</v>
      </c>
      <c r="AA67" s="16" t="s">
        <v>489</v>
      </c>
      <c r="AD67" s="195"/>
      <c r="AE67" s="106" t="s">
        <v>1362</v>
      </c>
      <c r="AF67" s="106" t="s">
        <v>1340</v>
      </c>
      <c r="AG67" s="106" t="s">
        <v>1166</v>
      </c>
      <c r="AH67" s="106" t="s">
        <v>1169</v>
      </c>
      <c r="AI67" s="106" t="s">
        <v>1346</v>
      </c>
      <c r="AJ67" s="106" t="s">
        <v>1058</v>
      </c>
      <c r="AK67" s="106" t="s">
        <v>1061</v>
      </c>
      <c r="AL67" s="106" t="s">
        <v>1175</v>
      </c>
      <c r="AM67" s="106" t="s">
        <v>940</v>
      </c>
      <c r="AN67" s="106" t="s">
        <v>1151</v>
      </c>
      <c r="AO67" s="11"/>
      <c r="AP67" s="11"/>
      <c r="AQ67" s="16" t="s">
        <v>937</v>
      </c>
      <c r="AR67" s="16" t="s">
        <v>1009</v>
      </c>
      <c r="AS67" s="16" t="s">
        <v>1003</v>
      </c>
      <c r="AT67" s="376" t="s">
        <v>945</v>
      </c>
      <c r="AU67" s="377"/>
      <c r="AV67" s="106" t="s">
        <v>948</v>
      </c>
      <c r="AW67" s="16" t="s">
        <v>951</v>
      </c>
      <c r="AX67" s="365" t="s">
        <v>954</v>
      </c>
    </row>
    <row r="68">
      <c r="A68" s="11"/>
      <c r="B68" s="11"/>
      <c r="C68" s="378" t="s">
        <v>3961</v>
      </c>
      <c r="D68" s="358" t="s">
        <v>3963</v>
      </c>
      <c r="E68" s="358" t="s">
        <v>3964</v>
      </c>
      <c r="F68" s="358" t="s">
        <v>3967</v>
      </c>
      <c r="G68" s="358" t="s">
        <v>3969</v>
      </c>
      <c r="H68" s="358" t="s">
        <v>3971</v>
      </c>
      <c r="I68" s="358" t="s">
        <v>3973</v>
      </c>
      <c r="J68" s="11"/>
      <c r="K68" s="11"/>
      <c r="L68" s="358" t="s">
        <v>4934</v>
      </c>
      <c r="M68" s="358" t="s">
        <v>4935</v>
      </c>
      <c r="N68" s="358" t="s">
        <v>4936</v>
      </c>
      <c r="O68" s="360" t="s">
        <v>4937</v>
      </c>
      <c r="P68" s="11"/>
      <c r="Q68" s="278" t="s">
        <v>3171</v>
      </c>
      <c r="R68" s="26" t="s">
        <v>3171</v>
      </c>
      <c r="S68" s="26" t="s">
        <v>3171</v>
      </c>
      <c r="T68" s="26" t="s">
        <v>3171</v>
      </c>
      <c r="U68" s="26" t="s">
        <v>3171</v>
      </c>
      <c r="V68" s="26" t="s">
        <v>3171</v>
      </c>
      <c r="W68" s="26" t="s">
        <v>4866</v>
      </c>
      <c r="X68" s="350" t="s">
        <v>4866</v>
      </c>
      <c r="Y68" s="106" t="s">
        <v>4840</v>
      </c>
      <c r="Z68" s="106" t="s">
        <v>4840</v>
      </c>
      <c r="AA68" s="106" t="s">
        <v>4840</v>
      </c>
      <c r="AD68" s="195"/>
      <c r="AE68" s="17"/>
      <c r="AF68" s="17"/>
      <c r="AG68" s="17"/>
      <c r="AH68" s="17"/>
      <c r="AI68" s="8"/>
      <c r="AJ68" s="8"/>
      <c r="AK68" s="8"/>
      <c r="AL68" s="8"/>
      <c r="AM68" s="8"/>
      <c r="AN68" s="8"/>
      <c r="AO68" s="11"/>
      <c r="AP68" s="11"/>
      <c r="AQ68" s="17"/>
      <c r="AR68" s="8"/>
      <c r="AS68" s="8"/>
      <c r="AT68" s="8"/>
      <c r="AU68" s="224"/>
      <c r="AV68" s="8"/>
      <c r="AW68" s="8"/>
      <c r="AX68" s="368"/>
    </row>
    <row r="69">
      <c r="A69" s="11"/>
      <c r="B69" s="11"/>
      <c r="C69" s="379" t="s">
        <v>4938</v>
      </c>
      <c r="D69" s="16" t="s">
        <v>4939</v>
      </c>
      <c r="E69" s="16" t="s">
        <v>4940</v>
      </c>
      <c r="F69" s="106" t="s">
        <v>4941</v>
      </c>
      <c r="G69" s="106" t="s">
        <v>4942</v>
      </c>
      <c r="H69" s="16" t="s">
        <v>4943</v>
      </c>
      <c r="I69" s="16" t="s">
        <v>4944</v>
      </c>
      <c r="J69" s="124">
        <v>6.0</v>
      </c>
      <c r="K69" s="124">
        <v>4.0</v>
      </c>
      <c r="L69" s="16" t="s">
        <v>4945</v>
      </c>
      <c r="M69" s="16" t="s">
        <v>4946</v>
      </c>
      <c r="N69" s="16" t="s">
        <v>4947</v>
      </c>
      <c r="O69" s="255" t="s">
        <v>4948</v>
      </c>
      <c r="P69" s="124">
        <v>8.0</v>
      </c>
      <c r="Q69" s="249" t="s">
        <v>3766</v>
      </c>
      <c r="R69" s="208" t="s">
        <v>3768</v>
      </c>
      <c r="S69" s="208" t="s">
        <v>3769</v>
      </c>
      <c r="T69" s="208" t="s">
        <v>3770</v>
      </c>
      <c r="U69" s="208" t="s">
        <v>3771</v>
      </c>
      <c r="V69" s="208" t="s">
        <v>3772</v>
      </c>
      <c r="W69" s="208" t="s">
        <v>3773</v>
      </c>
      <c r="X69" s="364" t="s">
        <v>3774</v>
      </c>
      <c r="Y69" s="208" t="s">
        <v>3775</v>
      </c>
      <c r="Z69" s="188" t="s">
        <v>3776</v>
      </c>
      <c r="AA69" s="188" t="s">
        <v>3777</v>
      </c>
      <c r="AD69" s="195"/>
      <c r="AE69" s="188" t="s">
        <v>4949</v>
      </c>
      <c r="AF69" s="188" t="s">
        <v>4950</v>
      </c>
      <c r="AG69" s="188" t="s">
        <v>4951</v>
      </c>
      <c r="AH69" s="188" t="s">
        <v>4952</v>
      </c>
      <c r="AI69" s="188" t="s">
        <v>3852</v>
      </c>
      <c r="AJ69" s="188" t="s">
        <v>3853</v>
      </c>
      <c r="AK69" s="188" t="s">
        <v>3854</v>
      </c>
      <c r="AL69" s="188" t="s">
        <v>3855</v>
      </c>
      <c r="AM69" s="188" t="s">
        <v>3856</v>
      </c>
      <c r="AN69" s="188" t="s">
        <v>3857</v>
      </c>
      <c r="AO69" s="11"/>
      <c r="AP69" s="11"/>
      <c r="AQ69" s="188" t="s">
        <v>4426</v>
      </c>
      <c r="AR69" s="188" t="s">
        <v>4427</v>
      </c>
      <c r="AS69" s="188" t="s">
        <v>4428</v>
      </c>
      <c r="AT69" s="188" t="s">
        <v>4429</v>
      </c>
      <c r="AU69" s="188" t="s">
        <v>4430</v>
      </c>
      <c r="AV69" s="188" t="s">
        <v>4431</v>
      </c>
      <c r="AW69" s="188" t="s">
        <v>4433</v>
      </c>
      <c r="AX69" s="364" t="s">
        <v>4434</v>
      </c>
    </row>
    <row r="70">
      <c r="A70" s="11"/>
      <c r="B70" s="11"/>
      <c r="C70" s="187" t="s">
        <v>4953</v>
      </c>
      <c r="D70" s="17"/>
      <c r="E70" s="17"/>
      <c r="F70" s="17"/>
      <c r="G70" s="17"/>
      <c r="H70" s="17"/>
      <c r="I70" s="17"/>
      <c r="J70" s="11"/>
      <c r="K70" s="11"/>
      <c r="L70" s="17"/>
      <c r="M70" s="17"/>
      <c r="N70" s="16" t="s">
        <v>4954</v>
      </c>
      <c r="O70" s="204"/>
      <c r="P70" s="11"/>
      <c r="Q70" s="278" t="s">
        <v>4955</v>
      </c>
      <c r="R70" s="26" t="s">
        <v>4956</v>
      </c>
      <c r="S70" s="26" t="s">
        <v>4957</v>
      </c>
      <c r="T70" s="26" t="s">
        <v>4958</v>
      </c>
      <c r="U70" s="26" t="s">
        <v>4959</v>
      </c>
      <c r="V70" s="26" t="s">
        <v>4960</v>
      </c>
      <c r="W70" s="26" t="s">
        <v>4961</v>
      </c>
      <c r="X70" s="350" t="s">
        <v>4962</v>
      </c>
      <c r="Y70" s="187" t="s">
        <v>4963</v>
      </c>
      <c r="Z70" s="16" t="s">
        <v>4964</v>
      </c>
      <c r="AA70" s="16" t="s">
        <v>4965</v>
      </c>
      <c r="AD70" s="195"/>
      <c r="AE70" s="105" t="s">
        <v>4966</v>
      </c>
      <c r="AF70" s="6" t="s">
        <v>4967</v>
      </c>
      <c r="AG70" s="105" t="s">
        <v>4968</v>
      </c>
      <c r="AH70" s="6" t="s">
        <v>4969</v>
      </c>
      <c r="AI70" s="8"/>
      <c r="AJ70" s="8"/>
      <c r="AK70" s="8"/>
      <c r="AL70" s="8"/>
      <c r="AM70" s="105" t="s">
        <v>4970</v>
      </c>
      <c r="AN70" s="105" t="s">
        <v>4971</v>
      </c>
      <c r="AO70" s="11"/>
      <c r="AP70" s="11"/>
      <c r="AQ70" s="105" t="s">
        <v>4972</v>
      </c>
      <c r="AR70" s="11"/>
      <c r="AS70" s="11"/>
      <c r="AT70" s="11"/>
      <c r="AU70" s="11"/>
      <c r="AV70" s="105" t="s">
        <v>4973</v>
      </c>
      <c r="AW70" s="11" t="s">
        <v>4974</v>
      </c>
      <c r="AX70" s="375"/>
    </row>
    <row r="71">
      <c r="A71" s="250" t="s">
        <v>4975</v>
      </c>
      <c r="B71" s="380"/>
      <c r="C71" s="381" t="s">
        <v>2991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92"/>
      <c r="P71" s="11"/>
      <c r="Q71" s="278" t="s">
        <v>1637</v>
      </c>
      <c r="R71" s="134" t="s">
        <v>797</v>
      </c>
      <c r="S71" s="26" t="s">
        <v>1643</v>
      </c>
      <c r="T71" s="26" t="s">
        <v>1615</v>
      </c>
      <c r="U71" s="26" t="s">
        <v>4976</v>
      </c>
      <c r="V71" s="376" t="s">
        <v>1730</v>
      </c>
      <c r="W71" s="382" t="s">
        <v>1607</v>
      </c>
      <c r="X71" s="234" t="s">
        <v>472</v>
      </c>
      <c r="Y71" s="187" t="s">
        <v>4977</v>
      </c>
      <c r="Z71" s="9" t="s">
        <v>4612</v>
      </c>
      <c r="AA71" s="9" t="s">
        <v>4564</v>
      </c>
      <c r="AD71" s="195"/>
      <c r="AE71" s="106" t="s">
        <v>1358</v>
      </c>
      <c r="AF71" s="106" t="s">
        <v>1172</v>
      </c>
      <c r="AG71" s="106" t="s">
        <v>1366</v>
      </c>
      <c r="AH71" s="106" t="s">
        <v>1178</v>
      </c>
      <c r="AI71" s="106" t="s">
        <v>1235</v>
      </c>
      <c r="AJ71" s="106" t="s">
        <v>1073</v>
      </c>
      <c r="AK71" s="106" t="s">
        <v>1076</v>
      </c>
      <c r="AL71" s="106" t="s">
        <v>1079</v>
      </c>
      <c r="AM71" s="106" t="s">
        <v>1368</v>
      </c>
      <c r="AN71" s="158" t="s">
        <v>1082</v>
      </c>
      <c r="AO71" s="11"/>
      <c r="AP71" s="11"/>
      <c r="AQ71" s="16" t="s">
        <v>957</v>
      </c>
      <c r="AR71" s="16" t="s">
        <v>960</v>
      </c>
      <c r="AS71" s="16" t="s">
        <v>963</v>
      </c>
      <c r="AT71" s="16" t="s">
        <v>966</v>
      </c>
      <c r="AU71" s="16" t="s">
        <v>969</v>
      </c>
      <c r="AV71" s="16" t="s">
        <v>972</v>
      </c>
      <c r="AW71" s="16" t="s">
        <v>975</v>
      </c>
      <c r="AX71" s="158" t="s">
        <v>1094</v>
      </c>
    </row>
    <row r="72">
      <c r="A72" s="253"/>
      <c r="B72" s="383"/>
      <c r="C72" s="189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92"/>
      <c r="P72" s="11"/>
      <c r="Q72" s="278" t="s">
        <v>3171</v>
      </c>
      <c r="R72" s="26" t="s">
        <v>3171</v>
      </c>
      <c r="S72" s="26" t="s">
        <v>3171</v>
      </c>
      <c r="T72" s="26" t="s">
        <v>3171</v>
      </c>
      <c r="U72" s="26" t="s">
        <v>3171</v>
      </c>
      <c r="V72" s="26" t="s">
        <v>3171</v>
      </c>
      <c r="W72" s="6" t="s">
        <v>3171</v>
      </c>
      <c r="X72" s="350" t="s">
        <v>3171</v>
      </c>
      <c r="Y72" s="187" t="s">
        <v>4840</v>
      </c>
      <c r="Z72" s="106" t="s">
        <v>4840</v>
      </c>
      <c r="AA72" s="106" t="s">
        <v>4840</v>
      </c>
      <c r="AD72" s="195"/>
      <c r="AE72" s="17"/>
      <c r="AF72" s="17"/>
      <c r="AG72" s="17"/>
      <c r="AH72" s="17"/>
      <c r="AI72" s="17"/>
      <c r="AJ72" s="8"/>
      <c r="AK72" s="17"/>
      <c r="AL72" s="17"/>
      <c r="AM72" s="17"/>
      <c r="AN72" s="17"/>
      <c r="AO72" s="11"/>
      <c r="AP72" s="11"/>
      <c r="AQ72" s="17"/>
      <c r="AR72" s="17"/>
      <c r="AS72" s="17"/>
      <c r="AT72" s="266"/>
      <c r="AU72" s="233"/>
      <c r="AV72" s="17"/>
      <c r="AW72" s="17"/>
      <c r="AX72" s="371"/>
    </row>
    <row r="73">
      <c r="A73" s="263"/>
      <c r="B73" s="384"/>
      <c r="C73" s="290" t="s">
        <v>4978</v>
      </c>
      <c r="D73" s="188" t="s">
        <v>4979</v>
      </c>
      <c r="E73" s="188" t="s">
        <v>4980</v>
      </c>
      <c r="F73" s="188" t="s">
        <v>4981</v>
      </c>
      <c r="G73" s="188" t="s">
        <v>4982</v>
      </c>
      <c r="H73" s="188" t="s">
        <v>4983</v>
      </c>
      <c r="I73" s="188" t="s">
        <v>4984</v>
      </c>
      <c r="J73" s="188" t="s">
        <v>4985</v>
      </c>
      <c r="K73" s="11"/>
      <c r="L73" s="11"/>
      <c r="M73" s="11"/>
      <c r="N73" s="11"/>
      <c r="O73" s="192"/>
      <c r="P73" s="11"/>
      <c r="Q73" s="233"/>
      <c r="R73" s="107"/>
      <c r="S73" s="107"/>
      <c r="T73" s="107"/>
      <c r="U73" s="107"/>
      <c r="V73" s="107"/>
      <c r="W73" s="17"/>
      <c r="X73" s="371"/>
      <c r="Y73" s="251"/>
      <c r="Z73" s="17"/>
      <c r="AA73" s="17"/>
      <c r="AD73" s="195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1"/>
      <c r="AP73" s="11"/>
      <c r="AQ73" s="188" t="s">
        <v>4435</v>
      </c>
      <c r="AR73" s="188" t="s">
        <v>4438</v>
      </c>
      <c r="AS73" s="188" t="s">
        <v>4440</v>
      </c>
      <c r="AT73" s="372" t="s">
        <v>4441</v>
      </c>
      <c r="AU73" s="233"/>
      <c r="AV73" s="17"/>
      <c r="AW73" s="17"/>
      <c r="AX73" s="371"/>
    </row>
    <row r="74">
      <c r="A74" s="11"/>
      <c r="B74" s="11"/>
      <c r="C74" s="385" t="s">
        <v>4986</v>
      </c>
      <c r="D74" s="6" t="s">
        <v>1593</v>
      </c>
      <c r="E74" s="6" t="s">
        <v>4987</v>
      </c>
      <c r="F74" s="6" t="s">
        <v>1910</v>
      </c>
      <c r="G74" s="6" t="s">
        <v>1909</v>
      </c>
      <c r="H74" s="6" t="s">
        <v>1908</v>
      </c>
      <c r="I74" s="6" t="s">
        <v>1907</v>
      </c>
      <c r="J74" s="6" t="s">
        <v>1597</v>
      </c>
      <c r="K74" s="11"/>
      <c r="L74" s="11"/>
      <c r="M74" s="11"/>
      <c r="N74" s="11"/>
      <c r="O74" s="192"/>
      <c r="P74" s="124">
        <v>8.0</v>
      </c>
      <c r="Q74" s="249" t="s">
        <v>3778</v>
      </c>
      <c r="R74" s="208" t="s">
        <v>3779</v>
      </c>
      <c r="S74" s="208" t="s">
        <v>3780</v>
      </c>
      <c r="T74" s="208" t="s">
        <v>3782</v>
      </c>
      <c r="U74" s="208" t="s">
        <v>3783</v>
      </c>
      <c r="V74" s="208" t="s">
        <v>3784</v>
      </c>
      <c r="W74" s="188" t="s">
        <v>3785</v>
      </c>
      <c r="X74" s="364" t="s">
        <v>3786</v>
      </c>
      <c r="Y74" s="256" t="s">
        <v>3789</v>
      </c>
      <c r="Z74" s="188" t="s">
        <v>3790</v>
      </c>
      <c r="AA74" s="188" t="s">
        <v>3791</v>
      </c>
      <c r="AD74" s="195"/>
      <c r="AE74" s="188" t="s">
        <v>4988</v>
      </c>
      <c r="AF74" s="188" t="s">
        <v>4989</v>
      </c>
      <c r="AG74" s="188" t="s">
        <v>4990</v>
      </c>
      <c r="AH74" s="188" t="s">
        <v>4991</v>
      </c>
      <c r="AI74" s="188" t="s">
        <v>3859</v>
      </c>
      <c r="AJ74" s="188" t="s">
        <v>3862</v>
      </c>
      <c r="AK74" s="188" t="s">
        <v>3865</v>
      </c>
      <c r="AL74" s="188" t="s">
        <v>3867</v>
      </c>
      <c r="AM74" s="188" t="s">
        <v>3869</v>
      </c>
      <c r="AN74" s="188" t="s">
        <v>3872</v>
      </c>
      <c r="AO74" s="11"/>
      <c r="AP74" s="11"/>
      <c r="AQ74" s="105" t="s">
        <v>4992</v>
      </c>
      <c r="AR74" s="105" t="s">
        <v>4993</v>
      </c>
      <c r="AS74" s="105" t="s">
        <v>4994</v>
      </c>
      <c r="AT74" s="105" t="s">
        <v>4995</v>
      </c>
      <c r="AU74" s="233"/>
      <c r="AV74" s="17"/>
      <c r="AW74" s="17"/>
      <c r="AX74" s="371"/>
    </row>
    <row r="75">
      <c r="A75" s="11"/>
      <c r="B75" s="11"/>
      <c r="C75" s="240"/>
      <c r="D75" s="17"/>
      <c r="E75" s="17"/>
      <c r="F75" s="17"/>
      <c r="G75" s="17"/>
      <c r="H75" s="17"/>
      <c r="I75" s="17"/>
      <c r="J75" s="17"/>
      <c r="K75" s="11"/>
      <c r="L75" s="11"/>
      <c r="M75" s="11"/>
      <c r="N75" s="11"/>
      <c r="O75" s="192"/>
      <c r="P75" s="11"/>
      <c r="Q75" s="278" t="s">
        <v>4996</v>
      </c>
      <c r="R75" s="26" t="s">
        <v>4997</v>
      </c>
      <c r="S75" s="26" t="s">
        <v>4998</v>
      </c>
      <c r="T75" s="26" t="s">
        <v>4999</v>
      </c>
      <c r="U75" s="26" t="s">
        <v>5000</v>
      </c>
      <c r="V75" s="26" t="s">
        <v>5001</v>
      </c>
      <c r="W75" s="6" t="s">
        <v>5002</v>
      </c>
      <c r="X75" s="350" t="s">
        <v>5003</v>
      </c>
      <c r="Y75" s="187" t="s">
        <v>5004</v>
      </c>
      <c r="Z75" s="16" t="s">
        <v>5005</v>
      </c>
      <c r="AA75" s="16" t="s">
        <v>5006</v>
      </c>
      <c r="AD75" s="195"/>
      <c r="AE75" s="105" t="s">
        <v>5007</v>
      </c>
      <c r="AF75" s="6" t="s">
        <v>5008</v>
      </c>
      <c r="AG75" s="6" t="s">
        <v>5009</v>
      </c>
      <c r="AH75" s="105" t="s">
        <v>5010</v>
      </c>
      <c r="AI75" s="105" t="s">
        <v>5011</v>
      </c>
      <c r="AJ75" s="105" t="s">
        <v>5012</v>
      </c>
      <c r="AK75" s="8"/>
      <c r="AL75" s="105" t="s">
        <v>5013</v>
      </c>
      <c r="AM75" s="8"/>
      <c r="AN75" s="8"/>
      <c r="AO75" s="11"/>
      <c r="AP75" s="11"/>
      <c r="AQ75" s="16" t="s">
        <v>981</v>
      </c>
      <c r="AR75" s="16" t="s">
        <v>984</v>
      </c>
      <c r="AS75" s="106" t="s">
        <v>1049</v>
      </c>
      <c r="AT75" s="376" t="s">
        <v>1344</v>
      </c>
      <c r="AU75" s="233"/>
      <c r="AV75" s="17"/>
      <c r="AW75" s="17"/>
      <c r="AX75" s="222"/>
    </row>
    <row r="76">
      <c r="A76" s="11"/>
      <c r="B76" s="11"/>
      <c r="C76" s="235" t="s">
        <v>2991</v>
      </c>
      <c r="D76" s="16" t="s">
        <v>2991</v>
      </c>
      <c r="E76" s="16" t="s">
        <v>2991</v>
      </c>
      <c r="F76" s="16" t="s">
        <v>2991</v>
      </c>
      <c r="G76" s="16" t="s">
        <v>2991</v>
      </c>
      <c r="H76" s="16" t="s">
        <v>2991</v>
      </c>
      <c r="I76" s="16" t="s">
        <v>2991</v>
      </c>
      <c r="J76" s="16" t="s">
        <v>2991</v>
      </c>
      <c r="K76" s="11"/>
      <c r="L76" s="11"/>
      <c r="M76" s="11"/>
      <c r="N76" s="11"/>
      <c r="O76" s="192"/>
      <c r="P76" s="11"/>
      <c r="Q76" s="16" t="s">
        <v>1649</v>
      </c>
      <c r="R76" s="26" t="s">
        <v>5014</v>
      </c>
      <c r="S76" s="17" t="s">
        <v>5015</v>
      </c>
      <c r="T76" s="16" t="s">
        <v>1647</v>
      </c>
      <c r="U76" s="16" t="s">
        <v>1717</v>
      </c>
      <c r="V76" s="16" t="s">
        <v>1619</v>
      </c>
      <c r="W76" s="26" t="s">
        <v>5016</v>
      </c>
      <c r="X76" s="386" t="s">
        <v>5017</v>
      </c>
      <c r="Y76" s="259" t="s">
        <v>4612</v>
      </c>
      <c r="Z76" s="9" t="s">
        <v>4612</v>
      </c>
      <c r="AA76" s="9" t="s">
        <v>4612</v>
      </c>
      <c r="AD76" s="195"/>
      <c r="AE76" s="106" t="s">
        <v>1354</v>
      </c>
      <c r="AF76" s="106" t="s">
        <v>1184</v>
      </c>
      <c r="AG76" s="106" t="s">
        <v>1187</v>
      </c>
      <c r="AH76" s="106" t="s">
        <v>1348</v>
      </c>
      <c r="AI76" s="106" t="s">
        <v>1342</v>
      </c>
      <c r="AJ76" s="106" t="s">
        <v>1085</v>
      </c>
      <c r="AK76" s="106" t="s">
        <v>1088</v>
      </c>
      <c r="AL76" s="106" t="s">
        <v>1352</v>
      </c>
      <c r="AM76" s="106" t="s">
        <v>1181</v>
      </c>
      <c r="AN76" s="106" t="s">
        <v>1202</v>
      </c>
      <c r="AO76" s="11"/>
      <c r="AP76" s="11"/>
      <c r="AQ76" s="17"/>
      <c r="AR76" s="17"/>
      <c r="AS76" s="17"/>
      <c r="AT76" s="266"/>
      <c r="AU76" s="233"/>
      <c r="AV76" s="17"/>
      <c r="AW76" s="17"/>
      <c r="AX76" s="222"/>
    </row>
    <row r="77">
      <c r="A77" s="11"/>
      <c r="B77" s="11"/>
      <c r="C77" s="240"/>
      <c r="D77" s="17"/>
      <c r="E77" s="17"/>
      <c r="F77" s="17"/>
      <c r="G77" s="17"/>
      <c r="H77" s="17"/>
      <c r="I77" s="17"/>
      <c r="J77" s="17"/>
      <c r="K77" s="11"/>
      <c r="L77" s="387" t="s">
        <v>4716</v>
      </c>
      <c r="M77" s="388" t="s">
        <v>5018</v>
      </c>
      <c r="N77" s="389"/>
      <c r="O77" s="390"/>
      <c r="P77" s="11"/>
      <c r="Q77" s="278" t="s">
        <v>3171</v>
      </c>
      <c r="R77" s="26" t="s">
        <v>3171</v>
      </c>
      <c r="S77" s="26" t="s">
        <v>3171</v>
      </c>
      <c r="T77" s="26" t="s">
        <v>3171</v>
      </c>
      <c r="U77" s="26" t="s">
        <v>3171</v>
      </c>
      <c r="V77" s="26" t="s">
        <v>3171</v>
      </c>
      <c r="W77" s="391" t="s">
        <v>3171</v>
      </c>
      <c r="X77" s="349" t="s">
        <v>3171</v>
      </c>
      <c r="Y77" s="187" t="s">
        <v>4840</v>
      </c>
      <c r="Z77" s="106" t="s">
        <v>4840</v>
      </c>
      <c r="AA77" s="106" t="s">
        <v>4840</v>
      </c>
      <c r="AD77" s="195"/>
      <c r="AE77" s="17"/>
      <c r="AF77" s="16" t="s">
        <v>5019</v>
      </c>
      <c r="AG77" s="17"/>
      <c r="AH77" s="17"/>
      <c r="AI77" s="8"/>
      <c r="AJ77" s="8"/>
      <c r="AK77" s="8"/>
      <c r="AL77" s="8"/>
      <c r="AM77" s="8"/>
      <c r="AN77" s="8"/>
      <c r="AO77" s="11"/>
      <c r="AP77" s="11"/>
      <c r="AQ77" s="188" t="s">
        <v>4442</v>
      </c>
      <c r="AR77" s="188" t="s">
        <v>4443</v>
      </c>
      <c r="AS77" s="188" t="s">
        <v>4444</v>
      </c>
      <c r="AT77" s="372" t="s">
        <v>4445</v>
      </c>
      <c r="AU77" s="233"/>
      <c r="AV77" s="17"/>
      <c r="AW77" s="17"/>
      <c r="AX77" s="222"/>
    </row>
    <row r="78">
      <c r="A78" s="11"/>
      <c r="B78" s="11"/>
      <c r="C78" s="206" t="s">
        <v>5020</v>
      </c>
      <c r="D78" s="188" t="s">
        <v>5021</v>
      </c>
      <c r="E78" s="188" t="s">
        <v>5022</v>
      </c>
      <c r="F78" s="188" t="s">
        <v>5023</v>
      </c>
      <c r="G78" s="188" t="s">
        <v>5024</v>
      </c>
      <c r="H78" s="188" t="s">
        <v>5025</v>
      </c>
      <c r="I78" s="188" t="s">
        <v>5026</v>
      </c>
      <c r="J78" s="188" t="s">
        <v>5027</v>
      </c>
      <c r="K78" s="124">
        <v>8.0</v>
      </c>
      <c r="L78" s="331"/>
      <c r="M78" s="253"/>
      <c r="O78" s="383"/>
      <c r="P78" s="11"/>
      <c r="Q78" s="249" t="s">
        <v>3792</v>
      </c>
      <c r="R78" s="208" t="s">
        <v>3794</v>
      </c>
      <c r="S78" s="208" t="s">
        <v>3795</v>
      </c>
      <c r="T78" s="208" t="s">
        <v>3796</v>
      </c>
      <c r="U78" s="208" t="s">
        <v>3797</v>
      </c>
      <c r="V78" s="208" t="s">
        <v>3798</v>
      </c>
      <c r="W78" s="392" t="s">
        <v>3799</v>
      </c>
      <c r="X78" s="242" t="s">
        <v>3800</v>
      </c>
      <c r="Y78" s="256" t="s">
        <v>3801</v>
      </c>
      <c r="Z78" s="188" t="s">
        <v>3802</v>
      </c>
      <c r="AA78" s="188" t="s">
        <v>3803</v>
      </c>
      <c r="AD78" s="195"/>
      <c r="AE78" s="188" t="s">
        <v>5028</v>
      </c>
      <c r="AF78" s="188" t="s">
        <v>5029</v>
      </c>
      <c r="AG78" s="188" t="s">
        <v>5030</v>
      </c>
      <c r="AH78" s="188" t="s">
        <v>5031</v>
      </c>
      <c r="AI78" s="188" t="s">
        <v>3875</v>
      </c>
      <c r="AJ78" s="188" t="s">
        <v>3878</v>
      </c>
      <c r="AK78" s="188" t="s">
        <v>3881</v>
      </c>
      <c r="AL78" s="188" t="s">
        <v>3884</v>
      </c>
      <c r="AM78" s="188" t="s">
        <v>3886</v>
      </c>
      <c r="AN78" s="188" t="s">
        <v>3888</v>
      </c>
      <c r="AO78" s="11"/>
      <c r="AP78" s="11"/>
      <c r="AQ78" s="105" t="s">
        <v>5032</v>
      </c>
      <c r="AR78" s="105" t="s">
        <v>5033</v>
      </c>
      <c r="AS78" s="105" t="s">
        <v>5034</v>
      </c>
      <c r="AT78" s="266"/>
      <c r="AU78" s="233"/>
      <c r="AV78" s="17"/>
      <c r="AW78" s="17"/>
      <c r="AX78" s="222"/>
    </row>
    <row r="79">
      <c r="A79" s="11"/>
      <c r="B79" s="11"/>
      <c r="C79" s="385" t="s">
        <v>1589</v>
      </c>
      <c r="D79" s="6" t="s">
        <v>1599</v>
      </c>
      <c r="E79" s="26" t="s">
        <v>1322</v>
      </c>
      <c r="F79" s="6" t="s">
        <v>188</v>
      </c>
      <c r="G79" s="106" t="s">
        <v>501</v>
      </c>
      <c r="H79" s="124" t="s">
        <v>1708</v>
      </c>
      <c r="I79" s="106" t="s">
        <v>5035</v>
      </c>
      <c r="J79" s="6" t="s">
        <v>1601</v>
      </c>
      <c r="K79" s="11"/>
      <c r="L79" s="331"/>
      <c r="M79" s="253"/>
      <c r="O79" s="383"/>
      <c r="P79" s="11"/>
      <c r="Q79" s="278" t="s">
        <v>5036</v>
      </c>
      <c r="R79" s="26" t="s">
        <v>5037</v>
      </c>
      <c r="S79" s="26" t="s">
        <v>5038</v>
      </c>
      <c r="T79" s="26" t="s">
        <v>5039</v>
      </c>
      <c r="U79" s="26" t="s">
        <v>5040</v>
      </c>
      <c r="V79" s="26" t="s">
        <v>5041</v>
      </c>
      <c r="W79" s="393" t="s">
        <v>5042</v>
      </c>
      <c r="X79" s="349" t="s">
        <v>5043</v>
      </c>
      <c r="Y79" s="187" t="s">
        <v>5044</v>
      </c>
      <c r="Z79" s="16" t="s">
        <v>5045</v>
      </c>
      <c r="AA79" s="17"/>
      <c r="AD79" s="195"/>
      <c r="AE79" s="6" t="s">
        <v>5046</v>
      </c>
      <c r="AF79" s="6" t="s">
        <v>5047</v>
      </c>
      <c r="AG79" s="6" t="s">
        <v>5048</v>
      </c>
      <c r="AH79" s="6" t="s">
        <v>5049</v>
      </c>
      <c r="AI79" s="8"/>
      <c r="AJ79" s="8"/>
      <c r="AK79" s="8"/>
      <c r="AL79" s="8"/>
      <c r="AM79" s="8"/>
      <c r="AN79" s="8"/>
      <c r="AO79" s="11"/>
      <c r="AP79" s="11"/>
      <c r="AQ79" s="16" t="s">
        <v>869</v>
      </c>
      <c r="AR79" s="16" t="s">
        <v>1157</v>
      </c>
      <c r="AS79" s="16" t="s">
        <v>994</v>
      </c>
      <c r="AT79" s="16" t="s">
        <v>1250</v>
      </c>
      <c r="AU79" s="233"/>
      <c r="AV79" s="17"/>
      <c r="AW79" s="198"/>
      <c r="AX79" s="231" t="s">
        <v>5050</v>
      </c>
    </row>
    <row r="80">
      <c r="A80" s="11"/>
      <c r="B80" s="11"/>
      <c r="C80" s="240"/>
      <c r="D80" s="17"/>
      <c r="E80" s="17"/>
      <c r="F80" s="17"/>
      <c r="G80" s="17"/>
      <c r="H80" s="17"/>
      <c r="I80" s="17"/>
      <c r="J80" s="17"/>
      <c r="K80" s="11"/>
      <c r="L80" s="394"/>
      <c r="M80" s="395"/>
      <c r="N80" s="396"/>
      <c r="O80" s="397"/>
      <c r="P80" s="11"/>
      <c r="Q80" s="5" t="s">
        <v>286</v>
      </c>
      <c r="R80" s="27" t="s">
        <v>5051</v>
      </c>
      <c r="S80" s="27" t="s">
        <v>5052</v>
      </c>
      <c r="T80" s="27" t="s">
        <v>5053</v>
      </c>
      <c r="U80" s="27" t="s">
        <v>5054</v>
      </c>
      <c r="V80" s="106" t="s">
        <v>5055</v>
      </c>
      <c r="W80" s="16" t="s">
        <v>5056</v>
      </c>
      <c r="X80" s="398" t="s">
        <v>5057</v>
      </c>
      <c r="Y80" s="259" t="s">
        <v>4612</v>
      </c>
      <c r="Z80" s="9" t="s">
        <v>4612</v>
      </c>
      <c r="AA80" s="9" t="s">
        <v>4612</v>
      </c>
      <c r="AD80" s="195"/>
      <c r="AE80" s="106" t="s">
        <v>1190</v>
      </c>
      <c r="AF80" s="106" t="s">
        <v>1193</v>
      </c>
      <c r="AG80" s="158" t="s">
        <v>978</v>
      </c>
      <c r="AH80" s="30" t="s">
        <v>987</v>
      </c>
      <c r="AI80" s="106" t="s">
        <v>1196</v>
      </c>
      <c r="AJ80" s="106" t="s">
        <v>1097</v>
      </c>
      <c r="AK80" s="399" t="s">
        <v>1100</v>
      </c>
      <c r="AL80" s="106" t="s">
        <v>1103</v>
      </c>
      <c r="AM80" s="106" t="s">
        <v>1064</v>
      </c>
      <c r="AN80" s="106" t="s">
        <v>1106</v>
      </c>
      <c r="AO80" s="11"/>
      <c r="AP80" s="11"/>
      <c r="AQ80" s="17"/>
      <c r="AR80" s="17"/>
      <c r="AS80" s="17"/>
      <c r="AT80" s="376" t="s">
        <v>5058</v>
      </c>
      <c r="AU80" s="233"/>
      <c r="AV80" s="17"/>
      <c r="AW80" s="400"/>
      <c r="AX80" s="231" t="s">
        <v>1305</v>
      </c>
    </row>
    <row r="81">
      <c r="A81" s="11"/>
      <c r="B81" s="11"/>
      <c r="C81" s="235" t="s">
        <v>2991</v>
      </c>
      <c r="D81" s="16" t="s">
        <v>2991</v>
      </c>
      <c r="E81" s="16" t="s">
        <v>2991</v>
      </c>
      <c r="F81" s="16" t="s">
        <v>2991</v>
      </c>
      <c r="G81" s="16" t="s">
        <v>2991</v>
      </c>
      <c r="H81" s="16" t="s">
        <v>2991</v>
      </c>
      <c r="I81" s="16" t="s">
        <v>2991</v>
      </c>
      <c r="J81" s="16" t="s">
        <v>2991</v>
      </c>
      <c r="K81" s="124">
        <v>8.0</v>
      </c>
      <c r="L81" s="401" t="s">
        <v>543</v>
      </c>
      <c r="M81" s="402" t="s">
        <v>4437</v>
      </c>
      <c r="N81" s="348"/>
      <c r="O81" s="403" t="s">
        <v>537</v>
      </c>
      <c r="P81" s="11"/>
      <c r="Q81" s="37" t="s">
        <v>5059</v>
      </c>
      <c r="R81" s="107"/>
      <c r="S81" s="107"/>
      <c r="T81" s="107"/>
      <c r="U81" s="107"/>
      <c r="V81" s="107"/>
      <c r="W81" s="200"/>
      <c r="X81" s="204"/>
      <c r="Y81" s="187" t="s">
        <v>4840</v>
      </c>
      <c r="Z81" s="106" t="s">
        <v>4840</v>
      </c>
      <c r="AA81" s="106" t="s">
        <v>4840</v>
      </c>
      <c r="AD81" s="195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1"/>
      <c r="AP81" s="11"/>
      <c r="AQ81" s="17"/>
      <c r="AR81" s="17"/>
      <c r="AS81" s="17"/>
      <c r="AT81" s="266"/>
      <c r="AU81" s="233"/>
      <c r="AV81" s="17"/>
      <c r="AW81" s="400"/>
      <c r="AX81" s="231" t="s">
        <v>5060</v>
      </c>
    </row>
    <row r="82">
      <c r="A82" s="11"/>
      <c r="B82" s="11"/>
      <c r="C82" s="240"/>
      <c r="D82" s="17"/>
      <c r="E82" s="17"/>
      <c r="F82" s="17"/>
      <c r="G82" s="17"/>
      <c r="H82" s="17"/>
      <c r="I82" s="17"/>
      <c r="J82" s="17"/>
      <c r="K82" s="11"/>
      <c r="L82" s="404" t="s">
        <v>5061</v>
      </c>
      <c r="M82" s="253"/>
      <c r="N82" s="348"/>
      <c r="O82" s="405" t="s">
        <v>5062</v>
      </c>
      <c r="P82" s="124">
        <v>4.0</v>
      </c>
      <c r="Q82" s="278" t="s">
        <v>3171</v>
      </c>
      <c r="R82" s="278" t="s">
        <v>3171</v>
      </c>
      <c r="S82" s="278" t="s">
        <v>3171</v>
      </c>
      <c r="T82" s="278" t="s">
        <v>3171</v>
      </c>
      <c r="U82" s="278" t="s">
        <v>3171</v>
      </c>
      <c r="V82" s="278" t="s">
        <v>3171</v>
      </c>
      <c r="W82" s="391" t="s">
        <v>3171</v>
      </c>
      <c r="X82" s="349" t="s">
        <v>3171</v>
      </c>
      <c r="Y82" s="251"/>
      <c r="Z82" s="17"/>
      <c r="AA82" s="17"/>
      <c r="AD82" s="195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1"/>
      <c r="AP82" s="11"/>
      <c r="AQ82" s="188" t="s">
        <v>4446</v>
      </c>
      <c r="AR82" s="188" t="s">
        <v>4447</v>
      </c>
      <c r="AS82" s="188" t="s">
        <v>4448</v>
      </c>
      <c r="AT82" s="372" t="s">
        <v>4449</v>
      </c>
      <c r="AU82" s="233"/>
      <c r="AV82" s="17"/>
      <c r="AW82" s="400"/>
      <c r="AX82" s="192"/>
    </row>
    <row r="83">
      <c r="A83" s="11"/>
      <c r="B83" s="11"/>
      <c r="C83" s="206" t="s">
        <v>5063</v>
      </c>
      <c r="D83" s="188" t="s">
        <v>5064</v>
      </c>
      <c r="E83" s="188" t="s">
        <v>5065</v>
      </c>
      <c r="F83" s="188" t="s">
        <v>5066</v>
      </c>
      <c r="G83" s="188" t="s">
        <v>5067</v>
      </c>
      <c r="H83" s="188" t="s">
        <v>5068</v>
      </c>
      <c r="I83" s="188" t="s">
        <v>5069</v>
      </c>
      <c r="J83" s="188" t="s">
        <v>5070</v>
      </c>
      <c r="K83" s="11"/>
      <c r="L83" s="401" t="s">
        <v>519</v>
      </c>
      <c r="M83" s="253"/>
      <c r="N83" s="348"/>
      <c r="O83" s="403" t="s">
        <v>5071</v>
      </c>
      <c r="P83" s="11"/>
      <c r="Q83" s="249" t="s">
        <v>3804</v>
      </c>
      <c r="R83" s="208" t="s">
        <v>3805</v>
      </c>
      <c r="S83" s="208" t="s">
        <v>3806</v>
      </c>
      <c r="T83" s="208" t="s">
        <v>3807</v>
      </c>
      <c r="U83" s="208" t="s">
        <v>3808</v>
      </c>
      <c r="V83" s="208" t="s">
        <v>3809</v>
      </c>
      <c r="W83" s="392" t="s">
        <v>3810</v>
      </c>
      <c r="X83" s="242" t="s">
        <v>3811</v>
      </c>
      <c r="Y83" s="256" t="s">
        <v>3812</v>
      </c>
      <c r="Z83" s="188" t="s">
        <v>3813</v>
      </c>
      <c r="AA83" s="188" t="s">
        <v>3814</v>
      </c>
      <c r="AD83" s="195"/>
      <c r="AE83" s="188" t="s">
        <v>5072</v>
      </c>
      <c r="AF83" s="188" t="s">
        <v>5073</v>
      </c>
      <c r="AG83" s="188" t="s">
        <v>5074</v>
      </c>
      <c r="AH83" s="188" t="s">
        <v>5075</v>
      </c>
      <c r="AI83" s="188" t="s">
        <v>3890</v>
      </c>
      <c r="AJ83" s="188" t="s">
        <v>3892</v>
      </c>
      <c r="AK83" s="188" t="s">
        <v>3894</v>
      </c>
      <c r="AL83" s="188" t="s">
        <v>3896</v>
      </c>
      <c r="AM83" s="188" t="s">
        <v>3897</v>
      </c>
      <c r="AN83" s="188" t="s">
        <v>3898</v>
      </c>
      <c r="AO83" s="11"/>
      <c r="AP83" s="11"/>
      <c r="AQ83" s="105" t="s">
        <v>5076</v>
      </c>
      <c r="AR83" s="11" t="s">
        <v>5077</v>
      </c>
      <c r="AS83" s="17"/>
      <c r="AT83" s="266"/>
      <c r="AU83" s="233"/>
      <c r="AV83" s="17"/>
      <c r="AW83" s="400"/>
      <c r="AX83" s="383"/>
    </row>
    <row r="84">
      <c r="A84" s="266"/>
      <c r="B84" s="266"/>
      <c r="C84" s="385" t="s">
        <v>176</v>
      </c>
      <c r="D84" s="6" t="s">
        <v>5078</v>
      </c>
      <c r="E84" s="6" t="s">
        <v>170</v>
      </c>
      <c r="F84" s="6" t="s">
        <v>5079</v>
      </c>
      <c r="G84" s="26" t="s">
        <v>989</v>
      </c>
      <c r="H84" s="26" t="s">
        <v>5080</v>
      </c>
      <c r="I84" s="6" t="s">
        <v>5081</v>
      </c>
      <c r="J84" s="6" t="s">
        <v>1595</v>
      </c>
      <c r="K84" s="11"/>
      <c r="L84" s="404" t="s">
        <v>5082</v>
      </c>
      <c r="M84" s="253"/>
      <c r="N84" s="348"/>
      <c r="O84" s="405" t="s">
        <v>5083</v>
      </c>
      <c r="P84" s="11"/>
      <c r="Q84" s="278" t="s">
        <v>5084</v>
      </c>
      <c r="R84" s="224"/>
      <c r="S84" s="224"/>
      <c r="T84" s="26" t="s">
        <v>5085</v>
      </c>
      <c r="U84" s="26" t="s">
        <v>5086</v>
      </c>
      <c r="V84" s="26" t="s">
        <v>5087</v>
      </c>
      <c r="W84" s="6" t="s">
        <v>5088</v>
      </c>
      <c r="X84" s="350" t="s">
        <v>5089</v>
      </c>
      <c r="Y84" s="187" t="s">
        <v>5090</v>
      </c>
      <c r="Z84" s="16" t="s">
        <v>5091</v>
      </c>
      <c r="AA84" s="6" t="s">
        <v>5092</v>
      </c>
      <c r="AD84" s="195"/>
      <c r="AE84" s="105" t="s">
        <v>5093</v>
      </c>
      <c r="AF84" s="16" t="s">
        <v>5047</v>
      </c>
      <c r="AG84" s="105" t="s">
        <v>5094</v>
      </c>
      <c r="AH84" s="16" t="s">
        <v>5095</v>
      </c>
      <c r="AI84" s="105" t="s">
        <v>5096</v>
      </c>
      <c r="AJ84" s="17"/>
      <c r="AK84" s="56" t="s">
        <v>5097</v>
      </c>
      <c r="AL84" s="8"/>
      <c r="AM84" s="105" t="s">
        <v>5098</v>
      </c>
      <c r="AN84" s="406" t="s">
        <v>5099</v>
      </c>
      <c r="AO84" s="11"/>
      <c r="AP84" s="11"/>
      <c r="AQ84" s="16" t="s">
        <v>1223</v>
      </c>
      <c r="AR84" s="16" t="s">
        <v>1000</v>
      </c>
      <c r="AS84" s="16" t="s">
        <v>943</v>
      </c>
      <c r="AT84" s="376" t="s">
        <v>1006</v>
      </c>
      <c r="AU84" s="233"/>
      <c r="AV84" s="17"/>
      <c r="AW84" s="400"/>
      <c r="AX84" s="383"/>
    </row>
    <row r="85">
      <c r="A85" s="11"/>
      <c r="B85" s="11"/>
      <c r="C85" s="240"/>
      <c r="D85" s="17"/>
      <c r="E85" s="17"/>
      <c r="F85" s="17"/>
      <c r="G85" s="17"/>
      <c r="H85" s="17"/>
      <c r="I85" s="17"/>
      <c r="J85" s="17"/>
      <c r="K85" s="124">
        <v>8.0</v>
      </c>
      <c r="L85" s="401" t="s">
        <v>540</v>
      </c>
      <c r="M85" s="253"/>
      <c r="N85" s="348"/>
      <c r="O85" s="403" t="s">
        <v>438</v>
      </c>
      <c r="P85" s="124">
        <v>6.0</v>
      </c>
      <c r="Q85" s="16" t="s">
        <v>1635</v>
      </c>
      <c r="R85" s="16" t="s">
        <v>1611</v>
      </c>
      <c r="S85" s="26" t="s">
        <v>5100</v>
      </c>
      <c r="T85" s="17" t="s">
        <v>5101</v>
      </c>
      <c r="U85" s="11" t="s">
        <v>5102</v>
      </c>
      <c r="V85" s="16" t="s">
        <v>66</v>
      </c>
      <c r="W85" s="26" t="s">
        <v>1653</v>
      </c>
      <c r="X85" s="350" t="s">
        <v>1726</v>
      </c>
      <c r="Y85" s="259" t="s">
        <v>4612</v>
      </c>
      <c r="Z85" s="9" t="s">
        <v>4612</v>
      </c>
      <c r="AA85" s="9" t="s">
        <v>4612</v>
      </c>
      <c r="AD85" s="195"/>
      <c r="AE85" s="106" t="s">
        <v>5103</v>
      </c>
      <c r="AF85" s="106" t="s">
        <v>1205</v>
      </c>
      <c r="AG85" s="106" t="s">
        <v>5104</v>
      </c>
      <c r="AH85" s="106" t="s">
        <v>5105</v>
      </c>
      <c r="AI85" s="106" t="s">
        <v>5106</v>
      </c>
      <c r="AJ85" s="106" t="s">
        <v>5107</v>
      </c>
      <c r="AK85" s="106" t="s">
        <v>5108</v>
      </c>
      <c r="AL85" s="106" t="s">
        <v>1112</v>
      </c>
      <c r="AM85" s="106" t="s">
        <v>1091</v>
      </c>
      <c r="AN85" s="106" t="s">
        <v>1115</v>
      </c>
      <c r="AO85" s="11"/>
      <c r="AP85" s="11"/>
      <c r="AQ85" s="17"/>
      <c r="AR85" s="17"/>
      <c r="AS85" s="17"/>
      <c r="AT85" s="266"/>
      <c r="AU85" s="233"/>
      <c r="AV85" s="16">
        <v>35540.0</v>
      </c>
      <c r="AW85" s="400"/>
      <c r="AX85" s="383"/>
    </row>
    <row r="86">
      <c r="A86" s="11"/>
      <c r="B86" s="11"/>
      <c r="C86" s="235" t="s">
        <v>2991</v>
      </c>
      <c r="D86" s="16" t="s">
        <v>2991</v>
      </c>
      <c r="E86" s="16" t="s">
        <v>2991</v>
      </c>
      <c r="F86" s="16" t="s">
        <v>2991</v>
      </c>
      <c r="G86" s="16" t="s">
        <v>2991</v>
      </c>
      <c r="H86" s="16" t="s">
        <v>2991</v>
      </c>
      <c r="I86" s="16" t="s">
        <v>2991</v>
      </c>
      <c r="J86" s="16" t="s">
        <v>2991</v>
      </c>
      <c r="K86" s="11"/>
      <c r="L86" s="404" t="s">
        <v>5109</v>
      </c>
      <c r="M86" s="253"/>
      <c r="N86" s="348"/>
      <c r="O86" s="405" t="s">
        <v>5110</v>
      </c>
      <c r="P86" s="11"/>
      <c r="Q86" s="278" t="s">
        <v>3171</v>
      </c>
      <c r="R86" s="26" t="s">
        <v>3171</v>
      </c>
      <c r="S86" s="26" t="s">
        <v>3171</v>
      </c>
      <c r="T86" s="26" t="s">
        <v>3171</v>
      </c>
      <c r="U86" s="26" t="s">
        <v>3171</v>
      </c>
      <c r="V86" s="26" t="s">
        <v>3171</v>
      </c>
      <c r="W86" s="6" t="s">
        <v>3171</v>
      </c>
      <c r="X86" s="350" t="s">
        <v>3171</v>
      </c>
      <c r="Y86" s="187" t="s">
        <v>4840</v>
      </c>
      <c r="Z86" s="106" t="s">
        <v>4840</v>
      </c>
      <c r="AA86" s="106" t="s">
        <v>4840</v>
      </c>
      <c r="AD86" s="195"/>
      <c r="AE86" s="107"/>
      <c r="AF86" s="17"/>
      <c r="AG86" s="17"/>
      <c r="AH86" s="17"/>
      <c r="AI86" s="17"/>
      <c r="AJ86" s="17"/>
      <c r="AK86" s="17"/>
      <c r="AL86" s="17"/>
      <c r="AM86" s="17"/>
      <c r="AN86" s="17"/>
      <c r="AO86" s="11"/>
      <c r="AP86" s="11"/>
      <c r="AQ86" s="17"/>
      <c r="AR86" s="17"/>
      <c r="AS86" s="17"/>
      <c r="AT86" s="11"/>
      <c r="AU86" s="233"/>
      <c r="AV86" s="17"/>
      <c r="AW86" s="400"/>
      <c r="AX86" s="383"/>
    </row>
    <row r="87">
      <c r="A87" s="11"/>
      <c r="B87" s="11"/>
      <c r="C87" s="206" t="s">
        <v>5111</v>
      </c>
      <c r="D87" s="188" t="s">
        <v>5112</v>
      </c>
      <c r="E87" s="188" t="s">
        <v>5113</v>
      </c>
      <c r="F87" s="188" t="s">
        <v>5114</v>
      </c>
      <c r="G87" s="188" t="s">
        <v>5115</v>
      </c>
      <c r="H87" s="188" t="s">
        <v>5116</v>
      </c>
      <c r="I87" s="188" t="s">
        <v>5117</v>
      </c>
      <c r="J87" s="188" t="s">
        <v>5118</v>
      </c>
      <c r="K87" s="11"/>
      <c r="L87" s="401" t="s">
        <v>507</v>
      </c>
      <c r="M87" s="253"/>
      <c r="N87" s="348"/>
      <c r="O87" s="407" t="s">
        <v>4612</v>
      </c>
      <c r="P87" s="11"/>
      <c r="Q87" s="249" t="s">
        <v>3815</v>
      </c>
      <c r="R87" s="208" t="s">
        <v>3816</v>
      </c>
      <c r="S87" s="208" t="s">
        <v>3817</v>
      </c>
      <c r="T87" s="208" t="s">
        <v>3818</v>
      </c>
      <c r="U87" s="243" t="s">
        <v>3819</v>
      </c>
      <c r="V87" s="243" t="s">
        <v>3820</v>
      </c>
      <c r="W87" s="188" t="s">
        <v>3821</v>
      </c>
      <c r="X87" s="364" t="s">
        <v>3822</v>
      </c>
      <c r="Y87" s="256" t="s">
        <v>3823</v>
      </c>
      <c r="Z87" s="188" t="s">
        <v>3824</v>
      </c>
      <c r="AA87" s="188" t="s">
        <v>3825</v>
      </c>
      <c r="AD87" s="195"/>
      <c r="AE87" s="208" t="s">
        <v>5119</v>
      </c>
      <c r="AF87" s="188" t="s">
        <v>4210</v>
      </c>
      <c r="AG87" s="188" t="s">
        <v>5120</v>
      </c>
      <c r="AH87" s="188" t="s">
        <v>5121</v>
      </c>
      <c r="AI87" s="188" t="s">
        <v>3899</v>
      </c>
      <c r="AJ87" s="188" t="s">
        <v>3900</v>
      </c>
      <c r="AK87" s="188" t="s">
        <v>3901</v>
      </c>
      <c r="AL87" s="188" t="s">
        <v>3904</v>
      </c>
      <c r="AM87" s="188" t="s">
        <v>3907</v>
      </c>
      <c r="AN87" s="408"/>
      <c r="AO87" s="11"/>
      <c r="AP87" s="11"/>
      <c r="AQ87" s="188" t="s">
        <v>4450</v>
      </c>
      <c r="AR87" s="188" t="s">
        <v>4451</v>
      </c>
      <c r="AS87" s="188" t="s">
        <v>4452</v>
      </c>
      <c r="AT87" s="308" t="s">
        <v>4453</v>
      </c>
      <c r="AU87" s="233"/>
      <c r="AV87" s="17"/>
      <c r="AW87" s="409"/>
      <c r="AX87" s="410"/>
    </row>
    <row r="88">
      <c r="A88" s="11"/>
      <c r="B88" s="11"/>
      <c r="C88" s="385" t="s">
        <v>1591</v>
      </c>
      <c r="D88" s="6" t="s">
        <v>5122</v>
      </c>
      <c r="E88" s="106" t="s">
        <v>5123</v>
      </c>
      <c r="F88" s="106" t="s">
        <v>1587</v>
      </c>
      <c r="G88" s="16" t="s">
        <v>5124</v>
      </c>
      <c r="H88" s="6" t="s">
        <v>5125</v>
      </c>
      <c r="I88" s="6" t="s">
        <v>5126</v>
      </c>
      <c r="J88" s="16" t="s">
        <v>5127</v>
      </c>
      <c r="K88" s="124">
        <v>8.0</v>
      </c>
      <c r="L88" s="404" t="s">
        <v>5128</v>
      </c>
      <c r="M88" s="253"/>
      <c r="N88" s="348"/>
      <c r="O88" s="405" t="s">
        <v>5129</v>
      </c>
      <c r="P88" s="11"/>
      <c r="Q88" s="241"/>
      <c r="R88" s="26" t="s">
        <v>5130</v>
      </c>
      <c r="S88" s="26" t="s">
        <v>5131</v>
      </c>
      <c r="T88" s="26" t="s">
        <v>5132</v>
      </c>
      <c r="U88" s="369" t="s">
        <v>5133</v>
      </c>
      <c r="V88" s="16" t="s">
        <v>5134</v>
      </c>
      <c r="W88" s="11"/>
      <c r="X88" s="411"/>
      <c r="Y88" s="187" t="s">
        <v>5135</v>
      </c>
      <c r="Z88" s="16" t="s">
        <v>5136</v>
      </c>
      <c r="AA88" s="16" t="s">
        <v>5137</v>
      </c>
      <c r="AD88" s="195"/>
      <c r="AE88" s="106" t="s">
        <v>5138</v>
      </c>
      <c r="AF88" s="105" t="s">
        <v>5139</v>
      </c>
      <c r="AG88" s="105" t="s">
        <v>5140</v>
      </c>
      <c r="AH88" s="16" t="s">
        <v>5141</v>
      </c>
      <c r="AI88" s="17"/>
      <c r="AJ88" s="17"/>
      <c r="AK88" s="17"/>
      <c r="AL88" s="17"/>
      <c r="AM88" s="17"/>
      <c r="AN88" s="17"/>
      <c r="AO88" s="11"/>
      <c r="AP88" s="11"/>
      <c r="AQ88" s="11"/>
      <c r="AR88" s="105" t="s">
        <v>5142</v>
      </c>
      <c r="AS88" s="11"/>
      <c r="AT88" s="11"/>
      <c r="AU88" s="233"/>
      <c r="AV88" s="17"/>
      <c r="AW88" s="17"/>
      <c r="AX88" s="222"/>
    </row>
    <row r="89">
      <c r="A89" s="11"/>
      <c r="B89" s="11"/>
      <c r="C89" s="240"/>
      <c r="D89" s="17"/>
      <c r="E89" s="17"/>
      <c r="F89" s="17"/>
      <c r="G89" s="17"/>
      <c r="H89" s="17"/>
      <c r="I89" s="17"/>
      <c r="J89" s="17"/>
      <c r="K89" s="412" t="s">
        <v>4533</v>
      </c>
      <c r="L89" s="413"/>
      <c r="M89" s="253"/>
      <c r="N89" s="348"/>
      <c r="O89" s="414" t="s">
        <v>4716</v>
      </c>
      <c r="P89" s="415" t="s">
        <v>4533</v>
      </c>
      <c r="Q89" s="281" t="s">
        <v>5143</v>
      </c>
      <c r="R89" s="16" t="s">
        <v>1645</v>
      </c>
      <c r="S89" s="17" t="s">
        <v>5144</v>
      </c>
      <c r="T89" s="281" t="s">
        <v>4693</v>
      </c>
      <c r="U89" s="16" t="s">
        <v>1412</v>
      </c>
      <c r="V89" s="16" t="s">
        <v>1408</v>
      </c>
      <c r="W89" s="9" t="s">
        <v>4564</v>
      </c>
      <c r="X89" s="155" t="s">
        <v>1410</v>
      </c>
      <c r="Y89" s="259" t="s">
        <v>4612</v>
      </c>
      <c r="Z89" s="9" t="s">
        <v>4612</v>
      </c>
      <c r="AA89" s="9" t="s">
        <v>4564</v>
      </c>
      <c r="AD89" s="195"/>
      <c r="AE89" s="106" t="s">
        <v>1070</v>
      </c>
      <c r="AF89" s="106" t="s">
        <v>1350</v>
      </c>
      <c r="AG89" s="106" t="s">
        <v>1380</v>
      </c>
      <c r="AH89" s="158" t="s">
        <v>1196</v>
      </c>
      <c r="AI89" s="30" t="s">
        <v>4564</v>
      </c>
      <c r="AJ89" s="106" t="s">
        <v>1956</v>
      </c>
      <c r="AK89" s="106" t="s">
        <v>1118</v>
      </c>
      <c r="AL89" s="107"/>
      <c r="AM89" s="30" t="s">
        <v>4564</v>
      </c>
      <c r="AN89" s="107"/>
      <c r="AO89" s="416" t="s">
        <v>4533</v>
      </c>
      <c r="AP89" s="348"/>
      <c r="AQ89" s="6" t="s">
        <v>997</v>
      </c>
      <c r="AR89" s="16" t="s">
        <v>1012</v>
      </c>
      <c r="AS89" s="9" t="s">
        <v>4612</v>
      </c>
      <c r="AT89" s="376" t="s">
        <v>1015</v>
      </c>
      <c r="AU89" s="417"/>
      <c r="AV89" s="418"/>
      <c r="AW89" s="418"/>
      <c r="AX89" s="419"/>
    </row>
    <row r="90">
      <c r="A90" s="11"/>
      <c r="B90" s="11"/>
      <c r="C90" s="420" t="s">
        <v>2991</v>
      </c>
      <c r="D90" s="317" t="s">
        <v>2991</v>
      </c>
      <c r="E90" s="317" t="s">
        <v>2991</v>
      </c>
      <c r="F90" s="317" t="s">
        <v>2991</v>
      </c>
      <c r="G90" s="317" t="s">
        <v>2991</v>
      </c>
      <c r="H90" s="317" t="s">
        <v>2991</v>
      </c>
      <c r="I90" s="317" t="s">
        <v>2991</v>
      </c>
      <c r="J90" s="317" t="s">
        <v>2991</v>
      </c>
      <c r="K90" s="421"/>
      <c r="L90" s="422"/>
      <c r="M90" s="395"/>
      <c r="N90" s="423"/>
      <c r="O90" s="424"/>
      <c r="P90" s="421"/>
      <c r="Q90" s="425"/>
      <c r="R90" s="396"/>
      <c r="S90" s="396"/>
      <c r="T90" s="396"/>
      <c r="U90" s="396"/>
      <c r="V90" s="423"/>
      <c r="W90" s="426"/>
      <c r="X90" s="427"/>
      <c r="Y90" s="428" t="s">
        <v>4840</v>
      </c>
      <c r="Z90" s="429" t="s">
        <v>4840</v>
      </c>
      <c r="AA90" s="429" t="s">
        <v>4840</v>
      </c>
      <c r="AB90" s="396"/>
      <c r="AC90" s="396"/>
      <c r="AD90" s="430"/>
      <c r="AE90" s="431">
        <v>1.0</v>
      </c>
      <c r="AF90" s="431">
        <v>1.0</v>
      </c>
      <c r="AG90" s="432"/>
      <c r="AH90" s="432"/>
      <c r="AI90" s="432"/>
      <c r="AJ90" s="432"/>
      <c r="AK90" s="317">
        <v>1.0</v>
      </c>
      <c r="AL90" s="432"/>
      <c r="AM90" s="432"/>
      <c r="AN90" s="432"/>
      <c r="AO90" s="421"/>
      <c r="AP90" s="433"/>
      <c r="AQ90" s="434"/>
      <c r="AR90" s="432"/>
      <c r="AS90" s="432"/>
      <c r="AT90" s="435"/>
      <c r="AU90" s="436"/>
      <c r="AV90" s="437"/>
      <c r="AW90" s="437"/>
      <c r="AX90" s="438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439" t="s">
        <v>4532</v>
      </c>
      <c r="U91" s="384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24">
        <f>sum(P85,P82,P78,P74,P69,P65,P61,P57,P51)</f>
        <v>58</v>
      </c>
      <c r="Q92" s="11"/>
      <c r="R92" s="16" t="s">
        <v>5145</v>
      </c>
      <c r="S92" s="11"/>
      <c r="T92" s="190"/>
      <c r="U92" s="190"/>
      <c r="V92" s="11"/>
      <c r="W92" s="11"/>
      <c r="X92" s="11"/>
      <c r="Y92" s="11"/>
      <c r="Z92" s="11"/>
      <c r="AA92" s="11"/>
      <c r="AB92" s="440">
        <v>23.0</v>
      </c>
      <c r="AC92" s="440">
        <v>88.0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91"/>
      <c r="AP92" s="11"/>
      <c r="AQ92" s="11"/>
      <c r="AR92" s="11"/>
      <c r="AS92" s="11"/>
      <c r="AT92" s="11"/>
      <c r="AU92" s="11"/>
      <c r="AV92" s="11"/>
      <c r="AW92" s="11"/>
      <c r="AX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441"/>
      <c r="AO93" s="191"/>
      <c r="AP93" s="440">
        <v>53.0</v>
      </c>
      <c r="AQ93" s="11"/>
      <c r="AR93" s="11"/>
      <c r="AS93" s="11"/>
      <c r="AT93" s="11"/>
      <c r="AU93" s="11"/>
      <c r="AV93" s="11"/>
      <c r="AW93" s="11"/>
      <c r="AX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24">
        <v>164.0</v>
      </c>
      <c r="AE94" s="11"/>
      <c r="AF94" s="11"/>
      <c r="AG94" s="11"/>
      <c r="AH94" s="11"/>
      <c r="AI94" s="11"/>
      <c r="AJ94" s="11"/>
      <c r="AK94" s="442" t="s">
        <v>5146</v>
      </c>
      <c r="AL94" s="443" t="s">
        <v>5147</v>
      </c>
      <c r="AM94" s="11"/>
      <c r="AN94" s="7" t="s">
        <v>5148</v>
      </c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444"/>
      <c r="AL95" s="445" t="s">
        <v>5149</v>
      </c>
      <c r="AM95" s="11"/>
      <c r="AN95" s="11"/>
      <c r="AO95" s="191"/>
      <c r="AP95" s="11"/>
      <c r="AQ95" s="11"/>
      <c r="AR95" s="11"/>
      <c r="AS95" s="11"/>
      <c r="AT95" s="11"/>
      <c r="AU95" s="11"/>
      <c r="AV95" s="11"/>
      <c r="AW95" s="11"/>
      <c r="AX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444"/>
      <c r="AL96" s="445" t="s">
        <v>5150</v>
      </c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446"/>
      <c r="AL97" s="447" t="s">
        <v>5151</v>
      </c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90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90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24" t="s">
        <v>4574</v>
      </c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</sheetData>
  <mergeCells count="38">
    <mergeCell ref="AV2:AV3"/>
    <mergeCell ref="AQ4:AR4"/>
    <mergeCell ref="P5:P6"/>
    <mergeCell ref="S5:T5"/>
    <mergeCell ref="AO5:AO7"/>
    <mergeCell ref="AT5:AT6"/>
    <mergeCell ref="AN13:AN16"/>
    <mergeCell ref="D47:M49"/>
    <mergeCell ref="O47:O49"/>
    <mergeCell ref="J51:K52"/>
    <mergeCell ref="A71:B73"/>
    <mergeCell ref="L77:L80"/>
    <mergeCell ref="M77:O80"/>
    <mergeCell ref="O28:O29"/>
    <mergeCell ref="AG29:AI29"/>
    <mergeCell ref="AQ31:AQ32"/>
    <mergeCell ref="AV35:AW35"/>
    <mergeCell ref="AG40:AI40"/>
    <mergeCell ref="C46:C50"/>
    <mergeCell ref="AX46:AX50"/>
    <mergeCell ref="AN47:AV49"/>
    <mergeCell ref="AU65:AU67"/>
    <mergeCell ref="AW79:AW87"/>
    <mergeCell ref="AX82:AX87"/>
    <mergeCell ref="M81:N90"/>
    <mergeCell ref="K89:K90"/>
    <mergeCell ref="O89:O90"/>
    <mergeCell ref="P89:P90"/>
    <mergeCell ref="AO89:AP90"/>
    <mergeCell ref="Q90:V90"/>
    <mergeCell ref="Q47:AA49"/>
    <mergeCell ref="AD47:AL49"/>
    <mergeCell ref="AB51:AC51"/>
    <mergeCell ref="AO51:AP52"/>
    <mergeCell ref="AB52:AC90"/>
    <mergeCell ref="P54:P55"/>
    <mergeCell ref="AD55:AD90"/>
    <mergeCell ref="T91:U9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52" t="s">
        <v>3571</v>
      </c>
    </row>
    <row r="2">
      <c r="A2" s="152" t="s">
        <v>3574</v>
      </c>
    </row>
    <row r="3">
      <c r="A3" s="152" t="s">
        <v>3577</v>
      </c>
    </row>
    <row r="4">
      <c r="A4" s="152" t="s">
        <v>3580</v>
      </c>
    </row>
    <row r="5">
      <c r="A5" s="152" t="s">
        <v>3583</v>
      </c>
    </row>
    <row r="6">
      <c r="A6" s="152" t="s">
        <v>3586</v>
      </c>
    </row>
    <row r="7">
      <c r="A7" s="152" t="s">
        <v>3589</v>
      </c>
    </row>
    <row r="8">
      <c r="A8" s="152" t="s">
        <v>3592</v>
      </c>
    </row>
    <row r="9">
      <c r="A9" s="152" t="s">
        <v>3595</v>
      </c>
    </row>
    <row r="10">
      <c r="A10" s="152" t="s">
        <v>3598</v>
      </c>
    </row>
    <row r="11">
      <c r="A11" s="152" t="s">
        <v>3601</v>
      </c>
    </row>
    <row r="12">
      <c r="A12" s="152" t="s">
        <v>3688</v>
      </c>
    </row>
    <row r="13">
      <c r="A13" s="152" t="s">
        <v>3691</v>
      </c>
    </row>
    <row r="14">
      <c r="A14" s="152" t="s">
        <v>3694</v>
      </c>
    </row>
    <row r="15">
      <c r="A15" s="152" t="s">
        <v>3696</v>
      </c>
    </row>
    <row r="16">
      <c r="A16" s="152" t="s">
        <v>3698</v>
      </c>
    </row>
    <row r="17">
      <c r="A17" s="152" t="s">
        <v>3700</v>
      </c>
    </row>
    <row r="18">
      <c r="A18" s="152" t="s">
        <v>3702</v>
      </c>
    </row>
    <row r="19">
      <c r="A19" s="152" t="s">
        <v>3703</v>
      </c>
    </row>
    <row r="20">
      <c r="A20" s="152" t="s">
        <v>3706</v>
      </c>
    </row>
    <row r="21">
      <c r="A21" s="152" t="s">
        <v>3708</v>
      </c>
    </row>
    <row r="22">
      <c r="A22" s="152" t="s">
        <v>3710</v>
      </c>
    </row>
    <row r="23">
      <c r="A23" s="152" t="s">
        <v>3713</v>
      </c>
    </row>
    <row r="24">
      <c r="A24" s="152" t="s">
        <v>3716</v>
      </c>
    </row>
    <row r="25">
      <c r="A25" s="152" t="s">
        <v>3718</v>
      </c>
    </row>
    <row r="26">
      <c r="A26" s="152" t="s">
        <v>3720</v>
      </c>
    </row>
    <row r="27">
      <c r="A27" s="152" t="s">
        <v>3722</v>
      </c>
    </row>
    <row r="28">
      <c r="A28" s="152" t="s">
        <v>3723</v>
      </c>
    </row>
    <row r="29">
      <c r="A29" s="152" t="s">
        <v>3725</v>
      </c>
    </row>
    <row r="30">
      <c r="A30" s="152" t="s">
        <v>3727</v>
      </c>
    </row>
    <row r="31">
      <c r="A31" s="152" t="s">
        <v>3730</v>
      </c>
    </row>
    <row r="32">
      <c r="A32" s="152" t="s">
        <v>3735</v>
      </c>
    </row>
    <row r="33">
      <c r="A33" s="152" t="s">
        <v>3738</v>
      </c>
    </row>
    <row r="34">
      <c r="A34" s="152" t="s">
        <v>3741</v>
      </c>
    </row>
    <row r="35">
      <c r="A35" s="152" t="s">
        <v>3744</v>
      </c>
    </row>
    <row r="36">
      <c r="A36" s="152" t="s">
        <v>3746</v>
      </c>
    </row>
    <row r="37">
      <c r="A37" s="152" t="s">
        <v>3749</v>
      </c>
    </row>
    <row r="38">
      <c r="A38" s="152" t="s">
        <v>3751</v>
      </c>
    </row>
    <row r="39">
      <c r="A39" s="152" t="s">
        <v>3754</v>
      </c>
    </row>
    <row r="40">
      <c r="A40" s="152" t="s">
        <v>3757</v>
      </c>
    </row>
    <row r="41">
      <c r="A41" s="152" t="s">
        <v>3761</v>
      </c>
    </row>
    <row r="42">
      <c r="A42" s="152" t="s">
        <v>3763</v>
      </c>
    </row>
    <row r="43">
      <c r="A43" s="152" t="s">
        <v>3764</v>
      </c>
    </row>
    <row r="44">
      <c r="A44" s="152" t="s">
        <v>3765</v>
      </c>
    </row>
    <row r="45">
      <c r="A45" s="152" t="s">
        <v>3766</v>
      </c>
    </row>
    <row r="46">
      <c r="A46" s="152" t="s">
        <v>3768</v>
      </c>
    </row>
    <row r="47">
      <c r="A47" s="152" t="s">
        <v>3769</v>
      </c>
    </row>
    <row r="48">
      <c r="A48" s="152" t="s">
        <v>3770</v>
      </c>
    </row>
    <row r="49">
      <c r="A49" s="152" t="s">
        <v>3771</v>
      </c>
    </row>
    <row r="50">
      <c r="A50" s="152" t="s">
        <v>3772</v>
      </c>
    </row>
    <row r="51">
      <c r="A51" s="152" t="s">
        <v>3773</v>
      </c>
    </row>
    <row r="52">
      <c r="A52" s="152" t="s">
        <v>3774</v>
      </c>
    </row>
    <row r="53">
      <c r="A53" s="152" t="s">
        <v>3775</v>
      </c>
    </row>
    <row r="54">
      <c r="A54" s="152" t="s">
        <v>3776</v>
      </c>
    </row>
    <row r="55">
      <c r="A55" s="152" t="s">
        <v>3777</v>
      </c>
    </row>
    <row r="56">
      <c r="A56" s="152" t="s">
        <v>3778</v>
      </c>
    </row>
    <row r="57">
      <c r="A57" s="152" t="s">
        <v>3779</v>
      </c>
    </row>
    <row r="58">
      <c r="A58" s="152" t="s">
        <v>3780</v>
      </c>
    </row>
    <row r="59">
      <c r="A59" s="152" t="s">
        <v>3782</v>
      </c>
    </row>
    <row r="60">
      <c r="A60" s="152" t="s">
        <v>3783</v>
      </c>
    </row>
    <row r="61">
      <c r="A61" s="152" t="s">
        <v>3784</v>
      </c>
    </row>
    <row r="62">
      <c r="A62" s="152" t="s">
        <v>3785</v>
      </c>
    </row>
    <row r="63">
      <c r="A63" s="152" t="s">
        <v>3786</v>
      </c>
    </row>
    <row r="64">
      <c r="A64" s="152" t="s">
        <v>3789</v>
      </c>
    </row>
    <row r="65">
      <c r="A65" s="152" t="s">
        <v>3790</v>
      </c>
    </row>
    <row r="66">
      <c r="A66" s="152" t="s">
        <v>3791</v>
      </c>
    </row>
    <row r="67">
      <c r="A67" s="152" t="s">
        <v>3792</v>
      </c>
    </row>
    <row r="68">
      <c r="A68" s="152" t="s">
        <v>3794</v>
      </c>
    </row>
    <row r="69">
      <c r="A69" s="152" t="s">
        <v>3795</v>
      </c>
    </row>
    <row r="70">
      <c r="A70" s="152" t="s">
        <v>3796</v>
      </c>
    </row>
    <row r="71">
      <c r="A71" s="152" t="s">
        <v>3797</v>
      </c>
    </row>
    <row r="72">
      <c r="A72" s="152" t="s">
        <v>3798</v>
      </c>
    </row>
    <row r="73">
      <c r="A73" s="152" t="s">
        <v>3799</v>
      </c>
    </row>
    <row r="74">
      <c r="A74" s="152" t="s">
        <v>3800</v>
      </c>
    </row>
    <row r="75">
      <c r="A75" s="152" t="s">
        <v>3801</v>
      </c>
    </row>
    <row r="76">
      <c r="A76" s="152" t="s">
        <v>3802</v>
      </c>
    </row>
    <row r="77">
      <c r="A77" s="152" t="s">
        <v>3803</v>
      </c>
    </row>
    <row r="78">
      <c r="A78" s="152" t="s">
        <v>3804</v>
      </c>
    </row>
    <row r="79">
      <c r="A79" s="152" t="s">
        <v>3805</v>
      </c>
    </row>
    <row r="80">
      <c r="A80" s="152" t="s">
        <v>3806</v>
      </c>
    </row>
    <row r="81">
      <c r="A81" s="152" t="s">
        <v>3807</v>
      </c>
    </row>
    <row r="82">
      <c r="A82" s="152" t="s">
        <v>3808</v>
      </c>
    </row>
    <row r="83">
      <c r="A83" s="152" t="s">
        <v>3809</v>
      </c>
    </row>
    <row r="84">
      <c r="A84" s="152" t="s">
        <v>3810</v>
      </c>
    </row>
    <row r="85">
      <c r="A85" s="152" t="s">
        <v>3811</v>
      </c>
    </row>
    <row r="86">
      <c r="A86" s="152" t="s">
        <v>3812</v>
      </c>
    </row>
    <row r="87">
      <c r="A87" s="152" t="s">
        <v>3813</v>
      </c>
    </row>
    <row r="88">
      <c r="A88" s="152" t="s">
        <v>3814</v>
      </c>
    </row>
    <row r="89">
      <c r="A89" s="152" t="s">
        <v>3815</v>
      </c>
    </row>
    <row r="90">
      <c r="A90" s="152" t="s">
        <v>3816</v>
      </c>
    </row>
    <row r="91">
      <c r="A91" s="152" t="s">
        <v>3817</v>
      </c>
    </row>
    <row r="92">
      <c r="A92" s="152" t="s">
        <v>3818</v>
      </c>
    </row>
    <row r="93">
      <c r="A93" s="152" t="s">
        <v>3819</v>
      </c>
    </row>
    <row r="94">
      <c r="A94" s="152" t="s">
        <v>3820</v>
      </c>
    </row>
    <row r="95">
      <c r="A95" s="152" t="s">
        <v>3821</v>
      </c>
    </row>
    <row r="96">
      <c r="A96" s="152" t="s">
        <v>3822</v>
      </c>
    </row>
    <row r="97">
      <c r="A97" s="152" t="s">
        <v>3823</v>
      </c>
    </row>
    <row r="98">
      <c r="A98" s="152" t="s">
        <v>3824</v>
      </c>
    </row>
    <row r="99">
      <c r="A99" s="152" t="s">
        <v>3825</v>
      </c>
    </row>
    <row r="100">
      <c r="A100" s="152" t="s">
        <v>3826</v>
      </c>
    </row>
    <row r="101">
      <c r="A101" s="152" t="s">
        <v>3827</v>
      </c>
    </row>
    <row r="102">
      <c r="A102" s="152" t="s">
        <v>3828</v>
      </c>
    </row>
    <row r="103">
      <c r="A103" s="152" t="s">
        <v>3829</v>
      </c>
    </row>
    <row r="104">
      <c r="A104" s="152" t="s">
        <v>3830</v>
      </c>
    </row>
    <row r="105">
      <c r="A105" s="152" t="s">
        <v>3831</v>
      </c>
    </row>
    <row r="106">
      <c r="A106" s="152" t="s">
        <v>3832</v>
      </c>
    </row>
    <row r="107">
      <c r="A107" s="152" t="s">
        <v>3833</v>
      </c>
    </row>
    <row r="108">
      <c r="A108" s="152" t="s">
        <v>3834</v>
      </c>
    </row>
    <row r="109">
      <c r="A109" s="152" t="s">
        <v>3835</v>
      </c>
    </row>
    <row r="110">
      <c r="A110" s="152" t="s">
        <v>3836</v>
      </c>
    </row>
    <row r="111">
      <c r="A111" s="152" t="s">
        <v>3837</v>
      </c>
    </row>
    <row r="112">
      <c r="A112" s="152" t="s">
        <v>3838</v>
      </c>
    </row>
    <row r="113">
      <c r="A113" s="152" t="s">
        <v>3839</v>
      </c>
    </row>
    <row r="114">
      <c r="A114" s="152" t="s">
        <v>3840</v>
      </c>
    </row>
    <row r="115">
      <c r="A115" s="152" t="s">
        <v>3841</v>
      </c>
    </row>
    <row r="116">
      <c r="A116" s="152" t="s">
        <v>3842</v>
      </c>
    </row>
    <row r="117">
      <c r="A117" s="152" t="s">
        <v>3843</v>
      </c>
    </row>
    <row r="118">
      <c r="A118" s="152" t="s">
        <v>3844</v>
      </c>
    </row>
    <row r="119">
      <c r="A119" s="152" t="s">
        <v>3845</v>
      </c>
    </row>
    <row r="120">
      <c r="A120" s="152" t="s">
        <v>3846</v>
      </c>
    </row>
    <row r="121">
      <c r="A121" s="152" t="s">
        <v>3847</v>
      </c>
    </row>
    <row r="122">
      <c r="A122" s="152" t="s">
        <v>3849</v>
      </c>
    </row>
    <row r="123">
      <c r="A123" s="152" t="s">
        <v>3851</v>
      </c>
    </row>
    <row r="124">
      <c r="A124" s="152" t="s">
        <v>3852</v>
      </c>
    </row>
    <row r="125">
      <c r="A125" s="152" t="s">
        <v>3853</v>
      </c>
    </row>
    <row r="126">
      <c r="A126" s="152" t="s">
        <v>3854</v>
      </c>
    </row>
    <row r="127">
      <c r="A127" s="152" t="s">
        <v>3855</v>
      </c>
    </row>
    <row r="128">
      <c r="A128" s="152" t="s">
        <v>3856</v>
      </c>
    </row>
    <row r="129">
      <c r="A129" s="152" t="s">
        <v>3857</v>
      </c>
    </row>
    <row r="130">
      <c r="A130" s="152" t="s">
        <v>3859</v>
      </c>
    </row>
    <row r="131">
      <c r="A131" s="152" t="s">
        <v>3862</v>
      </c>
    </row>
    <row r="132">
      <c r="A132" s="152" t="s">
        <v>3865</v>
      </c>
    </row>
    <row r="133">
      <c r="A133" s="152" t="s">
        <v>3867</v>
      </c>
    </row>
    <row r="134">
      <c r="A134" s="152" t="s">
        <v>3869</v>
      </c>
    </row>
    <row r="135">
      <c r="A135" s="152" t="s">
        <v>3872</v>
      </c>
    </row>
    <row r="136">
      <c r="A136" s="152" t="s">
        <v>3875</v>
      </c>
    </row>
    <row r="137">
      <c r="A137" s="152" t="s">
        <v>3878</v>
      </c>
    </row>
    <row r="138">
      <c r="A138" s="152" t="s">
        <v>3881</v>
      </c>
    </row>
    <row r="139">
      <c r="A139" s="152" t="s">
        <v>3884</v>
      </c>
    </row>
    <row r="140">
      <c r="A140" s="152" t="s">
        <v>3886</v>
      </c>
    </row>
    <row r="141">
      <c r="A141" s="152" t="s">
        <v>3888</v>
      </c>
    </row>
    <row r="142">
      <c r="A142" s="152" t="s">
        <v>3890</v>
      </c>
    </row>
    <row r="143">
      <c r="A143" s="152" t="s">
        <v>3892</v>
      </c>
    </row>
    <row r="144">
      <c r="A144" s="152" t="s">
        <v>3894</v>
      </c>
    </row>
    <row r="145">
      <c r="A145" s="152" t="s">
        <v>3896</v>
      </c>
    </row>
    <row r="146">
      <c r="A146" s="152" t="s">
        <v>3897</v>
      </c>
    </row>
    <row r="147">
      <c r="A147" s="152" t="s">
        <v>3898</v>
      </c>
    </row>
    <row r="148">
      <c r="A148" s="152" t="s">
        <v>3899</v>
      </c>
    </row>
    <row r="149">
      <c r="A149" s="152" t="s">
        <v>3900</v>
      </c>
    </row>
    <row r="150">
      <c r="A150" s="152" t="s">
        <v>3901</v>
      </c>
    </row>
    <row r="151">
      <c r="A151" s="152" t="s">
        <v>3904</v>
      </c>
    </row>
    <row r="152">
      <c r="A152" s="152" t="s">
        <v>3907</v>
      </c>
    </row>
    <row r="153">
      <c r="A153" s="152" t="s">
        <v>3909</v>
      </c>
    </row>
    <row r="154">
      <c r="A154" s="152" t="s">
        <v>3911</v>
      </c>
    </row>
    <row r="155">
      <c r="A155" s="152" t="s">
        <v>3912</v>
      </c>
    </row>
    <row r="156">
      <c r="A156" s="152" t="s">
        <v>3914</v>
      </c>
    </row>
    <row r="157">
      <c r="A157" s="152" t="s">
        <v>3916</v>
      </c>
    </row>
    <row r="158">
      <c r="A158" s="152" t="s">
        <v>3918</v>
      </c>
    </row>
    <row r="159">
      <c r="A159" s="152" t="s">
        <v>3920</v>
      </c>
    </row>
    <row r="160">
      <c r="A160" s="152" t="s">
        <v>3567</v>
      </c>
    </row>
    <row r="161">
      <c r="A161" s="152" t="s">
        <v>3566</v>
      </c>
    </row>
    <row r="162">
      <c r="A162" s="152" t="s">
        <v>3924</v>
      </c>
    </row>
    <row r="163">
      <c r="A163" s="152" t="s">
        <v>3926</v>
      </c>
    </row>
    <row r="164">
      <c r="A164" s="152" t="s">
        <v>3928</v>
      </c>
    </row>
    <row r="165">
      <c r="A165" s="152" t="s">
        <v>3930</v>
      </c>
    </row>
    <row r="166">
      <c r="A166" s="152" t="s">
        <v>3932</v>
      </c>
    </row>
    <row r="167">
      <c r="A167" s="152" t="s">
        <v>3934</v>
      </c>
    </row>
    <row r="168">
      <c r="A168" s="152" t="s">
        <v>3936</v>
      </c>
    </row>
    <row r="169">
      <c r="A169" s="152" t="s">
        <v>3938</v>
      </c>
    </row>
    <row r="170">
      <c r="A170" s="152" t="s">
        <v>3940</v>
      </c>
    </row>
    <row r="171">
      <c r="A171" s="152" t="s">
        <v>3942</v>
      </c>
    </row>
    <row r="172">
      <c r="A172" s="152" t="s">
        <v>3944</v>
      </c>
    </row>
    <row r="173">
      <c r="A173" s="152" t="s">
        <v>3945</v>
      </c>
    </row>
    <row r="174">
      <c r="A174" s="152" t="s">
        <v>3947</v>
      </c>
    </row>
    <row r="175">
      <c r="A175" s="152" t="s">
        <v>3949</v>
      </c>
    </row>
    <row r="176">
      <c r="A176" s="152" t="s">
        <v>3951</v>
      </c>
    </row>
    <row r="177">
      <c r="A177" s="152" t="s">
        <v>3953</v>
      </c>
    </row>
    <row r="178">
      <c r="A178" s="152" t="s">
        <v>3955</v>
      </c>
    </row>
    <row r="179">
      <c r="A179" s="152" t="s">
        <v>3957</v>
      </c>
    </row>
    <row r="180">
      <c r="A180" s="152" t="s">
        <v>3959</v>
      </c>
    </row>
    <row r="181">
      <c r="A181" s="152" t="s">
        <v>3961</v>
      </c>
    </row>
    <row r="182">
      <c r="A182" s="152" t="s">
        <v>3963</v>
      </c>
    </row>
    <row r="183">
      <c r="A183" s="152" t="s">
        <v>3964</v>
      </c>
    </row>
    <row r="184">
      <c r="A184" s="152" t="s">
        <v>3967</v>
      </c>
    </row>
    <row r="185">
      <c r="A185" s="152" t="s">
        <v>3969</v>
      </c>
    </row>
    <row r="186">
      <c r="A186" s="152" t="s">
        <v>3971</v>
      </c>
    </row>
    <row r="187">
      <c r="A187" s="152" t="s">
        <v>3973</v>
      </c>
    </row>
    <row r="188">
      <c r="A188" s="152" t="s">
        <v>3975</v>
      </c>
    </row>
    <row r="189">
      <c r="A189" s="152" t="s">
        <v>3976</v>
      </c>
    </row>
    <row r="190">
      <c r="A190" s="152" t="s">
        <v>3977</v>
      </c>
    </row>
    <row r="191">
      <c r="A191" s="152" t="s">
        <v>3978</v>
      </c>
    </row>
    <row r="192">
      <c r="A192" s="152" t="s">
        <v>3979</v>
      </c>
    </row>
    <row r="193">
      <c r="A193" s="152" t="s">
        <v>3980</v>
      </c>
    </row>
    <row r="194">
      <c r="A194" s="152" t="s">
        <v>3981</v>
      </c>
    </row>
    <row r="195">
      <c r="A195" s="152" t="s">
        <v>3984</v>
      </c>
    </row>
    <row r="196">
      <c r="A196" s="152" t="s">
        <v>3985</v>
      </c>
    </row>
    <row r="197">
      <c r="A197" s="152" t="s">
        <v>3986</v>
      </c>
    </row>
    <row r="198">
      <c r="A198" s="152" t="s">
        <v>3943</v>
      </c>
    </row>
    <row r="199">
      <c r="A199" s="152" t="s">
        <v>3946</v>
      </c>
    </row>
    <row r="200">
      <c r="A200" s="152" t="s">
        <v>3933</v>
      </c>
    </row>
    <row r="201">
      <c r="A201" s="152" t="s">
        <v>3968</v>
      </c>
    </row>
    <row r="202">
      <c r="A202" s="152" t="s">
        <v>3915</v>
      </c>
    </row>
    <row r="203">
      <c r="A203" s="152" t="s">
        <v>3970</v>
      </c>
    </row>
    <row r="204">
      <c r="A204" s="152" t="s">
        <v>3966</v>
      </c>
    </row>
    <row r="205">
      <c r="A205" s="152" t="s">
        <v>3954</v>
      </c>
    </row>
    <row r="206">
      <c r="A206" s="152" t="s">
        <v>3990</v>
      </c>
    </row>
    <row r="207">
      <c r="A207" s="152" t="s">
        <v>3991</v>
      </c>
    </row>
    <row r="208">
      <c r="A208" s="152" t="s">
        <v>3903</v>
      </c>
    </row>
    <row r="209">
      <c r="A209" s="152" t="s">
        <v>3992</v>
      </c>
    </row>
    <row r="210">
      <c r="A210" s="152" t="s">
        <v>3906</v>
      </c>
    </row>
    <row r="211">
      <c r="A211" s="152" t="s">
        <v>3923</v>
      </c>
    </row>
    <row r="212">
      <c r="A212" s="152" t="s">
        <v>3993</v>
      </c>
    </row>
    <row r="213">
      <c r="A213" s="152" t="s">
        <v>3994</v>
      </c>
    </row>
    <row r="214">
      <c r="A214" s="152" t="s">
        <v>3995</v>
      </c>
    </row>
    <row r="215">
      <c r="A215" s="152" t="s">
        <v>3996</v>
      </c>
    </row>
    <row r="216">
      <c r="A216" s="152" t="s">
        <v>3997</v>
      </c>
    </row>
    <row r="217">
      <c r="A217" s="152" t="s">
        <v>3998</v>
      </c>
    </row>
    <row r="218">
      <c r="A218" s="152" t="s">
        <v>3999</v>
      </c>
    </row>
    <row r="219">
      <c r="A219" s="152" t="s">
        <v>4000</v>
      </c>
    </row>
    <row r="220">
      <c r="A220" s="152" t="s">
        <v>4002</v>
      </c>
    </row>
    <row r="221">
      <c r="A221" s="152" t="s">
        <v>4004</v>
      </c>
    </row>
    <row r="222">
      <c r="A222" s="152" t="s">
        <v>4007</v>
      </c>
    </row>
    <row r="223">
      <c r="A223" s="152" t="s">
        <v>4010</v>
      </c>
    </row>
    <row r="224">
      <c r="A224" s="152" t="s">
        <v>4011</v>
      </c>
    </row>
    <row r="225">
      <c r="A225" s="152" t="s">
        <v>4013</v>
      </c>
    </row>
    <row r="226">
      <c r="A226" s="152" t="s">
        <v>3908</v>
      </c>
    </row>
    <row r="227">
      <c r="A227" s="152" t="s">
        <v>3910</v>
      </c>
    </row>
    <row r="228">
      <c r="A228" s="152" t="s">
        <v>4016</v>
      </c>
    </row>
    <row r="229">
      <c r="A229" s="152" t="s">
        <v>3913</v>
      </c>
    </row>
    <row r="230">
      <c r="A230" s="152" t="s">
        <v>4017</v>
      </c>
    </row>
    <row r="231">
      <c r="A231" s="152" t="s">
        <v>3917</v>
      </c>
    </row>
    <row r="232">
      <c r="A232" s="152" t="s">
        <v>3919</v>
      </c>
    </row>
    <row r="233">
      <c r="A233" s="152" t="s">
        <v>3921</v>
      </c>
    </row>
    <row r="234">
      <c r="A234" s="152" t="s">
        <v>3922</v>
      </c>
    </row>
    <row r="235">
      <c r="A235" s="152" t="s">
        <v>4020</v>
      </c>
    </row>
    <row r="236">
      <c r="A236" s="152" t="s">
        <v>4021</v>
      </c>
    </row>
    <row r="237">
      <c r="A237" s="152" t="s">
        <v>4022</v>
      </c>
    </row>
    <row r="238">
      <c r="A238" s="152" t="s">
        <v>3927</v>
      </c>
    </row>
    <row r="239">
      <c r="A239" s="152" t="s">
        <v>3929</v>
      </c>
    </row>
    <row r="240">
      <c r="A240" s="152" t="s">
        <v>3931</v>
      </c>
    </row>
    <row r="241">
      <c r="A241" s="152" t="s">
        <v>4024</v>
      </c>
    </row>
    <row r="242">
      <c r="A242" s="152" t="s">
        <v>4025</v>
      </c>
    </row>
    <row r="243">
      <c r="A243" s="152" t="s">
        <v>3935</v>
      </c>
    </row>
    <row r="244">
      <c r="A244" s="152" t="s">
        <v>3937</v>
      </c>
    </row>
    <row r="245">
      <c r="A245" s="152" t="s">
        <v>3939</v>
      </c>
    </row>
    <row r="246">
      <c r="A246" s="152" t="s">
        <v>3941</v>
      </c>
    </row>
    <row r="247">
      <c r="A247" s="152" t="s">
        <v>4027</v>
      </c>
    </row>
    <row r="248">
      <c r="A248" s="152" t="s">
        <v>4030</v>
      </c>
    </row>
    <row r="249">
      <c r="A249" s="152" t="s">
        <v>4033</v>
      </c>
    </row>
    <row r="250">
      <c r="A250" s="152" t="s">
        <v>3948</v>
      </c>
    </row>
    <row r="251">
      <c r="A251" s="152" t="s">
        <v>3950</v>
      </c>
    </row>
    <row r="252">
      <c r="A252" s="152" t="s">
        <v>4036</v>
      </c>
    </row>
    <row r="253">
      <c r="A253" s="152" t="s">
        <v>3952</v>
      </c>
    </row>
    <row r="254">
      <c r="A254" s="152" t="s">
        <v>4038</v>
      </c>
    </row>
    <row r="255">
      <c r="A255" s="152" t="s">
        <v>3956</v>
      </c>
    </row>
    <row r="256">
      <c r="A256" s="152" t="s">
        <v>3958</v>
      </c>
    </row>
    <row r="257">
      <c r="A257" s="152" t="s">
        <v>3960</v>
      </c>
    </row>
    <row r="258">
      <c r="A258" s="152" t="s">
        <v>3962</v>
      </c>
    </row>
    <row r="259">
      <c r="A259" s="152" t="s">
        <v>4043</v>
      </c>
    </row>
    <row r="260">
      <c r="A260" s="152" t="s">
        <v>4044</v>
      </c>
    </row>
    <row r="261">
      <c r="A261" s="152" t="s">
        <v>4045</v>
      </c>
    </row>
    <row r="262">
      <c r="A262" s="152" t="s">
        <v>4046</v>
      </c>
    </row>
    <row r="263">
      <c r="A263" s="152" t="s">
        <v>3972</v>
      </c>
    </row>
    <row r="264">
      <c r="A264" s="152" t="s">
        <v>3974</v>
      </c>
    </row>
    <row r="265">
      <c r="A265" s="152" t="s">
        <v>4048</v>
      </c>
    </row>
    <row r="266">
      <c r="A266" s="152" t="s">
        <v>4051</v>
      </c>
    </row>
    <row r="267">
      <c r="A267" s="152" t="s">
        <v>4054</v>
      </c>
    </row>
    <row r="268">
      <c r="A268" s="152" t="s">
        <v>4056</v>
      </c>
    </row>
    <row r="269">
      <c r="A269" s="152" t="s">
        <v>4057</v>
      </c>
    </row>
    <row r="270">
      <c r="A270" s="152" t="s">
        <v>4058</v>
      </c>
    </row>
    <row r="271">
      <c r="A271" s="152" t="s">
        <v>4061</v>
      </c>
    </row>
    <row r="272">
      <c r="A272" s="152" t="s">
        <v>4063</v>
      </c>
    </row>
    <row r="273">
      <c r="A273" s="152" t="s">
        <v>4066</v>
      </c>
    </row>
    <row r="274">
      <c r="A274" s="152" t="s">
        <v>4067</v>
      </c>
    </row>
    <row r="275">
      <c r="A275" s="152" t="s">
        <v>4068</v>
      </c>
    </row>
    <row r="276">
      <c r="A276" s="152" t="s">
        <v>4069</v>
      </c>
    </row>
    <row r="277">
      <c r="A277" s="152" t="s">
        <v>4071</v>
      </c>
    </row>
    <row r="278">
      <c r="A278" s="152" t="s">
        <v>4073</v>
      </c>
    </row>
    <row r="279">
      <c r="A279" s="152" t="s">
        <v>4074</v>
      </c>
    </row>
    <row r="280">
      <c r="A280" s="152" t="s">
        <v>4075</v>
      </c>
    </row>
    <row r="281">
      <c r="A281" s="152" t="s">
        <v>4076</v>
      </c>
    </row>
    <row r="282">
      <c r="A282" s="152" t="s">
        <v>4077</v>
      </c>
    </row>
    <row r="283">
      <c r="A283" s="152" t="s">
        <v>4080</v>
      </c>
    </row>
    <row r="284">
      <c r="A284" s="152" t="s">
        <v>4081</v>
      </c>
    </row>
    <row r="285">
      <c r="A285" s="152" t="s">
        <v>4082</v>
      </c>
    </row>
    <row r="286">
      <c r="A286" s="152" t="s">
        <v>4083</v>
      </c>
    </row>
    <row r="287">
      <c r="A287" s="152" t="s">
        <v>4084</v>
      </c>
    </row>
    <row r="288">
      <c r="A288" s="152" t="s">
        <v>4085</v>
      </c>
    </row>
    <row r="289">
      <c r="A289" s="152" t="s">
        <v>4086</v>
      </c>
    </row>
    <row r="290">
      <c r="A290" s="152" t="s">
        <v>4088</v>
      </c>
    </row>
    <row r="291">
      <c r="A291" s="152" t="s">
        <v>4090</v>
      </c>
    </row>
    <row r="292">
      <c r="A292" s="152" t="s">
        <v>4091</v>
      </c>
    </row>
    <row r="293">
      <c r="A293" s="152" t="s">
        <v>4092</v>
      </c>
    </row>
    <row r="294">
      <c r="A294" s="152" t="s">
        <v>4093</v>
      </c>
    </row>
    <row r="295">
      <c r="A295" s="152" t="s">
        <v>4094</v>
      </c>
    </row>
    <row r="296">
      <c r="A296" s="152" t="s">
        <v>4095</v>
      </c>
    </row>
    <row r="297">
      <c r="A297" s="152" t="s">
        <v>4097</v>
      </c>
    </row>
    <row r="298">
      <c r="A298" s="152" t="s">
        <v>4098</v>
      </c>
    </row>
    <row r="299">
      <c r="A299" s="152" t="s">
        <v>4099</v>
      </c>
    </row>
    <row r="300">
      <c r="A300" s="152" t="s">
        <v>4100</v>
      </c>
    </row>
    <row r="301">
      <c r="A301" s="152" t="s">
        <v>4101</v>
      </c>
    </row>
    <row r="302">
      <c r="A302" s="152" t="s">
        <v>4102</v>
      </c>
    </row>
    <row r="303">
      <c r="A303" s="152" t="s">
        <v>4103</v>
      </c>
    </row>
    <row r="304">
      <c r="A304" s="152" t="s">
        <v>4104</v>
      </c>
    </row>
    <row r="305">
      <c r="A305" s="152" t="s">
        <v>4105</v>
      </c>
    </row>
    <row r="306">
      <c r="A306" s="152" t="s">
        <v>4106</v>
      </c>
    </row>
    <row r="307">
      <c r="A307" s="152" t="s">
        <v>4107</v>
      </c>
    </row>
    <row r="308">
      <c r="A308" s="152" t="s">
        <v>4108</v>
      </c>
    </row>
    <row r="309">
      <c r="A309" s="152" t="s">
        <v>4109</v>
      </c>
    </row>
    <row r="310">
      <c r="A310" s="152" t="s">
        <v>4110</v>
      </c>
    </row>
    <row r="311">
      <c r="A311" s="152" t="s">
        <v>4111</v>
      </c>
    </row>
    <row r="312">
      <c r="A312" s="152" t="s">
        <v>4112</v>
      </c>
    </row>
    <row r="313">
      <c r="A313" s="152" t="s">
        <v>4113</v>
      </c>
    </row>
    <row r="314">
      <c r="A314" s="152" t="s">
        <v>4114</v>
      </c>
    </row>
    <row r="315">
      <c r="A315" s="152" t="s">
        <v>4115</v>
      </c>
    </row>
    <row r="316">
      <c r="A316" s="152" t="s">
        <v>4116</v>
      </c>
    </row>
    <row r="317">
      <c r="A317" s="152" t="s">
        <v>4117</v>
      </c>
    </row>
    <row r="318">
      <c r="A318" s="152" t="s">
        <v>4118</v>
      </c>
    </row>
    <row r="319">
      <c r="A319" s="152" t="s">
        <v>4119</v>
      </c>
    </row>
    <row r="320">
      <c r="A320" s="152" t="s">
        <v>4120</v>
      </c>
    </row>
    <row r="321">
      <c r="A321" s="152" t="s">
        <v>4121</v>
      </c>
    </row>
    <row r="322">
      <c r="A322" s="152" t="s">
        <v>4122</v>
      </c>
    </row>
    <row r="323">
      <c r="A323" s="152" t="s">
        <v>4123</v>
      </c>
    </row>
    <row r="324">
      <c r="A324" s="152" t="s">
        <v>4124</v>
      </c>
    </row>
    <row r="325">
      <c r="A325" s="152" t="s">
        <v>4125</v>
      </c>
    </row>
    <row r="326">
      <c r="A326" s="152" t="s">
        <v>4126</v>
      </c>
    </row>
    <row r="327">
      <c r="A327" s="152" t="s">
        <v>4127</v>
      </c>
    </row>
    <row r="328">
      <c r="A328" s="152" t="s">
        <v>4128</v>
      </c>
    </row>
    <row r="329">
      <c r="A329" s="152" t="s">
        <v>4129</v>
      </c>
    </row>
    <row r="330">
      <c r="A330" s="152" t="s">
        <v>4130</v>
      </c>
    </row>
    <row r="331">
      <c r="A331" s="152" t="s">
        <v>4131</v>
      </c>
    </row>
    <row r="332">
      <c r="A332" s="152" t="s">
        <v>4132</v>
      </c>
    </row>
    <row r="333">
      <c r="A333" s="152" t="s">
        <v>4133</v>
      </c>
    </row>
    <row r="334">
      <c r="A334" s="152" t="s">
        <v>4134</v>
      </c>
    </row>
    <row r="335">
      <c r="A335" s="152" t="s">
        <v>4135</v>
      </c>
    </row>
    <row r="336">
      <c r="A336" s="152" t="s">
        <v>4136</v>
      </c>
    </row>
    <row r="337">
      <c r="A337" s="152" t="s">
        <v>4137</v>
      </c>
    </row>
    <row r="338">
      <c r="A338" s="152" t="s">
        <v>4138</v>
      </c>
    </row>
    <row r="339">
      <c r="A339" s="152" t="s">
        <v>4139</v>
      </c>
    </row>
    <row r="340">
      <c r="A340" s="152" t="s">
        <v>4140</v>
      </c>
    </row>
    <row r="341">
      <c r="A341" s="152" t="s">
        <v>4141</v>
      </c>
    </row>
    <row r="342">
      <c r="A342" s="152" t="s">
        <v>4029</v>
      </c>
    </row>
    <row r="343">
      <c r="A343" s="152" t="s">
        <v>4032</v>
      </c>
    </row>
    <row r="344">
      <c r="A344" s="152" t="s">
        <v>4142</v>
      </c>
    </row>
    <row r="345">
      <c r="A345" s="152" t="s">
        <v>4143</v>
      </c>
    </row>
    <row r="346">
      <c r="A346" s="152" t="s">
        <v>4144</v>
      </c>
    </row>
    <row r="347">
      <c r="A347" s="152" t="s">
        <v>4146</v>
      </c>
    </row>
    <row r="348">
      <c r="A348" s="152" t="s">
        <v>4035</v>
      </c>
    </row>
    <row r="349">
      <c r="A349" s="152" t="s">
        <v>4147</v>
      </c>
    </row>
    <row r="350">
      <c r="A350" s="152" t="s">
        <v>4148</v>
      </c>
    </row>
    <row r="351">
      <c r="A351" s="152" t="s">
        <v>4026</v>
      </c>
    </row>
    <row r="352">
      <c r="A352" s="152" t="s">
        <v>4001</v>
      </c>
    </row>
    <row r="353">
      <c r="A353" s="152" t="s">
        <v>4149</v>
      </c>
    </row>
    <row r="354">
      <c r="A354" s="152" t="s">
        <v>4150</v>
      </c>
    </row>
    <row r="355">
      <c r="A355" s="152" t="s">
        <v>4151</v>
      </c>
    </row>
    <row r="356">
      <c r="A356" s="152" t="s">
        <v>4152</v>
      </c>
    </row>
    <row r="357">
      <c r="A357" s="152" t="s">
        <v>4153</v>
      </c>
    </row>
    <row r="358">
      <c r="A358" s="152" t="s">
        <v>4154</v>
      </c>
    </row>
    <row r="359">
      <c r="A359" s="152" t="s">
        <v>4155</v>
      </c>
    </row>
    <row r="360">
      <c r="A360" s="152" t="s">
        <v>4047</v>
      </c>
    </row>
    <row r="361">
      <c r="A361" s="152" t="s">
        <v>4157</v>
      </c>
    </row>
    <row r="362">
      <c r="A362" s="152" t="s">
        <v>4158</v>
      </c>
    </row>
    <row r="363">
      <c r="A363" s="152" t="s">
        <v>4159</v>
      </c>
    </row>
    <row r="364">
      <c r="A364" s="152" t="s">
        <v>4053</v>
      </c>
    </row>
    <row r="365">
      <c r="A365" s="152" t="s">
        <v>4160</v>
      </c>
    </row>
    <row r="366">
      <c r="A366" s="152" t="s">
        <v>4161</v>
      </c>
    </row>
    <row r="367">
      <c r="A367" s="152" t="s">
        <v>4050</v>
      </c>
    </row>
    <row r="368">
      <c r="A368" s="152" t="s">
        <v>4060</v>
      </c>
    </row>
    <row r="369">
      <c r="A369" s="152" t="s">
        <v>4162</v>
      </c>
    </row>
    <row r="370">
      <c r="A370" s="152" t="s">
        <v>4163</v>
      </c>
    </row>
    <row r="371">
      <c r="A371" s="152" t="s">
        <v>4164</v>
      </c>
    </row>
    <row r="372">
      <c r="A372" s="152" t="s">
        <v>4165</v>
      </c>
    </row>
    <row r="373">
      <c r="A373" s="152" t="s">
        <v>4166</v>
      </c>
    </row>
    <row r="374">
      <c r="A374" s="152" t="s">
        <v>4167</v>
      </c>
    </row>
    <row r="375">
      <c r="A375" s="152" t="s">
        <v>4168</v>
      </c>
    </row>
    <row r="376">
      <c r="A376" s="152" t="s">
        <v>4169</v>
      </c>
    </row>
    <row r="377">
      <c r="A377" s="152" t="s">
        <v>4170</v>
      </c>
    </row>
    <row r="378">
      <c r="A378" s="152" t="s">
        <v>4171</v>
      </c>
    </row>
    <row r="379">
      <c r="A379" s="152" t="s">
        <v>4172</v>
      </c>
    </row>
    <row r="380">
      <c r="A380" s="152" t="s">
        <v>4173</v>
      </c>
    </row>
    <row r="381">
      <c r="A381" s="152" t="s">
        <v>4174</v>
      </c>
    </row>
    <row r="382">
      <c r="A382" s="152" t="s">
        <v>4175</v>
      </c>
    </row>
    <row r="383">
      <c r="A383" s="152" t="s">
        <v>4176</v>
      </c>
    </row>
    <row r="384">
      <c r="A384" s="152" t="s">
        <v>4177</v>
      </c>
    </row>
    <row r="385">
      <c r="A385" s="152" t="s">
        <v>4178</v>
      </c>
    </row>
    <row r="386">
      <c r="A386" s="152" t="s">
        <v>4179</v>
      </c>
    </row>
    <row r="387">
      <c r="A387" s="152" t="s">
        <v>4180</v>
      </c>
    </row>
    <row r="388">
      <c r="A388" s="152" t="s">
        <v>4181</v>
      </c>
    </row>
    <row r="389">
      <c r="A389" s="152" t="s">
        <v>4182</v>
      </c>
    </row>
    <row r="390">
      <c r="A390" s="152" t="s">
        <v>4183</v>
      </c>
    </row>
    <row r="391">
      <c r="A391" s="152" t="s">
        <v>4184</v>
      </c>
    </row>
    <row r="392">
      <c r="A392" s="152" t="s">
        <v>4185</v>
      </c>
    </row>
    <row r="393">
      <c r="A393" s="152" t="s">
        <v>4186</v>
      </c>
    </row>
    <row r="394">
      <c r="A394" s="152" t="s">
        <v>3604</v>
      </c>
    </row>
    <row r="395">
      <c r="A395" s="152" t="s">
        <v>4187</v>
      </c>
    </row>
    <row r="396">
      <c r="A396" s="152" t="s">
        <v>4188</v>
      </c>
    </row>
    <row r="397">
      <c r="A397" s="152" t="s">
        <v>4189</v>
      </c>
    </row>
    <row r="398">
      <c r="A398" s="152" t="s">
        <v>4190</v>
      </c>
    </row>
    <row r="399">
      <c r="A399" s="152" t="s">
        <v>4191</v>
      </c>
    </row>
    <row r="400">
      <c r="A400" s="152" t="s">
        <v>4192</v>
      </c>
    </row>
    <row r="401">
      <c r="A401" s="152" t="s">
        <v>4193</v>
      </c>
    </row>
    <row r="402">
      <c r="A402" s="152" t="s">
        <v>4194</v>
      </c>
    </row>
    <row r="403">
      <c r="A403" s="152" t="s">
        <v>4195</v>
      </c>
    </row>
    <row r="404">
      <c r="A404" s="152" t="s">
        <v>4196</v>
      </c>
    </row>
    <row r="405">
      <c r="A405" s="152" t="s">
        <v>4197</v>
      </c>
    </row>
    <row r="406">
      <c r="A406" s="152" t="s">
        <v>4198</v>
      </c>
    </row>
    <row r="407">
      <c r="A407" s="152" t="s">
        <v>4199</v>
      </c>
    </row>
    <row r="408">
      <c r="A408" s="152" t="s">
        <v>4200</v>
      </c>
    </row>
    <row r="409">
      <c r="A409" s="152" t="s">
        <v>4201</v>
      </c>
    </row>
    <row r="410">
      <c r="A410" s="152" t="s">
        <v>4202</v>
      </c>
    </row>
    <row r="411">
      <c r="A411" s="152" t="s">
        <v>4203</v>
      </c>
    </row>
    <row r="412">
      <c r="A412" s="152" t="s">
        <v>4204</v>
      </c>
    </row>
    <row r="413">
      <c r="A413" s="152" t="s">
        <v>4205</v>
      </c>
    </row>
    <row r="414">
      <c r="A414" s="152" t="s">
        <v>4206</v>
      </c>
    </row>
    <row r="415">
      <c r="A415" s="152" t="s">
        <v>4207</v>
      </c>
    </row>
    <row r="416">
      <c r="A416" s="152" t="s">
        <v>4208</v>
      </c>
    </row>
    <row r="417">
      <c r="A417" s="152" t="s">
        <v>4209</v>
      </c>
    </row>
    <row r="418">
      <c r="A418" s="152" t="s">
        <v>4211</v>
      </c>
    </row>
    <row r="419">
      <c r="A419" s="152" t="s">
        <v>4212</v>
      </c>
    </row>
    <row r="420">
      <c r="A420" s="152" t="s">
        <v>4213</v>
      </c>
    </row>
    <row r="421">
      <c r="A421" s="152" t="s">
        <v>4214</v>
      </c>
    </row>
    <row r="422">
      <c r="A422" s="152" t="s">
        <v>4215</v>
      </c>
    </row>
    <row r="423">
      <c r="A423" s="152" t="s">
        <v>4217</v>
      </c>
    </row>
    <row r="424">
      <c r="A424" s="152" t="s">
        <v>4218</v>
      </c>
    </row>
    <row r="425">
      <c r="A425" s="152" t="s">
        <v>4219</v>
      </c>
    </row>
    <row r="426">
      <c r="A426" s="152" t="s">
        <v>4220</v>
      </c>
    </row>
    <row r="427">
      <c r="A427" s="152" t="s">
        <v>4221</v>
      </c>
    </row>
    <row r="428">
      <c r="A428" s="152" t="s">
        <v>4223</v>
      </c>
    </row>
    <row r="429">
      <c r="A429" s="152" t="s">
        <v>4225</v>
      </c>
    </row>
    <row r="430">
      <c r="A430" s="152" t="s">
        <v>4226</v>
      </c>
    </row>
    <row r="431">
      <c r="A431" s="152" t="s">
        <v>4228</v>
      </c>
    </row>
    <row r="432">
      <c r="A432" s="152" t="s">
        <v>4229</v>
      </c>
    </row>
    <row r="433">
      <c r="A433" s="152" t="s">
        <v>4230</v>
      </c>
    </row>
    <row r="434">
      <c r="A434" s="152" t="s">
        <v>4231</v>
      </c>
    </row>
    <row r="435">
      <c r="A435" s="152" t="s">
        <v>4232</v>
      </c>
    </row>
    <row r="436">
      <c r="A436" s="152" t="s">
        <v>4233</v>
      </c>
    </row>
    <row r="437">
      <c r="A437" s="152" t="s">
        <v>4234</v>
      </c>
    </row>
    <row r="438">
      <c r="A438" s="152" t="s">
        <v>4235</v>
      </c>
    </row>
    <row r="439">
      <c r="A439" s="152" t="s">
        <v>4236</v>
      </c>
    </row>
    <row r="440">
      <c r="A440" s="152" t="s">
        <v>4238</v>
      </c>
    </row>
    <row r="441">
      <c r="A441" s="152" t="s">
        <v>4239</v>
      </c>
    </row>
    <row r="442">
      <c r="A442" s="152" t="s">
        <v>4241</v>
      </c>
    </row>
    <row r="443">
      <c r="A443" s="152" t="s">
        <v>4243</v>
      </c>
    </row>
    <row r="444">
      <c r="A444" s="152" t="s">
        <v>4245</v>
      </c>
    </row>
    <row r="445">
      <c r="A445" s="152" t="s">
        <v>4247</v>
      </c>
    </row>
    <row r="446">
      <c r="A446" s="152" t="s">
        <v>4249</v>
      </c>
    </row>
    <row r="447">
      <c r="A447" s="152" t="s">
        <v>4250</v>
      </c>
    </row>
    <row r="448">
      <c r="A448" s="152" t="s">
        <v>4251</v>
      </c>
    </row>
    <row r="449">
      <c r="A449" s="152" t="s">
        <v>3883</v>
      </c>
    </row>
    <row r="450">
      <c r="A450" s="152" t="s">
        <v>4253</v>
      </c>
    </row>
    <row r="451">
      <c r="A451" s="152" t="s">
        <v>3679</v>
      </c>
    </row>
    <row r="452">
      <c r="A452" s="152" t="s">
        <v>4255</v>
      </c>
    </row>
    <row r="453">
      <c r="A453" s="152" t="s">
        <v>3864</v>
      </c>
    </row>
    <row r="454">
      <c r="A454" s="152" t="s">
        <v>4257</v>
      </c>
    </row>
    <row r="455">
      <c r="A455" s="152" t="s">
        <v>3868</v>
      </c>
    </row>
    <row r="456">
      <c r="A456" s="152" t="s">
        <v>3871</v>
      </c>
    </row>
    <row r="457">
      <c r="A457" s="152" t="s">
        <v>3885</v>
      </c>
    </row>
    <row r="458">
      <c r="A458" s="152" t="s">
        <v>3861</v>
      </c>
    </row>
    <row r="459">
      <c r="A459" s="152" t="s">
        <v>3874</v>
      </c>
    </row>
    <row r="460">
      <c r="A460" s="152" t="s">
        <v>3877</v>
      </c>
    </row>
    <row r="461">
      <c r="A461" s="152" t="s">
        <v>3880</v>
      </c>
    </row>
    <row r="462">
      <c r="A462" s="152" t="s">
        <v>4261</v>
      </c>
    </row>
    <row r="463">
      <c r="A463" s="152" t="s">
        <v>4263</v>
      </c>
    </row>
    <row r="464">
      <c r="A464" s="152" t="s">
        <v>4265</v>
      </c>
    </row>
    <row r="465">
      <c r="A465" s="152" t="s">
        <v>4267</v>
      </c>
    </row>
    <row r="466">
      <c r="A466" s="152" t="s">
        <v>4268</v>
      </c>
    </row>
    <row r="467">
      <c r="A467" s="152" t="s">
        <v>4270</v>
      </c>
    </row>
    <row r="468">
      <c r="A468" s="152" t="s">
        <v>4271</v>
      </c>
    </row>
    <row r="469">
      <c r="A469" s="152" t="s">
        <v>3850</v>
      </c>
    </row>
    <row r="470">
      <c r="A470" s="152" t="s">
        <v>3848</v>
      </c>
    </row>
    <row r="471">
      <c r="A471" s="152" t="s">
        <v>4273</v>
      </c>
    </row>
    <row r="472">
      <c r="A472" s="152" t="s">
        <v>4274</v>
      </c>
    </row>
    <row r="473">
      <c r="A473" s="152" t="s">
        <v>4275</v>
      </c>
    </row>
    <row r="474">
      <c r="A474" s="152" t="s">
        <v>4276</v>
      </c>
    </row>
    <row r="475">
      <c r="A475" s="152" t="s">
        <v>4277</v>
      </c>
    </row>
    <row r="476">
      <c r="A476" s="152" t="s">
        <v>4278</v>
      </c>
    </row>
    <row r="477">
      <c r="A477" s="152" t="s">
        <v>4279</v>
      </c>
    </row>
    <row r="478">
      <c r="A478" s="152" t="s">
        <v>4280</v>
      </c>
    </row>
    <row r="479">
      <c r="A479" s="152" t="s">
        <v>4281</v>
      </c>
    </row>
    <row r="480">
      <c r="A480" s="152" t="s">
        <v>4282</v>
      </c>
    </row>
    <row r="481">
      <c r="A481" s="152" t="s">
        <v>4283</v>
      </c>
    </row>
    <row r="482">
      <c r="A482" s="152" t="s">
        <v>4284</v>
      </c>
    </row>
    <row r="483">
      <c r="A483" s="152" t="s">
        <v>4285</v>
      </c>
    </row>
    <row r="484">
      <c r="A484" s="152" t="s">
        <v>4286</v>
      </c>
    </row>
    <row r="485">
      <c r="A485" s="152" t="s">
        <v>4287</v>
      </c>
    </row>
    <row r="486">
      <c r="A486" s="152" t="s">
        <v>4288</v>
      </c>
    </row>
    <row r="487">
      <c r="A487" s="152" t="s">
        <v>4289</v>
      </c>
    </row>
    <row r="488">
      <c r="A488" s="152" t="s">
        <v>4290</v>
      </c>
    </row>
    <row r="489">
      <c r="A489" s="152" t="s">
        <v>4291</v>
      </c>
    </row>
    <row r="490">
      <c r="A490" s="152" t="s">
        <v>3925</v>
      </c>
    </row>
    <row r="491">
      <c r="A491" s="152" t="s">
        <v>4292</v>
      </c>
    </row>
    <row r="492">
      <c r="A492" s="152" t="s">
        <v>4293</v>
      </c>
    </row>
    <row r="493">
      <c r="A493" s="152" t="s">
        <v>4294</v>
      </c>
    </row>
    <row r="494">
      <c r="A494" s="152" t="s">
        <v>4295</v>
      </c>
    </row>
    <row r="495">
      <c r="A495" s="152" t="s">
        <v>4297</v>
      </c>
    </row>
    <row r="496">
      <c r="A496" s="152" t="s">
        <v>4298</v>
      </c>
    </row>
    <row r="497">
      <c r="A497" s="152" t="s">
        <v>4300</v>
      </c>
    </row>
    <row r="498">
      <c r="A498" s="152" t="s">
        <v>4302</v>
      </c>
    </row>
    <row r="499">
      <c r="A499" s="152" t="s">
        <v>4304</v>
      </c>
    </row>
    <row r="500">
      <c r="A500" s="152" t="s">
        <v>4306</v>
      </c>
    </row>
    <row r="501">
      <c r="A501" s="152" t="s">
        <v>4308</v>
      </c>
    </row>
    <row r="502">
      <c r="A502" s="152" t="s">
        <v>4310</v>
      </c>
    </row>
    <row r="503">
      <c r="A503" s="152" t="s">
        <v>4312</v>
      </c>
    </row>
    <row r="504">
      <c r="A504" s="152" t="s">
        <v>4313</v>
      </c>
    </row>
    <row r="505">
      <c r="A505" s="152" t="s">
        <v>4314</v>
      </c>
    </row>
    <row r="506">
      <c r="A506" s="152" t="s">
        <v>4315</v>
      </c>
    </row>
    <row r="507">
      <c r="A507" s="152" t="s">
        <v>4316</v>
      </c>
    </row>
    <row r="508">
      <c r="A508" s="152" t="s">
        <v>4317</v>
      </c>
    </row>
    <row r="509">
      <c r="A509" s="152" t="s">
        <v>4318</v>
      </c>
    </row>
    <row r="510">
      <c r="A510" s="152" t="s">
        <v>4319</v>
      </c>
    </row>
    <row r="511">
      <c r="A511" s="152" t="s">
        <v>4320</v>
      </c>
    </row>
    <row r="512">
      <c r="A512" s="152" t="s">
        <v>4321</v>
      </c>
    </row>
    <row r="513">
      <c r="A513" s="152" t="s">
        <v>4322</v>
      </c>
    </row>
    <row r="514">
      <c r="A514" s="152" t="s">
        <v>4324</v>
      </c>
    </row>
    <row r="515">
      <c r="A515" s="152" t="s">
        <v>4325</v>
      </c>
    </row>
    <row r="516">
      <c r="A516" s="152" t="s">
        <v>4327</v>
      </c>
    </row>
    <row r="517">
      <c r="A517" s="152" t="s">
        <v>4328</v>
      </c>
    </row>
    <row r="518">
      <c r="A518" s="152" t="s">
        <v>4329</v>
      </c>
    </row>
    <row r="519">
      <c r="A519" s="152" t="s">
        <v>4330</v>
      </c>
    </row>
    <row r="520">
      <c r="A520" s="152" t="s">
        <v>3858</v>
      </c>
    </row>
    <row r="521">
      <c r="A521" s="152" t="s">
        <v>3891</v>
      </c>
    </row>
    <row r="522">
      <c r="A522" s="152" t="s">
        <v>3893</v>
      </c>
    </row>
    <row r="523">
      <c r="A523" s="152" t="s">
        <v>3895</v>
      </c>
    </row>
    <row r="524">
      <c r="A524" s="152" t="s">
        <v>4332</v>
      </c>
    </row>
    <row r="525">
      <c r="A525" s="152" t="s">
        <v>4333</v>
      </c>
    </row>
    <row r="526">
      <c r="A526" s="152" t="s">
        <v>4334</v>
      </c>
    </row>
    <row r="527">
      <c r="A527" s="152" t="s">
        <v>4335</v>
      </c>
    </row>
    <row r="528">
      <c r="A528" s="152" t="s">
        <v>4337</v>
      </c>
    </row>
    <row r="529">
      <c r="A529" s="152" t="s">
        <v>4338</v>
      </c>
    </row>
    <row r="530">
      <c r="A530" s="152" t="s">
        <v>4339</v>
      </c>
    </row>
    <row r="531">
      <c r="A531" s="152" t="s">
        <v>4340</v>
      </c>
    </row>
    <row r="532">
      <c r="A532" s="152" t="s">
        <v>4341</v>
      </c>
    </row>
    <row r="533">
      <c r="A533" s="152" t="s">
        <v>4342</v>
      </c>
    </row>
    <row r="534">
      <c r="A534" s="152" t="s">
        <v>4344</v>
      </c>
    </row>
    <row r="535">
      <c r="A535" s="152" t="s">
        <v>4346</v>
      </c>
    </row>
    <row r="536">
      <c r="A536" s="152" t="s">
        <v>4348</v>
      </c>
    </row>
    <row r="537">
      <c r="A537" s="152" t="s">
        <v>4350</v>
      </c>
    </row>
    <row r="538">
      <c r="A538" s="152" t="s">
        <v>4352</v>
      </c>
    </row>
    <row r="539">
      <c r="A539" s="152" t="s">
        <v>4354</v>
      </c>
    </row>
    <row r="540">
      <c r="A540" s="152" t="s">
        <v>4356</v>
      </c>
    </row>
    <row r="541">
      <c r="A541" s="152" t="s">
        <v>4360</v>
      </c>
    </row>
    <row r="542">
      <c r="A542" s="152" t="s">
        <v>4362</v>
      </c>
    </row>
    <row r="543">
      <c r="A543" s="152" t="s">
        <v>4363</v>
      </c>
    </row>
    <row r="544">
      <c r="A544" s="152" t="s">
        <v>4365</v>
      </c>
    </row>
    <row r="545">
      <c r="A545" s="152" t="s">
        <v>4367</v>
      </c>
    </row>
    <row r="546">
      <c r="A546" s="152" t="s">
        <v>4368</v>
      </c>
    </row>
    <row r="547">
      <c r="A547" s="152" t="s">
        <v>4369</v>
      </c>
    </row>
    <row r="548">
      <c r="A548" s="152" t="s">
        <v>4370</v>
      </c>
    </row>
    <row r="549">
      <c r="A549" s="152" t="s">
        <v>4371</v>
      </c>
    </row>
    <row r="550">
      <c r="A550" s="152" t="s">
        <v>4374</v>
      </c>
    </row>
    <row r="551">
      <c r="A551" s="152" t="s">
        <v>4376</v>
      </c>
    </row>
    <row r="552">
      <c r="A552" s="152" t="s">
        <v>4377</v>
      </c>
    </row>
    <row r="553">
      <c r="A553" s="152" t="s">
        <v>4379</v>
      </c>
    </row>
    <row r="554">
      <c r="A554" s="152" t="s">
        <v>4381</v>
      </c>
    </row>
    <row r="555">
      <c r="A555" s="152" t="s">
        <v>4383</v>
      </c>
    </row>
    <row r="556">
      <c r="A556" s="152" t="s">
        <v>4385</v>
      </c>
    </row>
    <row r="557">
      <c r="A557" s="152" t="s">
        <v>4387</v>
      </c>
    </row>
    <row r="558">
      <c r="A558" s="152" t="s">
        <v>4389</v>
      </c>
    </row>
    <row r="559">
      <c r="A559" s="152" t="s">
        <v>4390</v>
      </c>
    </row>
    <row r="560">
      <c r="A560" s="152" t="s">
        <v>4392</v>
      </c>
    </row>
    <row r="561">
      <c r="A561" s="152" t="s">
        <v>4394</v>
      </c>
    </row>
    <row r="562">
      <c r="A562" s="152" t="s">
        <v>4395</v>
      </c>
    </row>
    <row r="563">
      <c r="A563" s="152" t="s">
        <v>4396</v>
      </c>
    </row>
    <row r="564">
      <c r="A564" s="152" t="s">
        <v>4397</v>
      </c>
    </row>
    <row r="565">
      <c r="A565" s="152" t="s">
        <v>4399</v>
      </c>
    </row>
    <row r="566">
      <c r="A566" s="152" t="s">
        <v>4401</v>
      </c>
    </row>
    <row r="567">
      <c r="A567" s="152" t="s">
        <v>4403</v>
      </c>
    </row>
    <row r="568">
      <c r="A568" s="152" t="s">
        <v>4404</v>
      </c>
    </row>
    <row r="569">
      <c r="A569" s="152" t="s">
        <v>4405</v>
      </c>
    </row>
    <row r="570">
      <c r="A570" s="152" t="s">
        <v>4406</v>
      </c>
    </row>
    <row r="571">
      <c r="A571" s="152" t="s">
        <v>4409</v>
      </c>
    </row>
    <row r="572">
      <c r="A572" s="152" t="s">
        <v>4411</v>
      </c>
    </row>
    <row r="573">
      <c r="A573" s="152" t="s">
        <v>4413</v>
      </c>
    </row>
    <row r="574">
      <c r="A574" s="152" t="s">
        <v>4415</v>
      </c>
    </row>
    <row r="575">
      <c r="A575" s="152" t="s">
        <v>4417</v>
      </c>
    </row>
    <row r="576">
      <c r="A576" s="152" t="s">
        <v>4419</v>
      </c>
    </row>
    <row r="577">
      <c r="A577" s="152" t="s">
        <v>4422</v>
      </c>
    </row>
    <row r="578">
      <c r="A578" s="152" t="s">
        <v>4424</v>
      </c>
    </row>
    <row r="579">
      <c r="A579" s="152" t="s">
        <v>4426</v>
      </c>
    </row>
    <row r="580">
      <c r="A580" s="152" t="s">
        <v>4427</v>
      </c>
    </row>
    <row r="581">
      <c r="A581" s="152" t="s">
        <v>4428</v>
      </c>
    </row>
    <row r="582">
      <c r="A582" s="152" t="s">
        <v>4429</v>
      </c>
    </row>
    <row r="583">
      <c r="A583" s="152" t="s">
        <v>4430</v>
      </c>
    </row>
    <row r="584">
      <c r="A584" s="152" t="s">
        <v>4431</v>
      </c>
    </row>
    <row r="585">
      <c r="A585" s="152" t="s">
        <v>4433</v>
      </c>
    </row>
    <row r="586">
      <c r="A586" s="152" t="s">
        <v>4434</v>
      </c>
    </row>
    <row r="587">
      <c r="A587" s="152" t="s">
        <v>4435</v>
      </c>
    </row>
    <row r="588">
      <c r="A588" s="152" t="s">
        <v>4438</v>
      </c>
    </row>
    <row r="589">
      <c r="A589" s="152" t="s">
        <v>4440</v>
      </c>
    </row>
    <row r="590">
      <c r="A590" s="152" t="s">
        <v>4441</v>
      </c>
    </row>
    <row r="591">
      <c r="A591" s="152" t="s">
        <v>4442</v>
      </c>
    </row>
    <row r="592">
      <c r="A592" s="152" t="s">
        <v>4443</v>
      </c>
    </row>
    <row r="593">
      <c r="A593" s="152" t="s">
        <v>4444</v>
      </c>
    </row>
    <row r="594">
      <c r="A594" s="152" t="s">
        <v>4445</v>
      </c>
    </row>
    <row r="595">
      <c r="A595" s="152" t="s">
        <v>4446</v>
      </c>
    </row>
    <row r="596">
      <c r="A596" s="152" t="s">
        <v>4447</v>
      </c>
    </row>
    <row r="597">
      <c r="A597" s="152" t="s">
        <v>4448</v>
      </c>
    </row>
    <row r="598">
      <c r="A598" s="152" t="s">
        <v>4449</v>
      </c>
    </row>
    <row r="599">
      <c r="A599" s="152" t="s">
        <v>4450</v>
      </c>
    </row>
    <row r="600">
      <c r="A600" s="152" t="s">
        <v>4451</v>
      </c>
    </row>
    <row r="601">
      <c r="A601" s="152" t="s">
        <v>4452</v>
      </c>
    </row>
    <row r="602">
      <c r="A602" s="152" t="s">
        <v>4453</v>
      </c>
    </row>
    <row r="603">
      <c r="A603" s="152" t="s">
        <v>3607</v>
      </c>
    </row>
    <row r="604">
      <c r="A604" s="152" t="s">
        <v>3610</v>
      </c>
    </row>
    <row r="605">
      <c r="A605" s="152" t="s">
        <v>3613</v>
      </c>
    </row>
    <row r="606">
      <c r="A606" s="152" t="s">
        <v>3616</v>
      </c>
    </row>
    <row r="607">
      <c r="A607" s="152" t="s">
        <v>3619</v>
      </c>
    </row>
    <row r="608">
      <c r="A608" s="152" t="s">
        <v>3622</v>
      </c>
    </row>
    <row r="609">
      <c r="A609" s="152" t="s">
        <v>3625</v>
      </c>
    </row>
    <row r="610">
      <c r="A610" s="152" t="s">
        <v>3628</v>
      </c>
    </row>
    <row r="611">
      <c r="A611" s="152" t="s">
        <v>3631</v>
      </c>
    </row>
    <row r="612">
      <c r="A612" s="152" t="s">
        <v>4454</v>
      </c>
    </row>
    <row r="613">
      <c r="A613" s="152" t="s">
        <v>4455</v>
      </c>
    </row>
    <row r="614">
      <c r="A614" s="152" t="s">
        <v>3634</v>
      </c>
    </row>
    <row r="615">
      <c r="A615" s="152" t="s">
        <v>3637</v>
      </c>
    </row>
    <row r="616">
      <c r="A616" s="152" t="s">
        <v>3640</v>
      </c>
    </row>
    <row r="617">
      <c r="A617" s="152" t="s">
        <v>3643</v>
      </c>
    </row>
    <row r="618">
      <c r="A618" s="152" t="s">
        <v>3646</v>
      </c>
    </row>
    <row r="619">
      <c r="A619" s="152" t="s">
        <v>3649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8">
        <v>1.0</v>
      </c>
      <c r="B1" s="152" t="s">
        <v>1958</v>
      </c>
      <c r="C1" s="152" t="s">
        <v>1958</v>
      </c>
      <c r="D1" s="152" t="s">
        <v>1959</v>
      </c>
      <c r="E1" s="152" t="s">
        <v>3106</v>
      </c>
      <c r="F1" s="152" t="s">
        <v>1960</v>
      </c>
      <c r="G1" s="152" t="s">
        <v>1961</v>
      </c>
      <c r="I1" s="152" t="s">
        <v>1962</v>
      </c>
      <c r="K1" s="152" t="s">
        <v>13</v>
      </c>
      <c r="L1" s="152" t="s">
        <v>5152</v>
      </c>
      <c r="M1" s="449">
        <v>41725.0</v>
      </c>
      <c r="N1" s="448">
        <v>12.0</v>
      </c>
      <c r="O1" s="152" t="s">
        <v>3135</v>
      </c>
      <c r="P1" s="152" t="s">
        <v>3110</v>
      </c>
      <c r="Q1" s="449">
        <v>45994.0</v>
      </c>
      <c r="T1" s="152" t="s">
        <v>1958</v>
      </c>
      <c r="AC1" s="152" t="e">
        <v>#N/A</v>
      </c>
      <c r="AD1" s="152" t="e">
        <v>#N/A</v>
      </c>
      <c r="AE1" s="152" t="e">
        <v>#N/A</v>
      </c>
      <c r="AH1" s="152" t="s">
        <v>5153</v>
      </c>
    </row>
    <row r="2">
      <c r="A2" s="152" t="e">
        <v>#REF!</v>
      </c>
      <c r="B2" s="152" t="s">
        <v>1966</v>
      </c>
      <c r="C2" s="152" t="s">
        <v>1966</v>
      </c>
      <c r="D2" s="152" t="s">
        <v>1967</v>
      </c>
      <c r="E2" s="152" t="s">
        <v>3106</v>
      </c>
      <c r="F2" s="152" t="s">
        <v>1960</v>
      </c>
      <c r="G2" s="152" t="s">
        <v>1968</v>
      </c>
      <c r="I2" s="152" t="s">
        <v>1962</v>
      </c>
      <c r="K2" s="152" t="s">
        <v>13</v>
      </c>
      <c r="L2" s="152" t="s">
        <v>3118</v>
      </c>
      <c r="M2" s="449">
        <v>40962.0</v>
      </c>
      <c r="N2" s="448">
        <v>14.0</v>
      </c>
      <c r="P2" s="152" t="s">
        <v>2557</v>
      </c>
      <c r="T2" s="152" t="s">
        <v>1966</v>
      </c>
      <c r="AC2" s="152" t="e">
        <v>#N/A</v>
      </c>
      <c r="AD2" s="152" t="e">
        <v>#N/A</v>
      </c>
      <c r="AE2" s="152" t="e">
        <v>#N/A</v>
      </c>
      <c r="AG2" s="448">
        <v>5.5000081E7</v>
      </c>
    </row>
    <row r="3">
      <c r="A3" s="152" t="e">
        <v>#REF!</v>
      </c>
      <c r="B3" s="152" t="s">
        <v>1969</v>
      </c>
      <c r="C3" s="152" t="s">
        <v>1969</v>
      </c>
      <c r="D3" s="152" t="s">
        <v>1970</v>
      </c>
      <c r="E3" s="152" t="s">
        <v>3106</v>
      </c>
      <c r="F3" s="152" t="s">
        <v>1960</v>
      </c>
      <c r="G3" s="152" t="s">
        <v>1968</v>
      </c>
      <c r="I3" s="152" t="s">
        <v>1962</v>
      </c>
      <c r="K3" s="152" t="s">
        <v>13</v>
      </c>
      <c r="L3" s="152" t="s">
        <v>3118</v>
      </c>
      <c r="M3" s="449">
        <v>41104.0</v>
      </c>
      <c r="N3" s="448">
        <v>14.0</v>
      </c>
      <c r="P3" s="152" t="s">
        <v>2557</v>
      </c>
      <c r="T3" s="152" t="s">
        <v>1969</v>
      </c>
      <c r="AC3" s="152" t="e">
        <v>#N/A</v>
      </c>
      <c r="AD3" s="152" t="e">
        <v>#N/A</v>
      </c>
      <c r="AE3" s="152" t="e">
        <v>#N/A</v>
      </c>
      <c r="AG3" s="448">
        <v>5.5000417E7</v>
      </c>
    </row>
    <row r="4">
      <c r="P4" s="153"/>
    </row>
    <row r="5">
      <c r="P5" s="153"/>
    </row>
    <row r="6">
      <c r="P6" s="153"/>
    </row>
    <row r="7">
      <c r="P7" s="153"/>
    </row>
    <row r="8">
      <c r="P8" s="153"/>
    </row>
    <row r="9">
      <c r="P9" s="153"/>
    </row>
    <row r="10">
      <c r="P10" s="153"/>
    </row>
    <row r="11">
      <c r="P11" s="153"/>
    </row>
    <row r="12">
      <c r="P12" s="153"/>
    </row>
    <row r="13">
      <c r="P13" s="153"/>
    </row>
    <row r="14">
      <c r="P14" s="153"/>
    </row>
    <row r="15">
      <c r="P15" s="153"/>
    </row>
    <row r="16">
      <c r="P16" s="153"/>
    </row>
    <row r="17">
      <c r="P17" s="153"/>
    </row>
    <row r="18">
      <c r="P18" s="153"/>
    </row>
    <row r="19">
      <c r="P19" s="153"/>
    </row>
    <row r="20">
      <c r="P20" s="153"/>
    </row>
    <row r="21">
      <c r="P21" s="153"/>
    </row>
    <row r="22">
      <c r="P22" s="153"/>
    </row>
    <row r="23">
      <c r="P23" s="153"/>
    </row>
    <row r="24">
      <c r="P24" s="153"/>
    </row>
    <row r="25">
      <c r="P25" s="153"/>
    </row>
    <row r="26">
      <c r="P26" s="153"/>
    </row>
    <row r="27">
      <c r="P27" s="153"/>
    </row>
    <row r="28">
      <c r="P28" s="153"/>
    </row>
    <row r="29">
      <c r="P29" s="153"/>
    </row>
    <row r="30">
      <c r="P30" s="153"/>
    </row>
    <row r="31">
      <c r="P31" s="153"/>
    </row>
    <row r="32">
      <c r="P32" s="153"/>
    </row>
    <row r="33">
      <c r="P33" s="153"/>
    </row>
    <row r="34">
      <c r="P34" s="153"/>
    </row>
    <row r="35">
      <c r="P35" s="153"/>
    </row>
    <row r="36">
      <c r="P36" s="153"/>
    </row>
    <row r="37">
      <c r="P37" s="153"/>
    </row>
    <row r="38">
      <c r="P38" s="153"/>
    </row>
    <row r="39">
      <c r="P39" s="153"/>
    </row>
    <row r="40">
      <c r="P40" s="153"/>
    </row>
    <row r="41">
      <c r="P41" s="153"/>
    </row>
    <row r="42">
      <c r="P42" s="153"/>
    </row>
    <row r="43">
      <c r="P43" s="153"/>
    </row>
    <row r="44">
      <c r="P44" s="153"/>
    </row>
    <row r="45">
      <c r="P45" s="153"/>
    </row>
    <row r="46">
      <c r="P46" s="153"/>
    </row>
    <row r="47">
      <c r="P47" s="153"/>
    </row>
    <row r="48">
      <c r="P48" s="153"/>
    </row>
    <row r="49">
      <c r="P49" s="153"/>
    </row>
    <row r="50">
      <c r="P50" s="153"/>
    </row>
    <row r="51">
      <c r="P51" s="153"/>
    </row>
    <row r="52">
      <c r="P52" s="153"/>
    </row>
    <row r="53">
      <c r="P53" s="153"/>
    </row>
    <row r="54">
      <c r="P54" s="153"/>
    </row>
    <row r="55">
      <c r="P55" s="153"/>
    </row>
    <row r="56">
      <c r="P56" s="153"/>
    </row>
    <row r="57">
      <c r="P57" s="153"/>
    </row>
    <row r="58">
      <c r="P58" s="153"/>
    </row>
    <row r="59">
      <c r="P59" s="153"/>
    </row>
    <row r="60">
      <c r="P60" s="153"/>
    </row>
    <row r="61">
      <c r="P61" s="153"/>
    </row>
    <row r="62">
      <c r="P62" s="153"/>
    </row>
    <row r="63">
      <c r="P63" s="153"/>
    </row>
    <row r="64">
      <c r="P64" s="153"/>
    </row>
    <row r="65">
      <c r="P65" s="153"/>
    </row>
    <row r="66">
      <c r="P66" s="153"/>
    </row>
    <row r="67">
      <c r="P67" s="153"/>
    </row>
    <row r="68">
      <c r="P68" s="153"/>
    </row>
    <row r="69">
      <c r="P69" s="153"/>
    </row>
    <row r="70">
      <c r="P70" s="153"/>
    </row>
    <row r="71">
      <c r="P71" s="153"/>
    </row>
    <row r="72">
      <c r="P72" s="153"/>
    </row>
    <row r="73">
      <c r="P73" s="153"/>
    </row>
    <row r="74">
      <c r="P74" s="153"/>
    </row>
    <row r="75">
      <c r="P75" s="153"/>
    </row>
    <row r="76">
      <c r="P76" s="153"/>
    </row>
    <row r="77">
      <c r="P77" s="153"/>
    </row>
    <row r="78">
      <c r="P78" s="153"/>
    </row>
    <row r="79">
      <c r="P79" s="153"/>
    </row>
    <row r="80">
      <c r="P80" s="153"/>
    </row>
    <row r="81">
      <c r="P81" s="153"/>
    </row>
    <row r="82">
      <c r="P82" s="153"/>
    </row>
    <row r="83">
      <c r="P83" s="153"/>
    </row>
    <row r="84">
      <c r="P84" s="153"/>
    </row>
    <row r="85">
      <c r="P85" s="153"/>
    </row>
    <row r="86">
      <c r="P86" s="153"/>
    </row>
    <row r="87">
      <c r="P87" s="153"/>
    </row>
    <row r="88">
      <c r="P88" s="153"/>
    </row>
    <row r="89">
      <c r="P89" s="153"/>
    </row>
    <row r="90">
      <c r="P90" s="153"/>
    </row>
    <row r="91">
      <c r="P91" s="153"/>
    </row>
    <row r="92">
      <c r="P92" s="153"/>
    </row>
    <row r="93">
      <c r="P93" s="153"/>
    </row>
    <row r="94">
      <c r="P94" s="153"/>
    </row>
    <row r="95">
      <c r="P95" s="153"/>
    </row>
    <row r="96">
      <c r="P96" s="153"/>
    </row>
    <row r="97">
      <c r="P97" s="153"/>
    </row>
    <row r="98">
      <c r="P98" s="153"/>
    </row>
    <row r="99">
      <c r="P99" s="153"/>
    </row>
    <row r="100">
      <c r="P100" s="153"/>
    </row>
    <row r="101">
      <c r="P101" s="153"/>
    </row>
    <row r="102">
      <c r="P102" s="153"/>
    </row>
    <row r="103">
      <c r="P103" s="153"/>
    </row>
    <row r="104">
      <c r="P104" s="153"/>
    </row>
    <row r="105">
      <c r="P105" s="153"/>
    </row>
    <row r="106">
      <c r="P106" s="153"/>
    </row>
    <row r="107">
      <c r="P107" s="153"/>
    </row>
    <row r="108">
      <c r="P108" s="153"/>
    </row>
    <row r="109">
      <c r="P109" s="153"/>
    </row>
    <row r="110">
      <c r="P110" s="153"/>
    </row>
    <row r="111">
      <c r="P111" s="153"/>
    </row>
    <row r="112">
      <c r="P112" s="153"/>
    </row>
    <row r="113">
      <c r="P113" s="153"/>
    </row>
    <row r="114">
      <c r="P114" s="153"/>
    </row>
    <row r="115">
      <c r="P115" s="153"/>
    </row>
    <row r="116">
      <c r="P116" s="153"/>
    </row>
    <row r="117">
      <c r="P117" s="153"/>
    </row>
    <row r="118">
      <c r="P118" s="153"/>
    </row>
    <row r="119">
      <c r="P119" s="153"/>
    </row>
    <row r="120">
      <c r="P120" s="153"/>
    </row>
    <row r="121">
      <c r="P121" s="153"/>
    </row>
    <row r="122">
      <c r="P122" s="153"/>
    </row>
    <row r="123">
      <c r="P123" s="153"/>
    </row>
    <row r="124">
      <c r="P124" s="153"/>
    </row>
    <row r="125">
      <c r="P125" s="153"/>
    </row>
    <row r="126">
      <c r="P126" s="153"/>
    </row>
    <row r="127">
      <c r="P127" s="153"/>
    </row>
    <row r="128">
      <c r="P128" s="153"/>
    </row>
    <row r="129">
      <c r="P129" s="153"/>
    </row>
    <row r="130">
      <c r="P130" s="153"/>
    </row>
    <row r="131">
      <c r="P131" s="153"/>
    </row>
    <row r="132">
      <c r="P132" s="153"/>
    </row>
    <row r="133">
      <c r="P133" s="153"/>
    </row>
    <row r="134">
      <c r="P134" s="153"/>
    </row>
    <row r="135">
      <c r="P135" s="153"/>
    </row>
    <row r="136">
      <c r="P136" s="153"/>
    </row>
    <row r="137">
      <c r="P137" s="153"/>
    </row>
    <row r="138">
      <c r="P138" s="153"/>
    </row>
    <row r="139">
      <c r="P139" s="153"/>
    </row>
    <row r="140">
      <c r="P140" s="153"/>
    </row>
    <row r="141">
      <c r="P141" s="153"/>
    </row>
    <row r="142">
      <c r="P142" s="153"/>
    </row>
    <row r="143">
      <c r="P143" s="153"/>
    </row>
    <row r="144">
      <c r="P144" s="153"/>
    </row>
    <row r="145">
      <c r="P145" s="153"/>
    </row>
    <row r="146">
      <c r="P146" s="153"/>
    </row>
    <row r="147">
      <c r="P147" s="153"/>
    </row>
    <row r="148">
      <c r="P148" s="153"/>
    </row>
    <row r="149">
      <c r="P149" s="153"/>
    </row>
    <row r="150">
      <c r="P150" s="153"/>
    </row>
    <row r="151">
      <c r="P151" s="153"/>
    </row>
    <row r="152">
      <c r="P152" s="153"/>
    </row>
    <row r="153">
      <c r="P153" s="153"/>
    </row>
    <row r="154">
      <c r="P154" s="153"/>
    </row>
    <row r="155">
      <c r="P155" s="153"/>
    </row>
    <row r="156">
      <c r="P156" s="153"/>
    </row>
    <row r="157">
      <c r="P157" s="153"/>
    </row>
    <row r="158">
      <c r="P158" s="153"/>
    </row>
    <row r="159">
      <c r="P159" s="153"/>
    </row>
    <row r="160">
      <c r="P160" s="153"/>
    </row>
    <row r="161">
      <c r="P161" s="153"/>
    </row>
    <row r="162">
      <c r="P162" s="153"/>
    </row>
    <row r="163">
      <c r="P163" s="153"/>
    </row>
    <row r="164">
      <c r="P164" s="153"/>
    </row>
    <row r="165">
      <c r="P165" s="153"/>
    </row>
    <row r="166">
      <c r="P166" s="153"/>
    </row>
    <row r="167">
      <c r="P167" s="153"/>
    </row>
    <row r="168">
      <c r="P168" s="153"/>
    </row>
    <row r="169">
      <c r="P169" s="153"/>
    </row>
    <row r="170">
      <c r="P170" s="153"/>
    </row>
    <row r="171">
      <c r="P171" s="153"/>
    </row>
    <row r="172">
      <c r="P172" s="153"/>
    </row>
    <row r="173">
      <c r="P173" s="153"/>
    </row>
    <row r="174">
      <c r="P174" s="153"/>
    </row>
    <row r="175">
      <c r="P175" s="153"/>
    </row>
    <row r="176">
      <c r="P176" s="153"/>
    </row>
    <row r="177">
      <c r="P177" s="153"/>
    </row>
    <row r="178">
      <c r="P178" s="153"/>
    </row>
    <row r="179">
      <c r="P179" s="153"/>
    </row>
    <row r="180">
      <c r="P180" s="153"/>
    </row>
    <row r="181">
      <c r="P181" s="153"/>
    </row>
    <row r="182">
      <c r="P182" s="153"/>
    </row>
    <row r="183">
      <c r="P183" s="153"/>
    </row>
    <row r="184">
      <c r="P184" s="153"/>
    </row>
    <row r="185">
      <c r="P185" s="153"/>
    </row>
    <row r="186">
      <c r="P186" s="153"/>
    </row>
    <row r="187">
      <c r="P187" s="153"/>
    </row>
    <row r="188">
      <c r="P188" s="153"/>
    </row>
    <row r="189">
      <c r="P189" s="153"/>
    </row>
    <row r="190">
      <c r="P190" s="153"/>
    </row>
    <row r="191">
      <c r="P191" s="153"/>
    </row>
    <row r="192">
      <c r="P192" s="153"/>
    </row>
    <row r="193">
      <c r="P193" s="153"/>
    </row>
    <row r="194">
      <c r="P194" s="153"/>
    </row>
    <row r="195">
      <c r="P195" s="153"/>
    </row>
    <row r="196">
      <c r="P196" s="153"/>
    </row>
    <row r="197">
      <c r="P197" s="153"/>
    </row>
    <row r="198">
      <c r="P198" s="153"/>
    </row>
    <row r="199">
      <c r="P199" s="153"/>
    </row>
    <row r="200">
      <c r="P200" s="153"/>
    </row>
    <row r="201">
      <c r="P201" s="153"/>
    </row>
    <row r="202">
      <c r="P202" s="153"/>
    </row>
    <row r="203">
      <c r="P203" s="153"/>
    </row>
    <row r="204">
      <c r="P204" s="153"/>
    </row>
    <row r="205">
      <c r="P205" s="153"/>
    </row>
    <row r="206">
      <c r="P206" s="153"/>
    </row>
    <row r="207">
      <c r="P207" s="153"/>
    </row>
    <row r="208">
      <c r="P208" s="153"/>
    </row>
    <row r="209">
      <c r="P209" s="153"/>
    </row>
    <row r="210">
      <c r="P210" s="153"/>
    </row>
    <row r="211">
      <c r="P211" s="153"/>
    </row>
    <row r="212">
      <c r="P212" s="153"/>
    </row>
    <row r="213">
      <c r="P213" s="153"/>
    </row>
    <row r="214">
      <c r="P214" s="153"/>
    </row>
    <row r="215">
      <c r="P215" s="153"/>
    </row>
    <row r="216">
      <c r="P216" s="153"/>
    </row>
    <row r="217">
      <c r="P217" s="153"/>
    </row>
    <row r="218">
      <c r="P218" s="153"/>
    </row>
    <row r="219">
      <c r="P219" s="153"/>
    </row>
    <row r="220">
      <c r="P220" s="153"/>
    </row>
    <row r="221">
      <c r="P221" s="153"/>
    </row>
    <row r="222">
      <c r="P222" s="153"/>
    </row>
    <row r="223">
      <c r="P223" s="153"/>
    </row>
    <row r="224">
      <c r="P224" s="153"/>
    </row>
    <row r="225">
      <c r="P225" s="153"/>
    </row>
    <row r="226">
      <c r="P226" s="153"/>
    </row>
    <row r="227">
      <c r="P227" s="153"/>
    </row>
    <row r="228">
      <c r="P228" s="153"/>
    </row>
    <row r="229">
      <c r="P229" s="153"/>
    </row>
    <row r="230">
      <c r="P230" s="153"/>
    </row>
    <row r="231">
      <c r="P231" s="153"/>
    </row>
    <row r="232">
      <c r="P232" s="153"/>
    </row>
    <row r="233">
      <c r="P233" s="153"/>
    </row>
    <row r="234">
      <c r="P234" s="153"/>
    </row>
    <row r="235">
      <c r="P235" s="153"/>
    </row>
    <row r="236">
      <c r="P236" s="153"/>
    </row>
    <row r="237">
      <c r="P237" s="153"/>
    </row>
    <row r="238">
      <c r="P238" s="153"/>
    </row>
    <row r="239">
      <c r="P239" s="153"/>
    </row>
    <row r="240">
      <c r="P240" s="153"/>
    </row>
    <row r="241">
      <c r="P241" s="153"/>
    </row>
    <row r="242">
      <c r="P242" s="153"/>
    </row>
    <row r="243">
      <c r="P243" s="153"/>
    </row>
    <row r="244">
      <c r="P244" s="153"/>
    </row>
    <row r="245">
      <c r="P245" s="153"/>
    </row>
    <row r="246">
      <c r="P246" s="153"/>
    </row>
    <row r="247">
      <c r="P247" s="153"/>
    </row>
    <row r="248">
      <c r="P248" s="153"/>
    </row>
    <row r="249">
      <c r="P249" s="153"/>
    </row>
    <row r="250">
      <c r="P250" s="153"/>
    </row>
    <row r="251">
      <c r="P251" s="153"/>
    </row>
    <row r="252">
      <c r="P252" s="153"/>
    </row>
    <row r="253">
      <c r="P253" s="153"/>
    </row>
    <row r="254">
      <c r="P254" s="153"/>
    </row>
    <row r="255">
      <c r="P255" s="153"/>
    </row>
    <row r="256">
      <c r="P256" s="153"/>
    </row>
    <row r="257">
      <c r="P257" s="153"/>
    </row>
    <row r="258">
      <c r="P258" s="153"/>
    </row>
    <row r="259">
      <c r="P259" s="153"/>
    </row>
    <row r="260">
      <c r="P260" s="153"/>
    </row>
    <row r="261">
      <c r="P261" s="153"/>
    </row>
    <row r="262">
      <c r="P262" s="153"/>
    </row>
    <row r="263">
      <c r="P263" s="153"/>
    </row>
    <row r="264">
      <c r="P264" s="153"/>
    </row>
    <row r="265">
      <c r="P265" s="153"/>
    </row>
    <row r="266">
      <c r="P266" s="153"/>
    </row>
    <row r="267">
      <c r="P267" s="153"/>
    </row>
    <row r="268">
      <c r="P268" s="153"/>
    </row>
    <row r="269">
      <c r="P269" s="153"/>
    </row>
    <row r="270">
      <c r="P270" s="153"/>
    </row>
    <row r="271">
      <c r="P271" s="153"/>
    </row>
    <row r="272">
      <c r="P272" s="153"/>
    </row>
    <row r="273">
      <c r="P273" s="153"/>
    </row>
    <row r="274">
      <c r="P274" s="153"/>
    </row>
    <row r="275">
      <c r="P275" s="153"/>
    </row>
    <row r="276">
      <c r="P276" s="153"/>
    </row>
    <row r="277">
      <c r="P277" s="153"/>
    </row>
    <row r="278">
      <c r="P278" s="153"/>
    </row>
    <row r="279">
      <c r="P279" s="153"/>
    </row>
    <row r="280">
      <c r="P280" s="153"/>
    </row>
    <row r="281">
      <c r="P281" s="153"/>
    </row>
    <row r="282">
      <c r="P282" s="153"/>
    </row>
    <row r="283">
      <c r="P283" s="153"/>
    </row>
    <row r="284">
      <c r="P284" s="153"/>
    </row>
    <row r="285">
      <c r="P285" s="153"/>
    </row>
    <row r="286">
      <c r="P286" s="153"/>
    </row>
    <row r="287">
      <c r="P287" s="153"/>
    </row>
    <row r="288">
      <c r="P288" s="153"/>
    </row>
    <row r="289">
      <c r="P289" s="153"/>
    </row>
    <row r="290">
      <c r="P290" s="153"/>
    </row>
    <row r="291">
      <c r="P291" s="153"/>
    </row>
    <row r="292">
      <c r="P292" s="153"/>
    </row>
    <row r="293">
      <c r="P293" s="153"/>
    </row>
    <row r="294">
      <c r="P294" s="153"/>
    </row>
    <row r="295">
      <c r="P295" s="153"/>
    </row>
    <row r="296">
      <c r="P296" s="153"/>
    </row>
    <row r="297">
      <c r="P297" s="153"/>
    </row>
    <row r="298">
      <c r="P298" s="153"/>
    </row>
    <row r="299">
      <c r="P299" s="153"/>
    </row>
    <row r="300">
      <c r="P300" s="153"/>
    </row>
    <row r="301">
      <c r="P301" s="153"/>
    </row>
    <row r="302">
      <c r="P302" s="153"/>
    </row>
    <row r="303">
      <c r="P303" s="153"/>
    </row>
    <row r="304">
      <c r="P304" s="153"/>
    </row>
    <row r="305">
      <c r="P305" s="153"/>
    </row>
    <row r="306">
      <c r="P306" s="153"/>
    </row>
    <row r="307">
      <c r="P307" s="153"/>
    </row>
    <row r="308">
      <c r="P308" s="153"/>
    </row>
    <row r="309">
      <c r="P309" s="153"/>
    </row>
    <row r="310">
      <c r="P310" s="153"/>
    </row>
    <row r="311">
      <c r="P311" s="153"/>
    </row>
    <row r="312">
      <c r="P312" s="153"/>
    </row>
    <row r="313">
      <c r="P313" s="153"/>
    </row>
    <row r="314">
      <c r="P314" s="153"/>
    </row>
    <row r="315">
      <c r="P315" s="153"/>
    </row>
    <row r="316">
      <c r="P316" s="153"/>
    </row>
    <row r="317">
      <c r="P317" s="153"/>
    </row>
    <row r="318">
      <c r="P318" s="153"/>
    </row>
    <row r="319">
      <c r="P319" s="153"/>
    </row>
    <row r="320">
      <c r="P320" s="153"/>
    </row>
    <row r="321">
      <c r="P321" s="153"/>
    </row>
    <row r="322">
      <c r="P322" s="153"/>
    </row>
    <row r="323">
      <c r="P323" s="153"/>
    </row>
    <row r="324">
      <c r="P324" s="153"/>
    </row>
    <row r="325">
      <c r="P325" s="153"/>
    </row>
    <row r="326">
      <c r="P326" s="153"/>
    </row>
    <row r="327">
      <c r="P327" s="153"/>
    </row>
    <row r="328">
      <c r="P328" s="153"/>
    </row>
    <row r="329">
      <c r="P329" s="153"/>
    </row>
    <row r="330">
      <c r="P330" s="153"/>
    </row>
    <row r="331">
      <c r="P331" s="153"/>
    </row>
    <row r="332">
      <c r="P332" s="153"/>
    </row>
    <row r="333">
      <c r="P333" s="153"/>
    </row>
    <row r="334">
      <c r="P334" s="153"/>
    </row>
    <row r="335">
      <c r="P335" s="153"/>
    </row>
    <row r="336">
      <c r="P336" s="153"/>
    </row>
    <row r="337">
      <c r="P337" s="153"/>
    </row>
    <row r="338">
      <c r="P338" s="153"/>
    </row>
    <row r="339">
      <c r="P339" s="153"/>
    </row>
    <row r="340">
      <c r="P340" s="153"/>
    </row>
    <row r="341">
      <c r="P341" s="153"/>
    </row>
    <row r="342">
      <c r="P342" s="153"/>
    </row>
    <row r="343">
      <c r="P343" s="153"/>
    </row>
    <row r="344">
      <c r="P344" s="153"/>
    </row>
    <row r="345">
      <c r="P345" s="153"/>
    </row>
    <row r="346">
      <c r="P346" s="153"/>
    </row>
    <row r="347">
      <c r="P347" s="153"/>
    </row>
    <row r="348">
      <c r="P348" s="153"/>
    </row>
    <row r="349">
      <c r="P349" s="153"/>
    </row>
    <row r="350">
      <c r="P350" s="153"/>
    </row>
    <row r="351">
      <c r="P351" s="153"/>
    </row>
    <row r="352">
      <c r="P352" s="153"/>
    </row>
    <row r="353">
      <c r="P353" s="153"/>
    </row>
    <row r="354">
      <c r="P354" s="153"/>
    </row>
    <row r="355">
      <c r="P355" s="153"/>
    </row>
    <row r="356">
      <c r="P356" s="153"/>
    </row>
    <row r="357">
      <c r="P357" s="153"/>
    </row>
    <row r="358">
      <c r="P358" s="153"/>
    </row>
    <row r="359">
      <c r="P359" s="153"/>
    </row>
    <row r="360">
      <c r="P360" s="153"/>
    </row>
    <row r="361">
      <c r="P361" s="153"/>
    </row>
    <row r="362">
      <c r="P362" s="153"/>
    </row>
    <row r="363">
      <c r="P363" s="153"/>
    </row>
    <row r="364">
      <c r="P364" s="153"/>
    </row>
    <row r="365">
      <c r="P365" s="153"/>
    </row>
    <row r="366">
      <c r="P366" s="153"/>
    </row>
    <row r="367">
      <c r="P367" s="153"/>
    </row>
    <row r="368">
      <c r="P368" s="153"/>
    </row>
    <row r="369">
      <c r="P369" s="153"/>
    </row>
    <row r="370">
      <c r="P370" s="153"/>
    </row>
    <row r="371">
      <c r="P371" s="153"/>
    </row>
    <row r="372">
      <c r="P372" s="153"/>
    </row>
    <row r="373">
      <c r="P373" s="153"/>
    </row>
    <row r="374">
      <c r="P374" s="153"/>
    </row>
    <row r="375">
      <c r="P375" s="153"/>
    </row>
    <row r="376">
      <c r="P376" s="153"/>
    </row>
    <row r="377">
      <c r="P377" s="153"/>
    </row>
    <row r="378">
      <c r="P378" s="153"/>
    </row>
    <row r="379">
      <c r="P379" s="153"/>
    </row>
    <row r="380">
      <c r="P380" s="153"/>
    </row>
    <row r="381">
      <c r="P381" s="153"/>
    </row>
    <row r="382">
      <c r="P382" s="153"/>
    </row>
    <row r="383">
      <c r="P383" s="153"/>
    </row>
    <row r="384">
      <c r="P384" s="153"/>
    </row>
    <row r="385">
      <c r="P385" s="153"/>
    </row>
    <row r="386">
      <c r="P386" s="153"/>
    </row>
    <row r="387">
      <c r="P387" s="153"/>
    </row>
    <row r="388">
      <c r="P388" s="153"/>
    </row>
    <row r="389">
      <c r="P389" s="153"/>
    </row>
    <row r="390">
      <c r="P390" s="153"/>
    </row>
    <row r="391">
      <c r="P391" s="153"/>
    </row>
    <row r="392">
      <c r="P392" s="153"/>
    </row>
    <row r="393">
      <c r="P393" s="153"/>
    </row>
    <row r="394">
      <c r="P394" s="153"/>
    </row>
    <row r="395">
      <c r="P395" s="153"/>
    </row>
    <row r="396">
      <c r="P396" s="153"/>
    </row>
    <row r="397">
      <c r="P397" s="153"/>
    </row>
    <row r="398">
      <c r="P398" s="153"/>
    </row>
    <row r="399">
      <c r="P399" s="153"/>
    </row>
    <row r="400">
      <c r="P400" s="153"/>
    </row>
    <row r="401">
      <c r="P401" s="153"/>
    </row>
    <row r="402">
      <c r="P402" s="153"/>
    </row>
    <row r="403">
      <c r="P403" s="153"/>
    </row>
    <row r="404">
      <c r="P404" s="153"/>
    </row>
    <row r="405">
      <c r="P405" s="153"/>
    </row>
    <row r="406">
      <c r="P406" s="153"/>
    </row>
    <row r="407">
      <c r="P407" s="153"/>
    </row>
    <row r="408">
      <c r="P408" s="153"/>
    </row>
    <row r="409">
      <c r="P409" s="153"/>
    </row>
    <row r="410">
      <c r="P410" s="153"/>
    </row>
    <row r="411">
      <c r="P411" s="153"/>
    </row>
    <row r="412">
      <c r="P412" s="153"/>
    </row>
    <row r="413">
      <c r="P413" s="153"/>
    </row>
    <row r="414">
      <c r="P414" s="153"/>
    </row>
    <row r="415">
      <c r="P415" s="153"/>
    </row>
    <row r="416">
      <c r="P416" s="153"/>
    </row>
    <row r="417">
      <c r="P417" s="153"/>
    </row>
    <row r="418">
      <c r="P418" s="153"/>
    </row>
    <row r="419">
      <c r="P419" s="153"/>
    </row>
    <row r="420">
      <c r="P420" s="153"/>
    </row>
    <row r="421">
      <c r="P421" s="153"/>
    </row>
    <row r="422">
      <c r="P422" s="153"/>
    </row>
    <row r="423">
      <c r="P423" s="153"/>
    </row>
    <row r="424">
      <c r="P424" s="153"/>
    </row>
    <row r="425">
      <c r="P425" s="153"/>
    </row>
    <row r="426">
      <c r="P426" s="153"/>
    </row>
    <row r="427">
      <c r="P427" s="153"/>
    </row>
    <row r="428">
      <c r="P428" s="153"/>
    </row>
    <row r="429">
      <c r="P429" s="153"/>
    </row>
    <row r="430">
      <c r="P430" s="153"/>
    </row>
    <row r="431">
      <c r="P431" s="153"/>
    </row>
    <row r="432">
      <c r="P432" s="153"/>
    </row>
    <row r="433">
      <c r="P433" s="153"/>
    </row>
    <row r="434">
      <c r="P434" s="153"/>
    </row>
    <row r="435">
      <c r="P435" s="153"/>
    </row>
    <row r="436">
      <c r="P436" s="153"/>
    </row>
    <row r="437">
      <c r="P437" s="153"/>
    </row>
    <row r="438">
      <c r="P438" s="153"/>
    </row>
    <row r="439">
      <c r="P439" s="153"/>
    </row>
    <row r="440">
      <c r="P440" s="153"/>
    </row>
    <row r="441">
      <c r="P441" s="153"/>
    </row>
    <row r="442">
      <c r="P442" s="153"/>
    </row>
    <row r="443">
      <c r="P443" s="153"/>
    </row>
    <row r="444">
      <c r="P444" s="153"/>
    </row>
    <row r="445">
      <c r="P445" s="153"/>
    </row>
    <row r="446">
      <c r="P446" s="153"/>
    </row>
    <row r="447">
      <c r="P447" s="153"/>
    </row>
    <row r="448">
      <c r="P448" s="153"/>
    </row>
    <row r="449">
      <c r="P449" s="153"/>
    </row>
    <row r="450">
      <c r="P450" s="153"/>
    </row>
    <row r="451">
      <c r="P451" s="153"/>
    </row>
    <row r="452">
      <c r="P452" s="153"/>
    </row>
    <row r="453">
      <c r="P453" s="153"/>
    </row>
    <row r="454">
      <c r="P454" s="153"/>
    </row>
    <row r="455">
      <c r="P455" s="153"/>
    </row>
    <row r="456">
      <c r="P456" s="153"/>
    </row>
    <row r="457">
      <c r="P457" s="153"/>
    </row>
    <row r="458">
      <c r="P458" s="153"/>
    </row>
    <row r="459">
      <c r="P459" s="153"/>
    </row>
    <row r="460">
      <c r="P460" s="153"/>
    </row>
    <row r="461">
      <c r="P461" s="153"/>
    </row>
    <row r="462">
      <c r="P462" s="153"/>
    </row>
    <row r="463">
      <c r="P463" s="153"/>
    </row>
    <row r="464">
      <c r="P464" s="153"/>
    </row>
    <row r="465">
      <c r="P465" s="153"/>
    </row>
    <row r="466">
      <c r="P466" s="153"/>
    </row>
    <row r="467">
      <c r="P467" s="153"/>
    </row>
    <row r="468">
      <c r="P468" s="153"/>
    </row>
    <row r="469">
      <c r="P469" s="153"/>
    </row>
    <row r="470">
      <c r="P470" s="153"/>
    </row>
    <row r="471">
      <c r="P471" s="153"/>
    </row>
    <row r="472">
      <c r="P472" s="153"/>
    </row>
    <row r="473">
      <c r="P473" s="153"/>
    </row>
    <row r="474">
      <c r="P474" s="153"/>
    </row>
    <row r="475">
      <c r="P475" s="153"/>
    </row>
    <row r="476">
      <c r="P476" s="153"/>
    </row>
    <row r="477">
      <c r="P477" s="153"/>
    </row>
    <row r="478">
      <c r="P478" s="153"/>
    </row>
    <row r="479">
      <c r="P479" s="153"/>
    </row>
    <row r="480">
      <c r="P480" s="153"/>
    </row>
    <row r="481">
      <c r="P481" s="153"/>
    </row>
    <row r="482">
      <c r="P482" s="153"/>
    </row>
    <row r="483">
      <c r="P483" s="153"/>
    </row>
    <row r="484">
      <c r="P484" s="153"/>
    </row>
    <row r="485">
      <c r="P485" s="153"/>
    </row>
    <row r="486">
      <c r="P486" s="153"/>
    </row>
    <row r="487">
      <c r="P487" s="153"/>
    </row>
    <row r="488">
      <c r="P488" s="153"/>
    </row>
    <row r="489">
      <c r="P489" s="153"/>
    </row>
    <row r="490">
      <c r="P490" s="153"/>
    </row>
    <row r="491">
      <c r="P491" s="153"/>
    </row>
    <row r="492">
      <c r="P492" s="153"/>
    </row>
    <row r="493">
      <c r="P493" s="153"/>
    </row>
    <row r="494">
      <c r="P494" s="153"/>
    </row>
    <row r="495">
      <c r="P495" s="153"/>
    </row>
    <row r="496">
      <c r="P496" s="153"/>
    </row>
    <row r="497">
      <c r="P497" s="153"/>
    </row>
    <row r="498">
      <c r="P498" s="153"/>
    </row>
    <row r="499">
      <c r="P499" s="153"/>
    </row>
    <row r="500">
      <c r="P500" s="153"/>
    </row>
    <row r="501">
      <c r="P501" s="153"/>
    </row>
    <row r="502">
      <c r="P502" s="153"/>
    </row>
    <row r="503">
      <c r="P503" s="153"/>
    </row>
    <row r="504">
      <c r="P504" s="153"/>
    </row>
    <row r="505">
      <c r="P505" s="153"/>
    </row>
    <row r="506">
      <c r="P506" s="153"/>
    </row>
    <row r="507">
      <c r="P507" s="153"/>
    </row>
    <row r="508">
      <c r="P508" s="153"/>
    </row>
    <row r="509">
      <c r="P509" s="153"/>
    </row>
    <row r="510">
      <c r="P510" s="153"/>
    </row>
    <row r="511">
      <c r="P511" s="153"/>
    </row>
    <row r="512">
      <c r="P512" s="153"/>
    </row>
    <row r="513">
      <c r="P513" s="153"/>
    </row>
    <row r="514">
      <c r="P514" s="153"/>
    </row>
    <row r="515">
      <c r="P515" s="153"/>
    </row>
    <row r="516">
      <c r="P516" s="153"/>
    </row>
    <row r="517">
      <c r="P517" s="153"/>
    </row>
    <row r="518">
      <c r="P518" s="153"/>
    </row>
    <row r="519">
      <c r="P519" s="153"/>
    </row>
    <row r="520">
      <c r="P520" s="153"/>
    </row>
    <row r="521">
      <c r="P521" s="153"/>
    </row>
    <row r="522">
      <c r="P522" s="153"/>
    </row>
    <row r="523">
      <c r="P523" s="153"/>
    </row>
    <row r="524">
      <c r="P524" s="153"/>
    </row>
    <row r="525">
      <c r="P525" s="153"/>
    </row>
    <row r="526">
      <c r="P526" s="153"/>
    </row>
    <row r="527">
      <c r="P527" s="153"/>
    </row>
    <row r="528">
      <c r="P528" s="153"/>
    </row>
    <row r="529">
      <c r="P529" s="153"/>
    </row>
    <row r="530">
      <c r="P530" s="153"/>
    </row>
    <row r="531">
      <c r="P531" s="153"/>
    </row>
    <row r="532">
      <c r="P532" s="153"/>
    </row>
    <row r="533">
      <c r="P533" s="153"/>
    </row>
    <row r="534">
      <c r="P534" s="153"/>
    </row>
    <row r="535">
      <c r="P535" s="153"/>
    </row>
    <row r="536">
      <c r="P536" s="153"/>
    </row>
    <row r="537">
      <c r="P537" s="153"/>
    </row>
    <row r="538">
      <c r="P538" s="153"/>
    </row>
    <row r="539">
      <c r="P539" s="153"/>
    </row>
    <row r="540">
      <c r="P540" s="153"/>
    </row>
    <row r="541">
      <c r="P541" s="153"/>
    </row>
    <row r="542">
      <c r="P542" s="153"/>
    </row>
    <row r="543">
      <c r="P543" s="153"/>
    </row>
    <row r="544">
      <c r="P544" s="153"/>
    </row>
    <row r="545">
      <c r="P545" s="153"/>
    </row>
    <row r="546">
      <c r="P546" s="153"/>
    </row>
    <row r="547">
      <c r="P547" s="153"/>
    </row>
    <row r="548">
      <c r="P548" s="153"/>
    </row>
    <row r="549">
      <c r="P549" s="153"/>
    </row>
    <row r="550">
      <c r="P550" s="153"/>
    </row>
    <row r="551">
      <c r="P551" s="153"/>
    </row>
    <row r="552">
      <c r="P552" s="153"/>
    </row>
    <row r="553">
      <c r="P553" s="153"/>
    </row>
    <row r="554">
      <c r="P554" s="153"/>
    </row>
    <row r="555">
      <c r="P555" s="153"/>
    </row>
    <row r="556">
      <c r="P556" s="153"/>
    </row>
    <row r="557">
      <c r="P557" s="153"/>
    </row>
    <row r="558">
      <c r="P558" s="153"/>
    </row>
    <row r="559">
      <c r="P559" s="153"/>
    </row>
    <row r="560">
      <c r="P560" s="153"/>
    </row>
    <row r="561">
      <c r="P561" s="153"/>
    </row>
    <row r="562">
      <c r="P562" s="153"/>
    </row>
    <row r="563">
      <c r="P563" s="153"/>
    </row>
    <row r="564">
      <c r="P564" s="153"/>
    </row>
    <row r="565">
      <c r="P565" s="153"/>
    </row>
    <row r="566">
      <c r="P566" s="153"/>
    </row>
    <row r="567">
      <c r="P567" s="153"/>
    </row>
    <row r="568">
      <c r="P568" s="153"/>
    </row>
    <row r="569">
      <c r="P569" s="153"/>
    </row>
    <row r="570">
      <c r="P570" s="153"/>
    </row>
    <row r="571">
      <c r="P571" s="153"/>
    </row>
    <row r="572">
      <c r="P572" s="153"/>
    </row>
    <row r="573">
      <c r="P573" s="153"/>
    </row>
    <row r="574">
      <c r="P574" s="153"/>
    </row>
    <row r="575">
      <c r="P575" s="153"/>
    </row>
    <row r="576">
      <c r="P576" s="153"/>
    </row>
    <row r="577">
      <c r="P577" s="153"/>
    </row>
    <row r="578">
      <c r="P578" s="153"/>
    </row>
    <row r="579">
      <c r="P579" s="153"/>
    </row>
    <row r="580">
      <c r="P580" s="153"/>
    </row>
    <row r="581">
      <c r="P581" s="153"/>
    </row>
    <row r="582">
      <c r="P582" s="153"/>
    </row>
    <row r="583">
      <c r="P583" s="153"/>
    </row>
    <row r="584">
      <c r="P584" s="153"/>
    </row>
    <row r="585">
      <c r="P585" s="153"/>
    </row>
    <row r="586">
      <c r="P586" s="153"/>
    </row>
    <row r="587">
      <c r="P587" s="153"/>
    </row>
    <row r="588">
      <c r="P588" s="153"/>
    </row>
    <row r="589">
      <c r="P589" s="153"/>
    </row>
    <row r="590">
      <c r="P590" s="153"/>
    </row>
    <row r="591">
      <c r="P591" s="153"/>
    </row>
    <row r="592">
      <c r="P592" s="153"/>
    </row>
    <row r="593">
      <c r="P593" s="153"/>
    </row>
    <row r="594">
      <c r="P594" s="153"/>
    </row>
    <row r="595">
      <c r="P595" s="153"/>
    </row>
    <row r="596">
      <c r="P596" s="153"/>
    </row>
    <row r="597">
      <c r="P597" s="153"/>
    </row>
    <row r="598">
      <c r="P598" s="153"/>
    </row>
    <row r="599">
      <c r="P599" s="153"/>
    </row>
    <row r="600">
      <c r="P600" s="153"/>
    </row>
    <row r="601">
      <c r="P601" s="153"/>
    </row>
    <row r="602">
      <c r="P602" s="153"/>
    </row>
    <row r="603">
      <c r="P603" s="153"/>
    </row>
    <row r="604">
      <c r="P604" s="153"/>
    </row>
    <row r="605">
      <c r="P605" s="153"/>
    </row>
    <row r="606">
      <c r="P606" s="153"/>
    </row>
    <row r="607">
      <c r="P607" s="153"/>
    </row>
    <row r="608">
      <c r="P608" s="153"/>
    </row>
    <row r="609">
      <c r="P609" s="153"/>
    </row>
    <row r="610">
      <c r="P610" s="153"/>
    </row>
    <row r="611">
      <c r="P611" s="153"/>
    </row>
    <row r="612">
      <c r="P612" s="153"/>
    </row>
    <row r="613">
      <c r="P613" s="153"/>
    </row>
    <row r="614">
      <c r="P614" s="153"/>
    </row>
    <row r="615">
      <c r="P615" s="153"/>
    </row>
    <row r="616">
      <c r="P616" s="153"/>
    </row>
    <row r="617">
      <c r="P617" s="153"/>
    </row>
    <row r="618">
      <c r="P618" s="153"/>
    </row>
    <row r="619">
      <c r="P619" s="153"/>
    </row>
    <row r="620">
      <c r="P620" s="153"/>
    </row>
    <row r="621">
      <c r="P621" s="153"/>
    </row>
    <row r="622">
      <c r="P622" s="153"/>
    </row>
    <row r="623">
      <c r="P623" s="153"/>
    </row>
    <row r="624">
      <c r="P624" s="153"/>
    </row>
    <row r="625">
      <c r="P625" s="153"/>
    </row>
    <row r="626">
      <c r="P626" s="153"/>
    </row>
    <row r="627">
      <c r="P627" s="153"/>
    </row>
    <row r="628">
      <c r="P628" s="153"/>
    </row>
    <row r="629">
      <c r="P629" s="153"/>
    </row>
    <row r="630">
      <c r="P630" s="153"/>
    </row>
    <row r="631">
      <c r="P631" s="153"/>
    </row>
    <row r="632">
      <c r="P632" s="153"/>
    </row>
    <row r="633">
      <c r="P633" s="153"/>
    </row>
    <row r="634">
      <c r="P634" s="153"/>
    </row>
    <row r="635">
      <c r="P635" s="153"/>
    </row>
    <row r="636">
      <c r="P636" s="153"/>
    </row>
    <row r="637">
      <c r="P637" s="153"/>
    </row>
    <row r="638">
      <c r="P638" s="153"/>
    </row>
    <row r="639">
      <c r="P639" s="153"/>
    </row>
    <row r="640">
      <c r="P640" s="153"/>
    </row>
    <row r="641">
      <c r="P641" s="153"/>
    </row>
    <row r="642">
      <c r="P642" s="153"/>
    </row>
    <row r="643">
      <c r="P643" s="153"/>
    </row>
    <row r="644">
      <c r="P644" s="153"/>
    </row>
    <row r="645">
      <c r="P645" s="153"/>
    </row>
    <row r="646">
      <c r="P646" s="153"/>
    </row>
    <row r="647">
      <c r="P647" s="153"/>
    </row>
    <row r="648">
      <c r="P648" s="153"/>
    </row>
    <row r="649">
      <c r="P649" s="153"/>
    </row>
    <row r="650">
      <c r="P650" s="153"/>
    </row>
    <row r="651">
      <c r="P651" s="153"/>
    </row>
    <row r="652">
      <c r="P652" s="153"/>
    </row>
    <row r="653">
      <c r="P653" s="153"/>
    </row>
    <row r="654">
      <c r="P654" s="153"/>
    </row>
    <row r="655">
      <c r="P655" s="153"/>
    </row>
    <row r="656">
      <c r="P656" s="153"/>
    </row>
    <row r="657">
      <c r="P657" s="153"/>
    </row>
    <row r="658">
      <c r="P658" s="153"/>
    </row>
    <row r="659">
      <c r="P659" s="153"/>
    </row>
    <row r="660">
      <c r="P660" s="153"/>
    </row>
    <row r="661">
      <c r="P661" s="153"/>
    </row>
    <row r="662">
      <c r="P662" s="153"/>
    </row>
    <row r="663">
      <c r="P663" s="153"/>
    </row>
    <row r="664">
      <c r="P664" s="153"/>
    </row>
    <row r="665">
      <c r="P665" s="153"/>
    </row>
    <row r="666">
      <c r="P666" s="153"/>
    </row>
    <row r="667">
      <c r="P667" s="153"/>
    </row>
    <row r="668">
      <c r="P668" s="153"/>
    </row>
    <row r="669">
      <c r="P669" s="153"/>
    </row>
    <row r="670">
      <c r="P670" s="153"/>
    </row>
    <row r="671">
      <c r="P671" s="153"/>
    </row>
    <row r="672">
      <c r="P672" s="153"/>
    </row>
    <row r="673">
      <c r="P673" s="153"/>
    </row>
    <row r="674">
      <c r="P674" s="153"/>
    </row>
    <row r="675">
      <c r="P675" s="153"/>
    </row>
    <row r="676">
      <c r="P676" s="153"/>
    </row>
    <row r="677">
      <c r="P677" s="153"/>
    </row>
    <row r="678">
      <c r="P678" s="153"/>
    </row>
    <row r="679">
      <c r="P679" s="153"/>
    </row>
    <row r="680">
      <c r="P680" s="153"/>
    </row>
    <row r="681">
      <c r="P681" s="153"/>
    </row>
    <row r="682">
      <c r="P682" s="153"/>
    </row>
    <row r="683">
      <c r="P683" s="153"/>
    </row>
    <row r="684">
      <c r="P684" s="153"/>
    </row>
    <row r="685">
      <c r="P685" s="153"/>
    </row>
    <row r="686">
      <c r="P686" s="153"/>
    </row>
    <row r="687">
      <c r="P687" s="153"/>
    </row>
    <row r="688">
      <c r="P688" s="153"/>
    </row>
    <row r="689">
      <c r="P689" s="153"/>
    </row>
    <row r="690">
      <c r="P690" s="153"/>
    </row>
    <row r="691">
      <c r="P691" s="153"/>
    </row>
    <row r="692">
      <c r="P692" s="153"/>
    </row>
    <row r="693">
      <c r="P693" s="153"/>
    </row>
    <row r="694">
      <c r="P694" s="153"/>
    </row>
    <row r="695">
      <c r="P695" s="153"/>
    </row>
    <row r="696">
      <c r="P696" s="153"/>
    </row>
    <row r="697">
      <c r="P697" s="153"/>
    </row>
    <row r="698">
      <c r="P698" s="153"/>
    </row>
    <row r="699">
      <c r="P699" s="153"/>
    </row>
    <row r="700">
      <c r="P700" s="153"/>
    </row>
    <row r="701">
      <c r="P701" s="153"/>
    </row>
    <row r="702">
      <c r="P702" s="153"/>
    </row>
    <row r="703">
      <c r="P703" s="153"/>
    </row>
    <row r="704">
      <c r="P704" s="153"/>
    </row>
    <row r="705">
      <c r="P705" s="153"/>
    </row>
    <row r="706">
      <c r="P706" s="153"/>
    </row>
    <row r="707">
      <c r="P707" s="153"/>
    </row>
    <row r="708">
      <c r="P708" s="153"/>
    </row>
    <row r="709">
      <c r="P709" s="153"/>
    </row>
    <row r="710">
      <c r="P710" s="153"/>
    </row>
    <row r="711">
      <c r="P711" s="153"/>
    </row>
    <row r="712">
      <c r="P712" s="153"/>
    </row>
    <row r="713">
      <c r="P713" s="153"/>
    </row>
    <row r="714">
      <c r="P714" s="153"/>
    </row>
    <row r="715">
      <c r="P715" s="153"/>
    </row>
    <row r="716">
      <c r="P716" s="153"/>
    </row>
    <row r="717">
      <c r="P717" s="153"/>
    </row>
    <row r="718">
      <c r="P718" s="153"/>
    </row>
    <row r="719">
      <c r="P719" s="153"/>
    </row>
    <row r="720">
      <c r="P720" s="153"/>
    </row>
    <row r="721">
      <c r="P721" s="153"/>
    </row>
    <row r="722">
      <c r="P722" s="153"/>
    </row>
    <row r="723">
      <c r="P723" s="153"/>
    </row>
    <row r="724">
      <c r="P724" s="153"/>
    </row>
    <row r="725">
      <c r="P725" s="153"/>
    </row>
    <row r="726">
      <c r="P726" s="153"/>
    </row>
    <row r="727">
      <c r="P727" s="153"/>
    </row>
    <row r="728">
      <c r="P728" s="153"/>
    </row>
    <row r="729">
      <c r="P729" s="153"/>
    </row>
    <row r="730">
      <c r="P730" s="153"/>
    </row>
    <row r="731">
      <c r="P731" s="153"/>
    </row>
    <row r="732">
      <c r="P732" s="153"/>
    </row>
    <row r="733">
      <c r="P733" s="153"/>
    </row>
    <row r="734">
      <c r="P734" s="153"/>
    </row>
    <row r="735">
      <c r="P735" s="153"/>
    </row>
    <row r="736">
      <c r="P736" s="153"/>
    </row>
    <row r="737">
      <c r="P737" s="153"/>
    </row>
    <row r="738">
      <c r="P738" s="153"/>
    </row>
    <row r="739">
      <c r="P739" s="153"/>
    </row>
    <row r="740">
      <c r="P740" s="153"/>
    </row>
    <row r="741">
      <c r="P741" s="153"/>
    </row>
    <row r="742">
      <c r="P742" s="153"/>
    </row>
    <row r="743">
      <c r="P743" s="153"/>
    </row>
    <row r="744">
      <c r="P744" s="153"/>
    </row>
    <row r="745">
      <c r="P745" s="153"/>
    </row>
    <row r="746">
      <c r="P746" s="153"/>
    </row>
    <row r="747">
      <c r="P747" s="153"/>
    </row>
    <row r="748">
      <c r="P748" s="153"/>
    </row>
    <row r="749">
      <c r="P749" s="153"/>
    </row>
    <row r="750">
      <c r="P750" s="153"/>
    </row>
    <row r="751">
      <c r="P751" s="153"/>
    </row>
    <row r="752">
      <c r="P752" s="153"/>
    </row>
    <row r="753">
      <c r="P753" s="153"/>
    </row>
    <row r="754">
      <c r="P754" s="153"/>
    </row>
    <row r="755">
      <c r="P755" s="153"/>
    </row>
    <row r="756">
      <c r="P756" s="153"/>
    </row>
    <row r="757">
      <c r="P757" s="153"/>
    </row>
    <row r="758">
      <c r="P758" s="153"/>
    </row>
    <row r="759">
      <c r="P759" s="153"/>
    </row>
    <row r="760">
      <c r="P760" s="153"/>
    </row>
    <row r="761">
      <c r="P761" s="153"/>
    </row>
    <row r="762">
      <c r="P762" s="153"/>
    </row>
    <row r="763">
      <c r="P763" s="153"/>
    </row>
    <row r="764">
      <c r="P764" s="153"/>
    </row>
    <row r="765">
      <c r="P765" s="153"/>
    </row>
    <row r="766">
      <c r="P766" s="153"/>
    </row>
    <row r="767">
      <c r="P767" s="153"/>
    </row>
    <row r="768">
      <c r="P768" s="153"/>
    </row>
    <row r="769">
      <c r="P769" s="153"/>
    </row>
    <row r="770">
      <c r="P770" s="153"/>
    </row>
    <row r="771">
      <c r="P771" s="153"/>
    </row>
    <row r="772">
      <c r="P772" s="153"/>
    </row>
    <row r="773">
      <c r="P773" s="153"/>
    </row>
    <row r="774">
      <c r="P774" s="153"/>
    </row>
    <row r="775">
      <c r="P775" s="153"/>
    </row>
    <row r="776">
      <c r="P776" s="153"/>
    </row>
    <row r="777">
      <c r="P777" s="153"/>
    </row>
    <row r="778">
      <c r="P778" s="153"/>
    </row>
    <row r="779">
      <c r="P779" s="153"/>
    </row>
    <row r="780">
      <c r="P780" s="153"/>
    </row>
    <row r="781">
      <c r="P781" s="153"/>
    </row>
    <row r="782">
      <c r="P782" s="153"/>
    </row>
    <row r="783">
      <c r="P783" s="153"/>
    </row>
    <row r="784">
      <c r="P784" s="153"/>
    </row>
    <row r="785">
      <c r="P785" s="153"/>
    </row>
    <row r="786">
      <c r="P786" s="153"/>
    </row>
    <row r="787">
      <c r="P787" s="153"/>
    </row>
    <row r="788">
      <c r="P788" s="153"/>
    </row>
    <row r="789">
      <c r="P789" s="153"/>
    </row>
    <row r="790">
      <c r="P790" s="153"/>
    </row>
    <row r="791">
      <c r="P791" s="153"/>
    </row>
    <row r="792">
      <c r="P792" s="153"/>
    </row>
    <row r="793">
      <c r="P793" s="153"/>
    </row>
    <row r="794">
      <c r="P794" s="153"/>
    </row>
    <row r="795">
      <c r="P795" s="153"/>
    </row>
    <row r="796">
      <c r="P796" s="153"/>
    </row>
    <row r="797">
      <c r="P797" s="153"/>
    </row>
    <row r="798">
      <c r="P798" s="153"/>
    </row>
    <row r="799">
      <c r="P799" s="153"/>
    </row>
    <row r="800">
      <c r="P800" s="153"/>
    </row>
    <row r="801">
      <c r="P801" s="153"/>
    </row>
    <row r="802">
      <c r="P802" s="153"/>
    </row>
    <row r="803">
      <c r="P803" s="153"/>
    </row>
    <row r="804">
      <c r="P804" s="153"/>
    </row>
    <row r="805">
      <c r="P805" s="153"/>
    </row>
    <row r="806">
      <c r="P806" s="153"/>
    </row>
    <row r="807">
      <c r="P807" s="153"/>
    </row>
    <row r="808">
      <c r="P808" s="153"/>
    </row>
    <row r="809">
      <c r="P809" s="153"/>
    </row>
    <row r="810">
      <c r="P810" s="153"/>
    </row>
    <row r="811">
      <c r="P811" s="153"/>
    </row>
    <row r="812">
      <c r="P812" s="153"/>
    </row>
    <row r="813">
      <c r="P813" s="153"/>
    </row>
    <row r="814">
      <c r="P814" s="153"/>
    </row>
    <row r="815">
      <c r="P815" s="153"/>
    </row>
    <row r="816">
      <c r="P816" s="153"/>
    </row>
    <row r="817">
      <c r="P817" s="153"/>
    </row>
    <row r="818">
      <c r="P818" s="153"/>
    </row>
    <row r="819">
      <c r="P819" s="153"/>
    </row>
    <row r="820">
      <c r="P820" s="153"/>
    </row>
    <row r="821">
      <c r="P821" s="153"/>
    </row>
    <row r="822">
      <c r="P822" s="153"/>
    </row>
    <row r="823">
      <c r="P823" s="153"/>
    </row>
    <row r="824">
      <c r="P824" s="153"/>
    </row>
    <row r="825">
      <c r="P825" s="153"/>
    </row>
    <row r="826">
      <c r="P826" s="153"/>
    </row>
    <row r="827">
      <c r="P827" s="153"/>
    </row>
    <row r="828">
      <c r="P828" s="153"/>
    </row>
    <row r="829">
      <c r="P829" s="153"/>
    </row>
    <row r="830">
      <c r="P830" s="153"/>
    </row>
    <row r="831">
      <c r="P831" s="153"/>
    </row>
    <row r="832">
      <c r="P832" s="153"/>
    </row>
    <row r="833">
      <c r="P833" s="153"/>
    </row>
    <row r="834">
      <c r="P834" s="153"/>
    </row>
    <row r="835">
      <c r="P835" s="153"/>
    </row>
    <row r="836">
      <c r="P836" s="153"/>
    </row>
    <row r="837">
      <c r="P837" s="153"/>
    </row>
    <row r="838">
      <c r="P838" s="153"/>
    </row>
    <row r="839">
      <c r="P839" s="153"/>
    </row>
    <row r="840">
      <c r="P840" s="153"/>
    </row>
    <row r="841">
      <c r="P841" s="153"/>
    </row>
    <row r="842">
      <c r="P842" s="153"/>
    </row>
    <row r="843">
      <c r="P843" s="153"/>
    </row>
    <row r="844">
      <c r="P844" s="153"/>
    </row>
    <row r="845">
      <c r="P845" s="153"/>
    </row>
    <row r="846">
      <c r="P846" s="153"/>
    </row>
    <row r="847">
      <c r="P847" s="153"/>
    </row>
    <row r="848">
      <c r="P848" s="153"/>
    </row>
    <row r="849">
      <c r="P849" s="153"/>
    </row>
    <row r="850">
      <c r="P850" s="153"/>
    </row>
    <row r="851">
      <c r="P851" s="153"/>
    </row>
    <row r="852">
      <c r="P852" s="153"/>
    </row>
    <row r="853">
      <c r="P853" s="153"/>
    </row>
    <row r="854">
      <c r="P854" s="153"/>
    </row>
    <row r="855">
      <c r="P855" s="153"/>
    </row>
    <row r="856">
      <c r="P856" s="153"/>
    </row>
    <row r="857">
      <c r="P857" s="153"/>
    </row>
    <row r="858">
      <c r="P858" s="153"/>
    </row>
    <row r="859">
      <c r="P859" s="153"/>
    </row>
    <row r="860">
      <c r="P860" s="153"/>
    </row>
    <row r="861">
      <c r="P861" s="153"/>
    </row>
    <row r="862">
      <c r="P862" s="153"/>
    </row>
    <row r="863">
      <c r="P863" s="153"/>
    </row>
    <row r="864">
      <c r="P864" s="153"/>
    </row>
    <row r="865">
      <c r="P865" s="153"/>
    </row>
    <row r="866">
      <c r="P866" s="153"/>
    </row>
    <row r="867">
      <c r="P867" s="153"/>
    </row>
    <row r="868">
      <c r="P868" s="153"/>
    </row>
    <row r="869">
      <c r="P869" s="153"/>
    </row>
    <row r="870">
      <c r="P870" s="153"/>
    </row>
    <row r="871">
      <c r="P871" s="153"/>
    </row>
    <row r="872">
      <c r="P872" s="153"/>
    </row>
    <row r="873">
      <c r="P873" s="153"/>
    </row>
    <row r="874">
      <c r="P874" s="153"/>
    </row>
    <row r="875">
      <c r="P875" s="153"/>
    </row>
    <row r="876">
      <c r="P876" s="153"/>
    </row>
    <row r="877">
      <c r="P877" s="153"/>
    </row>
    <row r="878">
      <c r="P878" s="153"/>
    </row>
    <row r="879">
      <c r="P879" s="153"/>
    </row>
    <row r="880">
      <c r="P880" s="153"/>
    </row>
    <row r="881">
      <c r="P881" s="153"/>
    </row>
    <row r="882">
      <c r="P882" s="153"/>
    </row>
    <row r="883">
      <c r="P883" s="153"/>
    </row>
    <row r="884">
      <c r="P884" s="153"/>
    </row>
    <row r="885">
      <c r="P885" s="153"/>
    </row>
    <row r="886">
      <c r="P886" s="153"/>
    </row>
    <row r="887">
      <c r="P887" s="153"/>
    </row>
    <row r="888">
      <c r="P888" s="153"/>
    </row>
    <row r="889">
      <c r="P889" s="153"/>
    </row>
    <row r="890">
      <c r="P890" s="153"/>
    </row>
    <row r="891">
      <c r="P891" s="153"/>
    </row>
    <row r="892">
      <c r="P892" s="153"/>
    </row>
    <row r="893">
      <c r="P893" s="153"/>
    </row>
    <row r="894">
      <c r="P894" s="153"/>
    </row>
    <row r="895">
      <c r="P895" s="153"/>
    </row>
    <row r="896">
      <c r="P896" s="153"/>
    </row>
    <row r="897">
      <c r="P897" s="153"/>
    </row>
    <row r="898">
      <c r="P898" s="153"/>
    </row>
    <row r="899">
      <c r="P899" s="153"/>
    </row>
    <row r="900">
      <c r="P900" s="153"/>
    </row>
    <row r="901">
      <c r="P901" s="153"/>
    </row>
    <row r="902">
      <c r="P902" s="153"/>
    </row>
    <row r="903">
      <c r="P903" s="153"/>
    </row>
    <row r="904">
      <c r="P904" s="153"/>
    </row>
    <row r="905">
      <c r="P905" s="153"/>
    </row>
    <row r="906">
      <c r="P906" s="153"/>
    </row>
    <row r="907">
      <c r="P907" s="153"/>
    </row>
    <row r="908">
      <c r="P908" s="153"/>
    </row>
    <row r="909">
      <c r="P909" s="153"/>
    </row>
    <row r="910">
      <c r="P910" s="153"/>
    </row>
    <row r="911">
      <c r="P911" s="153"/>
    </row>
    <row r="912">
      <c r="P912" s="153"/>
    </row>
    <row r="913">
      <c r="P913" s="153"/>
    </row>
    <row r="914">
      <c r="P914" s="153"/>
    </row>
    <row r="915">
      <c r="P915" s="153"/>
    </row>
    <row r="916">
      <c r="P916" s="153"/>
    </row>
    <row r="917">
      <c r="P917" s="153"/>
    </row>
    <row r="918">
      <c r="P918" s="153"/>
    </row>
    <row r="919">
      <c r="P919" s="153"/>
    </row>
    <row r="920">
      <c r="P920" s="153"/>
    </row>
    <row r="921">
      <c r="P921" s="153"/>
    </row>
    <row r="922">
      <c r="P922" s="153"/>
    </row>
    <row r="923">
      <c r="P923" s="153"/>
    </row>
    <row r="924">
      <c r="P924" s="153"/>
    </row>
    <row r="925">
      <c r="P925" s="153"/>
    </row>
    <row r="926">
      <c r="P926" s="153"/>
    </row>
    <row r="927">
      <c r="P927" s="153"/>
    </row>
    <row r="928">
      <c r="P928" s="153"/>
    </row>
    <row r="929">
      <c r="P929" s="153"/>
    </row>
    <row r="930">
      <c r="P930" s="153"/>
    </row>
    <row r="931">
      <c r="P931" s="153"/>
    </row>
    <row r="932">
      <c r="P932" s="153"/>
    </row>
    <row r="933">
      <c r="P933" s="153"/>
    </row>
    <row r="934">
      <c r="P934" s="153"/>
    </row>
    <row r="935">
      <c r="P935" s="153"/>
    </row>
    <row r="936">
      <c r="P936" s="153"/>
    </row>
    <row r="937">
      <c r="P937" s="153"/>
    </row>
    <row r="938">
      <c r="P938" s="153"/>
    </row>
    <row r="939">
      <c r="P939" s="153"/>
    </row>
    <row r="940">
      <c r="P940" s="153"/>
    </row>
    <row r="941">
      <c r="P941" s="153"/>
    </row>
    <row r="942">
      <c r="P942" s="153"/>
    </row>
    <row r="943">
      <c r="P943" s="153"/>
    </row>
    <row r="944">
      <c r="P944" s="153"/>
    </row>
    <row r="945">
      <c r="P945" s="153"/>
    </row>
    <row r="946">
      <c r="P946" s="153"/>
    </row>
    <row r="947">
      <c r="P947" s="153"/>
    </row>
    <row r="948">
      <c r="P948" s="153"/>
    </row>
    <row r="949">
      <c r="P949" s="153"/>
    </row>
    <row r="950">
      <c r="P950" s="153"/>
    </row>
    <row r="951">
      <c r="P951" s="153"/>
    </row>
    <row r="952">
      <c r="P952" s="153"/>
    </row>
    <row r="953">
      <c r="P953" s="153"/>
    </row>
    <row r="954">
      <c r="P954" s="153"/>
    </row>
    <row r="955">
      <c r="P955" s="153"/>
    </row>
    <row r="956">
      <c r="P956" s="153"/>
    </row>
    <row r="957">
      <c r="P957" s="153"/>
    </row>
    <row r="958">
      <c r="P958" s="153"/>
    </row>
    <row r="959">
      <c r="P959" s="153"/>
    </row>
    <row r="960">
      <c r="P960" s="153"/>
    </row>
    <row r="961">
      <c r="P961" s="153"/>
    </row>
    <row r="962">
      <c r="P962" s="153"/>
    </row>
    <row r="963">
      <c r="P963" s="153"/>
    </row>
    <row r="964">
      <c r="P964" s="153"/>
    </row>
    <row r="965">
      <c r="P965" s="153"/>
    </row>
    <row r="966">
      <c r="P966" s="153"/>
    </row>
    <row r="967">
      <c r="P967" s="153"/>
    </row>
    <row r="968">
      <c r="P968" s="153"/>
    </row>
    <row r="969">
      <c r="P969" s="153"/>
    </row>
    <row r="970">
      <c r="P970" s="153"/>
    </row>
    <row r="971">
      <c r="P971" s="153"/>
    </row>
    <row r="972">
      <c r="P972" s="153"/>
    </row>
    <row r="973">
      <c r="P973" s="153"/>
    </row>
    <row r="974">
      <c r="P974" s="153"/>
    </row>
    <row r="975">
      <c r="P975" s="153"/>
    </row>
    <row r="976">
      <c r="P976" s="153"/>
    </row>
    <row r="977">
      <c r="P977" s="153"/>
    </row>
    <row r="978">
      <c r="P978" s="153"/>
    </row>
    <row r="979">
      <c r="P979" s="153"/>
    </row>
    <row r="980">
      <c r="P980" s="153"/>
    </row>
    <row r="981">
      <c r="P981" s="153"/>
    </row>
    <row r="982">
      <c r="P982" s="153"/>
    </row>
    <row r="983">
      <c r="P983" s="153"/>
    </row>
    <row r="984">
      <c r="P984" s="153"/>
    </row>
    <row r="985">
      <c r="P985" s="153"/>
    </row>
    <row r="986">
      <c r="P986" s="153"/>
    </row>
    <row r="987">
      <c r="P987" s="153"/>
    </row>
    <row r="988">
      <c r="P988" s="153"/>
    </row>
    <row r="989">
      <c r="P989" s="153"/>
    </row>
    <row r="990">
      <c r="P990" s="153"/>
    </row>
    <row r="991">
      <c r="P991" s="153"/>
    </row>
    <row r="992">
      <c r="P992" s="153"/>
    </row>
    <row r="993">
      <c r="P993" s="153"/>
    </row>
    <row r="994">
      <c r="P994" s="153"/>
    </row>
    <row r="995">
      <c r="P995" s="153"/>
    </row>
    <row r="996">
      <c r="P996" s="153"/>
    </row>
    <row r="997">
      <c r="P997" s="153"/>
    </row>
    <row r="998">
      <c r="P998" s="153"/>
    </row>
    <row r="999">
      <c r="P999" s="153"/>
    </row>
    <row r="1000">
      <c r="P1000" s="153"/>
    </row>
  </sheetData>
  <dataValidations>
    <dataValidation type="list" allowBlank="1" showErrorMessage="1" sqref="P1:P1000">
      <formula1>"IT Area,FMG Cabinet,WFH,Mezzanine,Transferred,Deployed Onsite,C3-6 2nd floor,IT storage"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P1" s="153"/>
    </row>
    <row r="2">
      <c r="P2" s="153"/>
    </row>
    <row r="3">
      <c r="P3" s="153"/>
    </row>
    <row r="4">
      <c r="P4" s="153"/>
    </row>
    <row r="5">
      <c r="P5" s="153"/>
    </row>
    <row r="6">
      <c r="P6" s="153"/>
    </row>
    <row r="7">
      <c r="P7" s="153"/>
    </row>
    <row r="8">
      <c r="P8" s="153"/>
    </row>
    <row r="9">
      <c r="P9" s="153"/>
    </row>
    <row r="10">
      <c r="P10" s="153"/>
    </row>
    <row r="11">
      <c r="P11" s="153"/>
    </row>
    <row r="12">
      <c r="P12" s="153"/>
    </row>
    <row r="13">
      <c r="P13" s="153"/>
    </row>
    <row r="14">
      <c r="P14" s="153"/>
    </row>
    <row r="15">
      <c r="P15" s="153"/>
    </row>
    <row r="16">
      <c r="P16" s="153"/>
    </row>
    <row r="17">
      <c r="P17" s="153"/>
    </row>
    <row r="18">
      <c r="P18" s="153"/>
    </row>
    <row r="19">
      <c r="P19" s="153"/>
    </row>
    <row r="20">
      <c r="P20" s="153"/>
    </row>
    <row r="21">
      <c r="P21" s="153"/>
    </row>
    <row r="22">
      <c r="P22" s="153"/>
    </row>
    <row r="23">
      <c r="P23" s="153"/>
    </row>
    <row r="24">
      <c r="P24" s="153"/>
    </row>
    <row r="25">
      <c r="P25" s="153"/>
    </row>
    <row r="26">
      <c r="P26" s="153"/>
    </row>
    <row r="27">
      <c r="P27" s="153"/>
    </row>
    <row r="28">
      <c r="P28" s="153"/>
    </row>
    <row r="29">
      <c r="P29" s="153"/>
    </row>
    <row r="30">
      <c r="P30" s="153"/>
    </row>
    <row r="31">
      <c r="P31" s="153"/>
    </row>
    <row r="32">
      <c r="P32" s="153"/>
    </row>
    <row r="33">
      <c r="P33" s="153"/>
    </row>
    <row r="34">
      <c r="P34" s="153"/>
    </row>
    <row r="35">
      <c r="P35" s="153"/>
    </row>
    <row r="36">
      <c r="P36" s="153"/>
    </row>
    <row r="37">
      <c r="P37" s="153"/>
    </row>
    <row r="38">
      <c r="P38" s="153"/>
    </row>
    <row r="39">
      <c r="P39" s="153"/>
    </row>
    <row r="40">
      <c r="P40" s="153"/>
    </row>
    <row r="41">
      <c r="P41" s="153"/>
    </row>
    <row r="42">
      <c r="P42" s="153"/>
    </row>
    <row r="43">
      <c r="P43" s="153"/>
    </row>
    <row r="44">
      <c r="P44" s="153"/>
    </row>
    <row r="45">
      <c r="P45" s="153"/>
    </row>
    <row r="46">
      <c r="P46" s="153"/>
    </row>
    <row r="47">
      <c r="P47" s="153"/>
    </row>
    <row r="48">
      <c r="P48" s="153"/>
    </row>
    <row r="49">
      <c r="P49" s="153"/>
    </row>
    <row r="50">
      <c r="P50" s="153"/>
    </row>
    <row r="51">
      <c r="P51" s="153"/>
    </row>
    <row r="52">
      <c r="P52" s="153"/>
    </row>
    <row r="53">
      <c r="P53" s="153"/>
    </row>
    <row r="54">
      <c r="P54" s="153"/>
    </row>
    <row r="55">
      <c r="P55" s="153"/>
    </row>
    <row r="56">
      <c r="P56" s="153"/>
    </row>
    <row r="57">
      <c r="P57" s="153"/>
    </row>
    <row r="58">
      <c r="P58" s="153"/>
    </row>
    <row r="59">
      <c r="P59" s="153"/>
    </row>
    <row r="60">
      <c r="P60" s="153"/>
    </row>
    <row r="61">
      <c r="P61" s="153"/>
    </row>
    <row r="62">
      <c r="P62" s="153"/>
    </row>
    <row r="63">
      <c r="P63" s="153"/>
    </row>
    <row r="64">
      <c r="P64" s="153"/>
    </row>
    <row r="65">
      <c r="P65" s="153"/>
    </row>
    <row r="66">
      <c r="P66" s="153"/>
    </row>
    <row r="67">
      <c r="P67" s="153"/>
    </row>
    <row r="68">
      <c r="P68" s="153"/>
    </row>
    <row r="69">
      <c r="P69" s="153"/>
    </row>
    <row r="70">
      <c r="P70" s="153"/>
    </row>
    <row r="71">
      <c r="P71" s="153"/>
    </row>
    <row r="72">
      <c r="P72" s="153"/>
    </row>
    <row r="73">
      <c r="P73" s="153"/>
    </row>
    <row r="74">
      <c r="P74" s="153"/>
    </row>
    <row r="75">
      <c r="P75" s="153"/>
    </row>
    <row r="76">
      <c r="P76" s="153"/>
    </row>
    <row r="77">
      <c r="P77" s="153"/>
    </row>
    <row r="78">
      <c r="P78" s="153"/>
    </row>
    <row r="79">
      <c r="P79" s="153"/>
    </row>
    <row r="80">
      <c r="P80" s="153"/>
    </row>
    <row r="81">
      <c r="P81" s="153"/>
    </row>
    <row r="82">
      <c r="P82" s="153"/>
    </row>
    <row r="83">
      <c r="P83" s="153"/>
    </row>
    <row r="84">
      <c r="P84" s="153"/>
    </row>
    <row r="85">
      <c r="P85" s="153"/>
    </row>
    <row r="86">
      <c r="P86" s="153"/>
    </row>
    <row r="87">
      <c r="P87" s="153"/>
    </row>
    <row r="88">
      <c r="P88" s="153"/>
    </row>
    <row r="89">
      <c r="P89" s="153"/>
    </row>
    <row r="90">
      <c r="P90" s="153"/>
    </row>
    <row r="91">
      <c r="P91" s="153"/>
    </row>
    <row r="92">
      <c r="P92" s="153"/>
    </row>
    <row r="93">
      <c r="P93" s="153"/>
    </row>
    <row r="94">
      <c r="P94" s="153"/>
    </row>
    <row r="95">
      <c r="P95" s="153"/>
    </row>
    <row r="96">
      <c r="P96" s="153"/>
    </row>
    <row r="97">
      <c r="P97" s="153"/>
    </row>
    <row r="98">
      <c r="P98" s="153"/>
    </row>
    <row r="99">
      <c r="P99" s="153"/>
    </row>
    <row r="100">
      <c r="P100" s="153"/>
    </row>
    <row r="101">
      <c r="P101" s="153"/>
    </row>
    <row r="102">
      <c r="P102" s="153"/>
    </row>
    <row r="103">
      <c r="P103" s="153"/>
    </row>
    <row r="104">
      <c r="P104" s="153"/>
    </row>
    <row r="105">
      <c r="P105" s="153"/>
    </row>
    <row r="106">
      <c r="P106" s="153"/>
    </row>
    <row r="107">
      <c r="P107" s="153"/>
    </row>
    <row r="108">
      <c r="P108" s="153"/>
    </row>
    <row r="109">
      <c r="P109" s="153"/>
    </row>
    <row r="110">
      <c r="P110" s="153"/>
    </row>
    <row r="111">
      <c r="P111" s="153"/>
    </row>
    <row r="112">
      <c r="P112" s="153"/>
    </row>
    <row r="113">
      <c r="P113" s="153"/>
    </row>
    <row r="114">
      <c r="P114" s="153"/>
    </row>
    <row r="115">
      <c r="P115" s="153"/>
    </row>
    <row r="116">
      <c r="P116" s="153"/>
    </row>
    <row r="117">
      <c r="P117" s="153"/>
    </row>
    <row r="118">
      <c r="P118" s="153"/>
    </row>
    <row r="119">
      <c r="P119" s="153"/>
    </row>
    <row r="120">
      <c r="P120" s="153"/>
    </row>
    <row r="121">
      <c r="P121" s="153"/>
    </row>
    <row r="122">
      <c r="P122" s="153"/>
    </row>
    <row r="123">
      <c r="P123" s="153"/>
    </row>
    <row r="124">
      <c r="P124" s="153"/>
    </row>
    <row r="125">
      <c r="P125" s="153"/>
    </row>
    <row r="126">
      <c r="P126" s="153"/>
    </row>
    <row r="127">
      <c r="P127" s="153"/>
    </row>
    <row r="128">
      <c r="P128" s="153"/>
    </row>
    <row r="129">
      <c r="P129" s="153"/>
    </row>
    <row r="130">
      <c r="P130" s="153"/>
    </row>
    <row r="131">
      <c r="P131" s="153"/>
    </row>
    <row r="132">
      <c r="P132" s="153"/>
    </row>
    <row r="133">
      <c r="P133" s="153"/>
    </row>
    <row r="134">
      <c r="P134" s="153"/>
    </row>
    <row r="135">
      <c r="P135" s="153"/>
    </row>
    <row r="136">
      <c r="P136" s="153"/>
    </row>
    <row r="137">
      <c r="P137" s="153"/>
    </row>
    <row r="138">
      <c r="P138" s="153"/>
    </row>
    <row r="139">
      <c r="P139" s="153"/>
    </row>
    <row r="140">
      <c r="P140" s="153"/>
    </row>
    <row r="141">
      <c r="P141" s="153"/>
    </row>
    <row r="142">
      <c r="P142" s="153"/>
    </row>
    <row r="143">
      <c r="P143" s="153"/>
    </row>
    <row r="144">
      <c r="P144" s="153"/>
    </row>
    <row r="145">
      <c r="P145" s="153"/>
    </row>
    <row r="146">
      <c r="P146" s="153"/>
    </row>
    <row r="147">
      <c r="P147" s="153"/>
    </row>
    <row r="148">
      <c r="P148" s="153"/>
    </row>
    <row r="149">
      <c r="P149" s="153"/>
    </row>
    <row r="150">
      <c r="P150" s="153"/>
    </row>
    <row r="151">
      <c r="P151" s="153"/>
    </row>
    <row r="152">
      <c r="P152" s="153"/>
    </row>
    <row r="153">
      <c r="P153" s="153"/>
    </row>
    <row r="154">
      <c r="P154" s="153"/>
    </row>
    <row r="155">
      <c r="P155" s="153"/>
    </row>
    <row r="156">
      <c r="P156" s="153"/>
    </row>
    <row r="157">
      <c r="P157" s="153"/>
    </row>
    <row r="158">
      <c r="P158" s="153"/>
    </row>
    <row r="159">
      <c r="P159" s="153"/>
    </row>
    <row r="160">
      <c r="P160" s="153"/>
    </row>
    <row r="161">
      <c r="P161" s="153"/>
    </row>
    <row r="162">
      <c r="P162" s="153"/>
    </row>
    <row r="163">
      <c r="P163" s="153"/>
    </row>
    <row r="164">
      <c r="P164" s="153"/>
    </row>
    <row r="165">
      <c r="P165" s="153"/>
    </row>
    <row r="166">
      <c r="P166" s="153"/>
    </row>
    <row r="167">
      <c r="P167" s="153"/>
    </row>
    <row r="168">
      <c r="P168" s="153"/>
    </row>
    <row r="169">
      <c r="P169" s="153"/>
    </row>
    <row r="170">
      <c r="P170" s="153"/>
    </row>
    <row r="171">
      <c r="P171" s="153"/>
    </row>
    <row r="172">
      <c r="P172" s="153"/>
    </row>
    <row r="173">
      <c r="P173" s="153"/>
    </row>
    <row r="174">
      <c r="P174" s="153"/>
    </row>
    <row r="175">
      <c r="P175" s="153"/>
    </row>
    <row r="176">
      <c r="P176" s="153"/>
    </row>
    <row r="177">
      <c r="P177" s="153"/>
    </row>
    <row r="178">
      <c r="P178" s="153"/>
    </row>
    <row r="179">
      <c r="P179" s="153"/>
    </row>
    <row r="180">
      <c r="P180" s="153"/>
    </row>
    <row r="181">
      <c r="P181" s="153"/>
    </row>
    <row r="182">
      <c r="P182" s="153"/>
    </row>
    <row r="183">
      <c r="P183" s="153"/>
    </row>
    <row r="184">
      <c r="P184" s="153"/>
    </row>
    <row r="185">
      <c r="P185" s="153"/>
    </row>
    <row r="186">
      <c r="P186" s="153"/>
    </row>
    <row r="187">
      <c r="P187" s="153"/>
    </row>
    <row r="188">
      <c r="P188" s="153"/>
    </row>
    <row r="189">
      <c r="P189" s="153"/>
    </row>
    <row r="190">
      <c r="P190" s="153"/>
    </row>
    <row r="191">
      <c r="P191" s="153"/>
    </row>
    <row r="192">
      <c r="P192" s="153"/>
    </row>
    <row r="193">
      <c r="P193" s="153"/>
    </row>
    <row r="194">
      <c r="P194" s="153"/>
    </row>
    <row r="195">
      <c r="P195" s="153"/>
    </row>
    <row r="196">
      <c r="P196" s="153"/>
    </row>
    <row r="197">
      <c r="P197" s="153"/>
    </row>
    <row r="198">
      <c r="P198" s="153"/>
    </row>
    <row r="199">
      <c r="P199" s="153"/>
    </row>
    <row r="200">
      <c r="P200" s="153"/>
    </row>
    <row r="201">
      <c r="P201" s="153"/>
    </row>
    <row r="202">
      <c r="P202" s="153"/>
    </row>
    <row r="203">
      <c r="P203" s="153"/>
    </row>
    <row r="204">
      <c r="P204" s="153"/>
    </row>
    <row r="205">
      <c r="P205" s="153"/>
    </row>
    <row r="206">
      <c r="P206" s="153"/>
    </row>
    <row r="207">
      <c r="P207" s="153"/>
    </row>
    <row r="208">
      <c r="P208" s="153"/>
    </row>
    <row r="209">
      <c r="P209" s="153"/>
    </row>
    <row r="210">
      <c r="P210" s="153"/>
    </row>
    <row r="211">
      <c r="P211" s="153"/>
    </row>
    <row r="212">
      <c r="P212" s="153"/>
    </row>
    <row r="213">
      <c r="P213" s="153"/>
    </row>
    <row r="214">
      <c r="P214" s="153"/>
    </row>
    <row r="215">
      <c r="P215" s="153"/>
    </row>
    <row r="216">
      <c r="P216" s="153"/>
    </row>
    <row r="217">
      <c r="P217" s="153"/>
    </row>
    <row r="218">
      <c r="P218" s="153"/>
    </row>
    <row r="219">
      <c r="P219" s="153"/>
    </row>
    <row r="220">
      <c r="P220" s="153"/>
    </row>
    <row r="221">
      <c r="P221" s="153"/>
    </row>
    <row r="222">
      <c r="P222" s="153"/>
    </row>
    <row r="223">
      <c r="P223" s="153"/>
    </row>
    <row r="224">
      <c r="P224" s="153"/>
    </row>
    <row r="225">
      <c r="P225" s="153"/>
    </row>
    <row r="226">
      <c r="P226" s="153"/>
    </row>
    <row r="227">
      <c r="P227" s="153"/>
    </row>
    <row r="228">
      <c r="P228" s="153"/>
    </row>
    <row r="229">
      <c r="P229" s="153"/>
    </row>
    <row r="230">
      <c r="P230" s="153"/>
    </row>
    <row r="231">
      <c r="P231" s="153"/>
    </row>
    <row r="232">
      <c r="P232" s="153"/>
    </row>
    <row r="233">
      <c r="P233" s="153"/>
    </row>
    <row r="234">
      <c r="P234" s="153"/>
    </row>
    <row r="235">
      <c r="P235" s="153"/>
    </row>
    <row r="236">
      <c r="P236" s="153"/>
    </row>
    <row r="237">
      <c r="P237" s="153"/>
    </row>
    <row r="238">
      <c r="P238" s="153"/>
    </row>
    <row r="239">
      <c r="P239" s="153"/>
    </row>
    <row r="240">
      <c r="P240" s="153"/>
    </row>
    <row r="241">
      <c r="P241" s="153"/>
    </row>
    <row r="242">
      <c r="P242" s="153"/>
    </row>
    <row r="243">
      <c r="P243" s="153"/>
    </row>
    <row r="244">
      <c r="P244" s="153"/>
    </row>
    <row r="245">
      <c r="P245" s="153"/>
    </row>
    <row r="246">
      <c r="P246" s="153"/>
    </row>
    <row r="247">
      <c r="P247" s="153"/>
    </row>
    <row r="248">
      <c r="P248" s="153"/>
    </row>
    <row r="249">
      <c r="P249" s="153"/>
    </row>
    <row r="250">
      <c r="P250" s="153"/>
    </row>
    <row r="251">
      <c r="P251" s="153"/>
    </row>
    <row r="252">
      <c r="P252" s="153"/>
    </row>
    <row r="253">
      <c r="P253" s="153"/>
    </row>
    <row r="254">
      <c r="P254" s="153"/>
    </row>
    <row r="255">
      <c r="P255" s="153"/>
    </row>
    <row r="256">
      <c r="P256" s="153"/>
    </row>
    <row r="257">
      <c r="P257" s="153"/>
    </row>
    <row r="258">
      <c r="P258" s="153"/>
    </row>
    <row r="259">
      <c r="P259" s="153"/>
    </row>
    <row r="260">
      <c r="P260" s="153"/>
    </row>
    <row r="261">
      <c r="P261" s="153"/>
    </row>
    <row r="262">
      <c r="P262" s="153"/>
    </row>
    <row r="263">
      <c r="P263" s="153"/>
    </row>
    <row r="264">
      <c r="P264" s="153"/>
    </row>
    <row r="265">
      <c r="P265" s="153"/>
    </row>
    <row r="266">
      <c r="P266" s="153"/>
    </row>
    <row r="267">
      <c r="P267" s="153"/>
    </row>
    <row r="268">
      <c r="P268" s="153"/>
    </row>
    <row r="269">
      <c r="P269" s="153"/>
    </row>
    <row r="270">
      <c r="P270" s="153"/>
    </row>
    <row r="271">
      <c r="P271" s="153"/>
    </row>
    <row r="272">
      <c r="P272" s="153"/>
    </row>
    <row r="273">
      <c r="P273" s="153"/>
    </row>
    <row r="274">
      <c r="P274" s="153"/>
    </row>
    <row r="275">
      <c r="P275" s="153"/>
    </row>
    <row r="276">
      <c r="P276" s="153"/>
    </row>
    <row r="277">
      <c r="P277" s="153"/>
    </row>
    <row r="278">
      <c r="P278" s="153"/>
    </row>
    <row r="279">
      <c r="P279" s="153"/>
    </row>
    <row r="280">
      <c r="P280" s="153"/>
    </row>
    <row r="281">
      <c r="P281" s="153"/>
    </row>
    <row r="282">
      <c r="P282" s="153"/>
    </row>
    <row r="283">
      <c r="P283" s="153"/>
    </row>
    <row r="284">
      <c r="P284" s="153"/>
    </row>
    <row r="285">
      <c r="P285" s="153"/>
    </row>
    <row r="286">
      <c r="P286" s="153"/>
    </row>
    <row r="287">
      <c r="P287" s="153"/>
    </row>
    <row r="288">
      <c r="P288" s="153"/>
    </row>
    <row r="289">
      <c r="P289" s="153"/>
    </row>
    <row r="290">
      <c r="P290" s="153"/>
    </row>
    <row r="291">
      <c r="P291" s="153"/>
    </row>
    <row r="292">
      <c r="P292" s="153"/>
    </row>
    <row r="293">
      <c r="P293" s="153"/>
    </row>
    <row r="294">
      <c r="P294" s="153"/>
    </row>
    <row r="295">
      <c r="P295" s="153"/>
    </row>
    <row r="296">
      <c r="P296" s="153"/>
    </row>
    <row r="297">
      <c r="P297" s="153"/>
    </row>
    <row r="298">
      <c r="P298" s="153"/>
    </row>
    <row r="299">
      <c r="P299" s="153"/>
    </row>
    <row r="300">
      <c r="P300" s="153"/>
    </row>
    <row r="301">
      <c r="P301" s="153"/>
    </row>
    <row r="302">
      <c r="P302" s="153"/>
    </row>
    <row r="303">
      <c r="P303" s="153"/>
    </row>
    <row r="304">
      <c r="P304" s="153"/>
    </row>
    <row r="305">
      <c r="P305" s="153"/>
    </row>
    <row r="306">
      <c r="P306" s="153"/>
    </row>
    <row r="307">
      <c r="P307" s="153"/>
    </row>
    <row r="308">
      <c r="P308" s="153"/>
    </row>
    <row r="309">
      <c r="P309" s="153"/>
    </row>
    <row r="310">
      <c r="P310" s="153"/>
    </row>
    <row r="311">
      <c r="P311" s="153"/>
    </row>
    <row r="312">
      <c r="P312" s="153"/>
    </row>
    <row r="313">
      <c r="P313" s="153"/>
    </row>
    <row r="314">
      <c r="P314" s="153"/>
    </row>
    <row r="315">
      <c r="P315" s="153"/>
    </row>
    <row r="316">
      <c r="P316" s="153"/>
    </row>
    <row r="317">
      <c r="P317" s="153"/>
    </row>
    <row r="318">
      <c r="P318" s="153"/>
    </row>
    <row r="319">
      <c r="P319" s="153"/>
    </row>
    <row r="320">
      <c r="P320" s="153"/>
    </row>
    <row r="321">
      <c r="P321" s="153"/>
    </row>
    <row r="322">
      <c r="P322" s="153"/>
    </row>
    <row r="323">
      <c r="P323" s="153"/>
    </row>
    <row r="324">
      <c r="P324" s="153"/>
    </row>
    <row r="325">
      <c r="P325" s="153"/>
    </row>
    <row r="326">
      <c r="P326" s="153"/>
    </row>
    <row r="327">
      <c r="P327" s="153"/>
    </row>
    <row r="328">
      <c r="P328" s="153"/>
    </row>
    <row r="329">
      <c r="P329" s="153"/>
    </row>
    <row r="330">
      <c r="P330" s="153"/>
    </row>
    <row r="331">
      <c r="P331" s="153"/>
    </row>
    <row r="332">
      <c r="P332" s="153"/>
    </row>
    <row r="333">
      <c r="P333" s="153"/>
    </row>
    <row r="334">
      <c r="P334" s="153"/>
    </row>
    <row r="335">
      <c r="P335" s="153"/>
    </row>
    <row r="336">
      <c r="P336" s="153"/>
    </row>
    <row r="337">
      <c r="P337" s="153"/>
    </row>
    <row r="338">
      <c r="P338" s="153"/>
    </row>
    <row r="339">
      <c r="P339" s="153"/>
    </row>
    <row r="340">
      <c r="P340" s="153"/>
    </row>
    <row r="341">
      <c r="P341" s="153"/>
    </row>
    <row r="342">
      <c r="P342" s="153"/>
    </row>
    <row r="343">
      <c r="P343" s="153"/>
    </row>
    <row r="344">
      <c r="P344" s="153"/>
    </row>
    <row r="345">
      <c r="P345" s="153"/>
    </row>
    <row r="346">
      <c r="P346" s="153"/>
    </row>
    <row r="347">
      <c r="P347" s="153"/>
    </row>
    <row r="348">
      <c r="P348" s="153"/>
    </row>
    <row r="349">
      <c r="P349" s="153"/>
    </row>
    <row r="350">
      <c r="P350" s="153"/>
    </row>
    <row r="351">
      <c r="P351" s="153"/>
    </row>
    <row r="352">
      <c r="P352" s="153"/>
    </row>
    <row r="353">
      <c r="P353" s="153"/>
    </row>
    <row r="354">
      <c r="P354" s="153"/>
    </row>
    <row r="355">
      <c r="P355" s="153"/>
    </row>
    <row r="356">
      <c r="P356" s="153"/>
    </row>
    <row r="357">
      <c r="P357" s="153"/>
    </row>
    <row r="358">
      <c r="P358" s="153"/>
    </row>
    <row r="359">
      <c r="P359" s="153"/>
    </row>
    <row r="360">
      <c r="P360" s="153"/>
    </row>
    <row r="361">
      <c r="P361" s="153"/>
    </row>
    <row r="362">
      <c r="P362" s="153"/>
    </row>
    <row r="363">
      <c r="P363" s="153"/>
    </row>
    <row r="364">
      <c r="P364" s="153"/>
    </row>
    <row r="365">
      <c r="P365" s="153"/>
    </row>
    <row r="366">
      <c r="P366" s="153"/>
    </row>
    <row r="367">
      <c r="P367" s="153"/>
    </row>
    <row r="368">
      <c r="P368" s="153"/>
    </row>
    <row r="369">
      <c r="P369" s="153"/>
    </row>
    <row r="370">
      <c r="P370" s="153"/>
    </row>
    <row r="371">
      <c r="P371" s="153"/>
    </row>
    <row r="372">
      <c r="P372" s="153"/>
    </row>
    <row r="373">
      <c r="P373" s="153"/>
    </row>
    <row r="374">
      <c r="P374" s="153"/>
    </row>
    <row r="375">
      <c r="P375" s="153"/>
    </row>
    <row r="376">
      <c r="P376" s="153"/>
    </row>
    <row r="377">
      <c r="P377" s="153"/>
    </row>
    <row r="378">
      <c r="P378" s="153"/>
    </row>
    <row r="379">
      <c r="P379" s="153"/>
    </row>
    <row r="380">
      <c r="P380" s="153"/>
    </row>
    <row r="381">
      <c r="P381" s="153"/>
    </row>
    <row r="382">
      <c r="P382" s="153"/>
    </row>
    <row r="383">
      <c r="P383" s="153"/>
    </row>
    <row r="384">
      <c r="P384" s="153"/>
    </row>
    <row r="385">
      <c r="P385" s="153"/>
    </row>
    <row r="386">
      <c r="P386" s="153"/>
    </row>
    <row r="387">
      <c r="P387" s="153"/>
    </row>
    <row r="388">
      <c r="P388" s="153"/>
    </row>
    <row r="389">
      <c r="P389" s="153"/>
    </row>
    <row r="390">
      <c r="P390" s="153"/>
    </row>
    <row r="391">
      <c r="P391" s="153"/>
    </row>
    <row r="392">
      <c r="P392" s="153"/>
    </row>
    <row r="393">
      <c r="P393" s="153"/>
    </row>
    <row r="394">
      <c r="P394" s="153"/>
    </row>
    <row r="395">
      <c r="P395" s="153"/>
    </row>
    <row r="396">
      <c r="P396" s="153"/>
    </row>
    <row r="397">
      <c r="P397" s="153"/>
    </row>
    <row r="398">
      <c r="P398" s="153"/>
    </row>
    <row r="399">
      <c r="P399" s="153"/>
    </row>
    <row r="400">
      <c r="P400" s="153"/>
    </row>
    <row r="401">
      <c r="P401" s="153"/>
    </row>
    <row r="402">
      <c r="P402" s="153"/>
    </row>
    <row r="403">
      <c r="P403" s="153"/>
    </row>
    <row r="404">
      <c r="P404" s="153"/>
    </row>
    <row r="405">
      <c r="P405" s="153"/>
    </row>
    <row r="406">
      <c r="P406" s="153"/>
    </row>
    <row r="407">
      <c r="P407" s="153"/>
    </row>
    <row r="408">
      <c r="P408" s="153"/>
    </row>
    <row r="409">
      <c r="P409" s="153"/>
    </row>
    <row r="410">
      <c r="P410" s="153"/>
    </row>
    <row r="411">
      <c r="P411" s="153"/>
    </row>
    <row r="412">
      <c r="P412" s="153"/>
    </row>
    <row r="413">
      <c r="P413" s="153"/>
    </row>
    <row r="414">
      <c r="P414" s="153"/>
    </row>
    <row r="415">
      <c r="P415" s="153"/>
    </row>
    <row r="416">
      <c r="P416" s="153"/>
    </row>
    <row r="417">
      <c r="P417" s="153"/>
    </row>
    <row r="418">
      <c r="P418" s="153"/>
    </row>
    <row r="419">
      <c r="P419" s="153"/>
    </row>
    <row r="420">
      <c r="P420" s="153"/>
    </row>
    <row r="421">
      <c r="P421" s="153"/>
    </row>
    <row r="422">
      <c r="P422" s="153"/>
    </row>
    <row r="423">
      <c r="P423" s="153"/>
    </row>
    <row r="424">
      <c r="P424" s="153"/>
    </row>
    <row r="425">
      <c r="P425" s="153"/>
    </row>
    <row r="426">
      <c r="P426" s="153"/>
    </row>
    <row r="427">
      <c r="P427" s="153"/>
    </row>
    <row r="428">
      <c r="P428" s="153"/>
    </row>
    <row r="429">
      <c r="P429" s="153"/>
    </row>
    <row r="430">
      <c r="P430" s="153"/>
    </row>
    <row r="431">
      <c r="P431" s="153"/>
    </row>
    <row r="432">
      <c r="P432" s="153"/>
    </row>
    <row r="433">
      <c r="P433" s="153"/>
    </row>
    <row r="434">
      <c r="P434" s="153"/>
    </row>
    <row r="435">
      <c r="P435" s="153"/>
    </row>
    <row r="436">
      <c r="P436" s="153"/>
    </row>
    <row r="437">
      <c r="P437" s="153"/>
    </row>
    <row r="438">
      <c r="P438" s="153"/>
    </row>
    <row r="439">
      <c r="P439" s="153"/>
    </row>
    <row r="440">
      <c r="P440" s="153"/>
    </row>
    <row r="441">
      <c r="P441" s="153"/>
    </row>
    <row r="442">
      <c r="P442" s="153"/>
    </row>
    <row r="443">
      <c r="P443" s="153"/>
    </row>
    <row r="444">
      <c r="P444" s="153"/>
    </row>
    <row r="445">
      <c r="P445" s="153"/>
    </row>
    <row r="446">
      <c r="P446" s="153"/>
    </row>
    <row r="447">
      <c r="P447" s="153"/>
    </row>
    <row r="448">
      <c r="P448" s="153"/>
    </row>
    <row r="449">
      <c r="P449" s="153"/>
    </row>
    <row r="450">
      <c r="P450" s="153"/>
    </row>
    <row r="451">
      <c r="P451" s="153"/>
    </row>
    <row r="452">
      <c r="P452" s="153"/>
    </row>
    <row r="453">
      <c r="P453" s="153"/>
    </row>
    <row r="454">
      <c r="P454" s="153"/>
    </row>
    <row r="455">
      <c r="P455" s="153"/>
    </row>
    <row r="456">
      <c r="P456" s="153"/>
    </row>
    <row r="457">
      <c r="P457" s="153"/>
    </row>
    <row r="458">
      <c r="P458" s="153"/>
    </row>
    <row r="459">
      <c r="P459" s="153"/>
    </row>
    <row r="460">
      <c r="P460" s="153"/>
    </row>
    <row r="461">
      <c r="P461" s="153"/>
    </row>
    <row r="462">
      <c r="P462" s="153"/>
    </row>
    <row r="463">
      <c r="P463" s="153"/>
    </row>
    <row r="464">
      <c r="P464" s="153"/>
    </row>
    <row r="465">
      <c r="P465" s="153"/>
    </row>
    <row r="466">
      <c r="P466" s="153"/>
    </row>
    <row r="467">
      <c r="P467" s="153"/>
    </row>
    <row r="468">
      <c r="P468" s="153"/>
    </row>
    <row r="469">
      <c r="P469" s="153"/>
    </row>
    <row r="470">
      <c r="P470" s="153"/>
    </row>
    <row r="471">
      <c r="P471" s="153"/>
    </row>
    <row r="472">
      <c r="P472" s="153"/>
    </row>
    <row r="473">
      <c r="P473" s="153"/>
    </row>
    <row r="474">
      <c r="P474" s="153"/>
    </row>
    <row r="475">
      <c r="P475" s="153"/>
    </row>
    <row r="476">
      <c r="P476" s="153"/>
    </row>
    <row r="477">
      <c r="P477" s="153"/>
    </row>
    <row r="478">
      <c r="P478" s="153"/>
    </row>
    <row r="479">
      <c r="P479" s="153"/>
    </row>
    <row r="480">
      <c r="P480" s="153"/>
    </row>
    <row r="481">
      <c r="P481" s="153"/>
    </row>
    <row r="482">
      <c r="P482" s="153"/>
    </row>
    <row r="483">
      <c r="P483" s="153"/>
    </row>
    <row r="484">
      <c r="P484" s="153"/>
    </row>
    <row r="485">
      <c r="P485" s="153"/>
    </row>
    <row r="486">
      <c r="P486" s="153"/>
    </row>
    <row r="487">
      <c r="P487" s="153"/>
    </row>
    <row r="488">
      <c r="P488" s="153"/>
    </row>
    <row r="489">
      <c r="P489" s="153"/>
    </row>
    <row r="490">
      <c r="P490" s="153"/>
    </row>
    <row r="491">
      <c r="P491" s="153"/>
    </row>
    <row r="492">
      <c r="P492" s="153"/>
    </row>
    <row r="493">
      <c r="P493" s="153"/>
    </row>
    <row r="494">
      <c r="P494" s="153"/>
    </row>
    <row r="495">
      <c r="P495" s="153"/>
    </row>
    <row r="496">
      <c r="P496" s="153"/>
    </row>
    <row r="497">
      <c r="P497" s="153"/>
    </row>
    <row r="498">
      <c r="P498" s="153"/>
    </row>
    <row r="499">
      <c r="P499" s="153"/>
    </row>
    <row r="500">
      <c r="P500" s="153"/>
    </row>
    <row r="501">
      <c r="P501" s="153"/>
    </row>
    <row r="502">
      <c r="P502" s="153"/>
    </row>
    <row r="503">
      <c r="P503" s="153"/>
    </row>
    <row r="504">
      <c r="P504" s="153"/>
    </row>
    <row r="505">
      <c r="P505" s="153"/>
    </row>
    <row r="506">
      <c r="P506" s="153"/>
    </row>
    <row r="507">
      <c r="P507" s="153"/>
    </row>
    <row r="508">
      <c r="P508" s="153"/>
    </row>
    <row r="509">
      <c r="P509" s="153"/>
    </row>
    <row r="510">
      <c r="P510" s="153"/>
    </row>
    <row r="511">
      <c r="P511" s="153"/>
    </row>
    <row r="512">
      <c r="P512" s="153"/>
    </row>
    <row r="513">
      <c r="P513" s="153"/>
    </row>
    <row r="514">
      <c r="P514" s="153"/>
    </row>
    <row r="515">
      <c r="P515" s="153"/>
    </row>
    <row r="516">
      <c r="P516" s="153"/>
    </row>
    <row r="517">
      <c r="P517" s="153"/>
    </row>
    <row r="518">
      <c r="P518" s="153"/>
    </row>
    <row r="519">
      <c r="P519" s="153"/>
    </row>
    <row r="520">
      <c r="P520" s="153"/>
    </row>
    <row r="521">
      <c r="P521" s="153"/>
    </row>
    <row r="522">
      <c r="P522" s="153"/>
    </row>
    <row r="523">
      <c r="P523" s="153"/>
    </row>
    <row r="524">
      <c r="P524" s="153"/>
    </row>
    <row r="525">
      <c r="P525" s="153"/>
    </row>
    <row r="526">
      <c r="P526" s="153"/>
    </row>
    <row r="527">
      <c r="P527" s="153"/>
    </row>
    <row r="528">
      <c r="P528" s="153"/>
    </row>
    <row r="529">
      <c r="P529" s="153"/>
    </row>
    <row r="530">
      <c r="P530" s="153"/>
    </row>
    <row r="531">
      <c r="P531" s="153"/>
    </row>
    <row r="532">
      <c r="P532" s="153"/>
    </row>
    <row r="533">
      <c r="P533" s="153"/>
    </row>
    <row r="534">
      <c r="P534" s="153"/>
    </row>
    <row r="535">
      <c r="P535" s="153"/>
    </row>
    <row r="536">
      <c r="P536" s="153"/>
    </row>
    <row r="537">
      <c r="P537" s="153"/>
    </row>
    <row r="538">
      <c r="P538" s="153"/>
    </row>
    <row r="539">
      <c r="P539" s="153"/>
    </row>
    <row r="540">
      <c r="P540" s="153"/>
    </row>
    <row r="541">
      <c r="P541" s="153"/>
    </row>
    <row r="542">
      <c r="P542" s="153"/>
    </row>
    <row r="543">
      <c r="P543" s="153"/>
    </row>
    <row r="544">
      <c r="P544" s="153"/>
    </row>
    <row r="545">
      <c r="P545" s="153"/>
    </row>
    <row r="546">
      <c r="P546" s="153"/>
    </row>
    <row r="547">
      <c r="P547" s="153"/>
    </row>
    <row r="548">
      <c r="P548" s="153"/>
    </row>
    <row r="549">
      <c r="P549" s="153"/>
    </row>
    <row r="550">
      <c r="P550" s="153"/>
    </row>
    <row r="551">
      <c r="P551" s="153"/>
    </row>
    <row r="552">
      <c r="P552" s="153"/>
    </row>
    <row r="553">
      <c r="P553" s="153"/>
    </row>
    <row r="554">
      <c r="P554" s="153"/>
    </row>
    <row r="555">
      <c r="P555" s="153"/>
    </row>
    <row r="556">
      <c r="P556" s="153"/>
    </row>
    <row r="557">
      <c r="P557" s="153"/>
    </row>
    <row r="558">
      <c r="P558" s="153"/>
    </row>
    <row r="559">
      <c r="P559" s="153"/>
    </row>
    <row r="560">
      <c r="P560" s="153"/>
    </row>
    <row r="561">
      <c r="P561" s="153"/>
    </row>
    <row r="562">
      <c r="P562" s="153"/>
    </row>
    <row r="563">
      <c r="P563" s="153"/>
    </row>
    <row r="564">
      <c r="P564" s="153"/>
    </row>
    <row r="565">
      <c r="P565" s="153"/>
    </row>
    <row r="566">
      <c r="P566" s="153"/>
    </row>
    <row r="567">
      <c r="P567" s="153"/>
    </row>
    <row r="568">
      <c r="P568" s="153"/>
    </row>
    <row r="569">
      <c r="P569" s="153"/>
    </row>
    <row r="570">
      <c r="P570" s="153"/>
    </row>
    <row r="571">
      <c r="P571" s="153"/>
    </row>
    <row r="572">
      <c r="P572" s="153"/>
    </row>
    <row r="573">
      <c r="P573" s="153"/>
    </row>
    <row r="574">
      <c r="P574" s="153"/>
    </row>
    <row r="575">
      <c r="P575" s="153"/>
    </row>
    <row r="576">
      <c r="P576" s="153"/>
    </row>
    <row r="577">
      <c r="P577" s="153"/>
    </row>
    <row r="578">
      <c r="P578" s="153"/>
    </row>
    <row r="579">
      <c r="P579" s="153"/>
    </row>
    <row r="580">
      <c r="P580" s="153"/>
    </row>
    <row r="581">
      <c r="P581" s="153"/>
    </row>
    <row r="582">
      <c r="P582" s="153"/>
    </row>
    <row r="583">
      <c r="P583" s="153"/>
    </row>
    <row r="584">
      <c r="P584" s="153"/>
    </row>
    <row r="585">
      <c r="P585" s="153"/>
    </row>
    <row r="586">
      <c r="P586" s="153"/>
    </row>
    <row r="587">
      <c r="P587" s="153"/>
    </row>
    <row r="588">
      <c r="P588" s="153"/>
    </row>
    <row r="589">
      <c r="P589" s="153"/>
    </row>
    <row r="590">
      <c r="P590" s="153"/>
    </row>
    <row r="591">
      <c r="P591" s="153"/>
    </row>
    <row r="592">
      <c r="P592" s="153"/>
    </row>
    <row r="593">
      <c r="P593" s="153"/>
    </row>
    <row r="594">
      <c r="P594" s="153"/>
    </row>
    <row r="595">
      <c r="P595" s="153"/>
    </row>
    <row r="596">
      <c r="P596" s="153"/>
    </row>
    <row r="597">
      <c r="P597" s="153"/>
    </row>
    <row r="598">
      <c r="P598" s="153"/>
    </row>
    <row r="599">
      <c r="P599" s="153"/>
    </row>
    <row r="600">
      <c r="P600" s="153"/>
    </row>
    <row r="601">
      <c r="P601" s="153"/>
    </row>
    <row r="602">
      <c r="P602" s="153"/>
    </row>
    <row r="603">
      <c r="P603" s="153"/>
    </row>
    <row r="604">
      <c r="P604" s="153"/>
    </row>
    <row r="605">
      <c r="P605" s="153"/>
    </row>
    <row r="606">
      <c r="P606" s="153"/>
    </row>
    <row r="607">
      <c r="P607" s="153"/>
    </row>
    <row r="608">
      <c r="P608" s="153"/>
    </row>
    <row r="609">
      <c r="P609" s="153"/>
    </row>
    <row r="610">
      <c r="P610" s="153"/>
    </row>
    <row r="611">
      <c r="P611" s="153"/>
    </row>
    <row r="612">
      <c r="P612" s="153"/>
    </row>
    <row r="613">
      <c r="P613" s="153"/>
    </row>
    <row r="614">
      <c r="P614" s="153"/>
    </row>
    <row r="615">
      <c r="P615" s="153"/>
    </row>
    <row r="616">
      <c r="P616" s="153"/>
    </row>
    <row r="617">
      <c r="P617" s="153"/>
    </row>
    <row r="618">
      <c r="P618" s="153"/>
    </row>
    <row r="619">
      <c r="P619" s="153"/>
    </row>
    <row r="620">
      <c r="P620" s="153"/>
    </row>
    <row r="621">
      <c r="P621" s="153"/>
    </row>
    <row r="622">
      <c r="P622" s="153"/>
    </row>
    <row r="623">
      <c r="P623" s="153"/>
    </row>
    <row r="624">
      <c r="P624" s="153"/>
    </row>
    <row r="625">
      <c r="P625" s="153"/>
    </row>
    <row r="626">
      <c r="P626" s="153"/>
    </row>
    <row r="627">
      <c r="P627" s="153"/>
    </row>
    <row r="628">
      <c r="P628" s="153"/>
    </row>
    <row r="629">
      <c r="P629" s="153"/>
    </row>
    <row r="630">
      <c r="P630" s="153"/>
    </row>
    <row r="631">
      <c r="P631" s="153"/>
    </row>
    <row r="632">
      <c r="P632" s="153"/>
    </row>
    <row r="633">
      <c r="P633" s="153"/>
    </row>
    <row r="634">
      <c r="P634" s="153"/>
    </row>
    <row r="635">
      <c r="P635" s="153"/>
    </row>
    <row r="636">
      <c r="P636" s="153"/>
    </row>
    <row r="637">
      <c r="P637" s="153"/>
    </row>
    <row r="638">
      <c r="P638" s="153"/>
    </row>
    <row r="639">
      <c r="P639" s="153"/>
    </row>
    <row r="640">
      <c r="P640" s="153"/>
    </row>
    <row r="641">
      <c r="P641" s="153"/>
    </row>
    <row r="642">
      <c r="P642" s="153"/>
    </row>
    <row r="643">
      <c r="P643" s="153"/>
    </row>
    <row r="644">
      <c r="P644" s="153"/>
    </row>
    <row r="645">
      <c r="P645" s="153"/>
    </row>
    <row r="646">
      <c r="P646" s="153"/>
    </row>
    <row r="647">
      <c r="P647" s="153"/>
    </row>
    <row r="648">
      <c r="P648" s="153"/>
    </row>
    <row r="649">
      <c r="P649" s="153"/>
    </row>
    <row r="650">
      <c r="P650" s="153"/>
    </row>
    <row r="651">
      <c r="P651" s="153"/>
    </row>
    <row r="652">
      <c r="P652" s="153"/>
    </row>
    <row r="653">
      <c r="P653" s="153"/>
    </row>
    <row r="654">
      <c r="P654" s="153"/>
    </row>
    <row r="655">
      <c r="P655" s="153"/>
    </row>
    <row r="656">
      <c r="P656" s="153"/>
    </row>
    <row r="657">
      <c r="P657" s="153"/>
    </row>
    <row r="658">
      <c r="P658" s="153"/>
    </row>
    <row r="659">
      <c r="P659" s="153"/>
    </row>
    <row r="660">
      <c r="P660" s="153"/>
    </row>
    <row r="661">
      <c r="P661" s="153"/>
    </row>
    <row r="662">
      <c r="P662" s="153"/>
    </row>
    <row r="663">
      <c r="P663" s="153"/>
    </row>
    <row r="664">
      <c r="P664" s="153"/>
    </row>
    <row r="665">
      <c r="P665" s="153"/>
    </row>
    <row r="666">
      <c r="P666" s="153"/>
    </row>
    <row r="667">
      <c r="P667" s="153"/>
    </row>
    <row r="668">
      <c r="P668" s="153"/>
    </row>
    <row r="669">
      <c r="P669" s="153"/>
    </row>
    <row r="670">
      <c r="P670" s="153"/>
    </row>
    <row r="671">
      <c r="P671" s="153"/>
    </row>
    <row r="672">
      <c r="P672" s="153"/>
    </row>
    <row r="673">
      <c r="P673" s="153"/>
    </row>
    <row r="674">
      <c r="P674" s="153"/>
    </row>
    <row r="675">
      <c r="P675" s="153"/>
    </row>
    <row r="676">
      <c r="P676" s="153"/>
    </row>
    <row r="677">
      <c r="P677" s="153"/>
    </row>
    <row r="678">
      <c r="P678" s="153"/>
    </row>
    <row r="679">
      <c r="P679" s="153"/>
    </row>
    <row r="680">
      <c r="P680" s="153"/>
    </row>
    <row r="681">
      <c r="P681" s="153"/>
    </row>
    <row r="682">
      <c r="P682" s="153"/>
    </row>
    <row r="683">
      <c r="P683" s="153"/>
    </row>
    <row r="684">
      <c r="P684" s="153"/>
    </row>
    <row r="685">
      <c r="P685" s="153"/>
    </row>
    <row r="686">
      <c r="P686" s="153"/>
    </row>
    <row r="687">
      <c r="P687" s="153"/>
    </row>
    <row r="688">
      <c r="P688" s="153"/>
    </row>
    <row r="689">
      <c r="P689" s="153"/>
    </row>
    <row r="690">
      <c r="P690" s="153"/>
    </row>
    <row r="691">
      <c r="P691" s="153"/>
    </row>
    <row r="692">
      <c r="P692" s="153"/>
    </row>
    <row r="693">
      <c r="P693" s="153"/>
    </row>
    <row r="694">
      <c r="P694" s="153"/>
    </row>
    <row r="695">
      <c r="P695" s="153"/>
    </row>
    <row r="696">
      <c r="P696" s="153"/>
    </row>
    <row r="697">
      <c r="P697" s="153"/>
    </row>
    <row r="698">
      <c r="P698" s="153"/>
    </row>
    <row r="699">
      <c r="P699" s="153"/>
    </row>
    <row r="700">
      <c r="P700" s="153"/>
    </row>
    <row r="701">
      <c r="P701" s="153"/>
    </row>
    <row r="702">
      <c r="P702" s="153"/>
    </row>
    <row r="703">
      <c r="P703" s="153"/>
    </row>
    <row r="704">
      <c r="P704" s="153"/>
    </row>
    <row r="705">
      <c r="P705" s="153"/>
    </row>
    <row r="706">
      <c r="P706" s="153"/>
    </row>
    <row r="707">
      <c r="P707" s="153"/>
    </row>
    <row r="708">
      <c r="P708" s="153"/>
    </row>
    <row r="709">
      <c r="P709" s="153"/>
    </row>
    <row r="710">
      <c r="P710" s="153"/>
    </row>
    <row r="711">
      <c r="P711" s="153"/>
    </row>
    <row r="712">
      <c r="P712" s="153"/>
    </row>
    <row r="713">
      <c r="P713" s="153"/>
    </row>
    <row r="714">
      <c r="P714" s="153"/>
    </row>
    <row r="715">
      <c r="P715" s="153"/>
    </row>
    <row r="716">
      <c r="P716" s="153"/>
    </row>
    <row r="717">
      <c r="P717" s="153"/>
    </row>
    <row r="718">
      <c r="P718" s="153"/>
    </row>
    <row r="719">
      <c r="P719" s="153"/>
    </row>
    <row r="720">
      <c r="P720" s="153"/>
    </row>
    <row r="721">
      <c r="P721" s="153"/>
    </row>
    <row r="722">
      <c r="P722" s="153"/>
    </row>
    <row r="723">
      <c r="P723" s="153"/>
    </row>
    <row r="724">
      <c r="P724" s="153"/>
    </row>
    <row r="725">
      <c r="P725" s="153"/>
    </row>
    <row r="726">
      <c r="P726" s="153"/>
    </row>
    <row r="727">
      <c r="P727" s="153"/>
    </row>
    <row r="728">
      <c r="P728" s="153"/>
    </row>
    <row r="729">
      <c r="P729" s="153"/>
    </row>
    <row r="730">
      <c r="P730" s="153"/>
    </row>
    <row r="731">
      <c r="P731" s="153"/>
    </row>
    <row r="732">
      <c r="P732" s="153"/>
    </row>
    <row r="733">
      <c r="P733" s="153"/>
    </row>
    <row r="734">
      <c r="P734" s="153"/>
    </row>
    <row r="735">
      <c r="P735" s="153"/>
    </row>
    <row r="736">
      <c r="P736" s="153"/>
    </row>
    <row r="737">
      <c r="P737" s="153"/>
    </row>
    <row r="738">
      <c r="P738" s="153"/>
    </row>
    <row r="739">
      <c r="P739" s="153"/>
    </row>
    <row r="740">
      <c r="P740" s="153"/>
    </row>
    <row r="741">
      <c r="P741" s="153"/>
    </row>
    <row r="742">
      <c r="P742" s="153"/>
    </row>
    <row r="743">
      <c r="P743" s="153"/>
    </row>
    <row r="744">
      <c r="P744" s="153"/>
    </row>
    <row r="745">
      <c r="P745" s="153"/>
    </row>
    <row r="746">
      <c r="P746" s="153"/>
    </row>
    <row r="747">
      <c r="P747" s="153"/>
    </row>
    <row r="748">
      <c r="P748" s="153"/>
    </row>
    <row r="749">
      <c r="P749" s="153"/>
    </row>
    <row r="750">
      <c r="P750" s="153"/>
    </row>
    <row r="751">
      <c r="P751" s="153"/>
    </row>
    <row r="752">
      <c r="P752" s="153"/>
    </row>
    <row r="753">
      <c r="P753" s="153"/>
    </row>
    <row r="754">
      <c r="P754" s="153"/>
    </row>
    <row r="755">
      <c r="P755" s="153"/>
    </row>
    <row r="756">
      <c r="P756" s="153"/>
    </row>
    <row r="757">
      <c r="P757" s="153"/>
    </row>
    <row r="758">
      <c r="P758" s="153"/>
    </row>
    <row r="759">
      <c r="P759" s="153"/>
    </row>
    <row r="760">
      <c r="P760" s="153"/>
    </row>
    <row r="761">
      <c r="P761" s="153"/>
    </row>
    <row r="762">
      <c r="P762" s="153"/>
    </row>
    <row r="763">
      <c r="P763" s="153"/>
    </row>
    <row r="764">
      <c r="P764" s="153"/>
    </row>
    <row r="765">
      <c r="P765" s="153"/>
    </row>
    <row r="766">
      <c r="P766" s="153"/>
    </row>
    <row r="767">
      <c r="P767" s="153"/>
    </row>
    <row r="768">
      <c r="P768" s="153"/>
    </row>
    <row r="769">
      <c r="P769" s="153"/>
    </row>
    <row r="770">
      <c r="P770" s="153"/>
    </row>
    <row r="771">
      <c r="P771" s="153"/>
    </row>
    <row r="772">
      <c r="P772" s="153"/>
    </row>
    <row r="773">
      <c r="P773" s="153"/>
    </row>
    <row r="774">
      <c r="P774" s="153"/>
    </row>
    <row r="775">
      <c r="P775" s="153"/>
    </row>
    <row r="776">
      <c r="P776" s="153"/>
    </row>
    <row r="777">
      <c r="P777" s="153"/>
    </row>
    <row r="778">
      <c r="P778" s="153"/>
    </row>
    <row r="779">
      <c r="P779" s="153"/>
    </row>
    <row r="780">
      <c r="P780" s="153"/>
    </row>
    <row r="781">
      <c r="P781" s="153"/>
    </row>
    <row r="782">
      <c r="P782" s="153"/>
    </row>
    <row r="783">
      <c r="P783" s="153"/>
    </row>
    <row r="784">
      <c r="P784" s="153"/>
    </row>
    <row r="785">
      <c r="P785" s="153"/>
    </row>
    <row r="786">
      <c r="P786" s="153"/>
    </row>
    <row r="787">
      <c r="P787" s="153"/>
    </row>
    <row r="788">
      <c r="P788" s="153"/>
    </row>
    <row r="789">
      <c r="P789" s="153"/>
    </row>
    <row r="790">
      <c r="P790" s="153"/>
    </row>
    <row r="791">
      <c r="P791" s="153"/>
    </row>
    <row r="792">
      <c r="P792" s="153"/>
    </row>
    <row r="793">
      <c r="P793" s="153"/>
    </row>
    <row r="794">
      <c r="P794" s="153"/>
    </row>
    <row r="795">
      <c r="P795" s="153"/>
    </row>
    <row r="796">
      <c r="P796" s="153"/>
    </row>
    <row r="797">
      <c r="P797" s="153"/>
    </row>
    <row r="798">
      <c r="P798" s="153"/>
    </row>
    <row r="799">
      <c r="P799" s="153"/>
    </row>
    <row r="800">
      <c r="P800" s="153"/>
    </row>
    <row r="801">
      <c r="P801" s="153"/>
    </row>
    <row r="802">
      <c r="P802" s="153"/>
    </row>
    <row r="803">
      <c r="P803" s="153"/>
    </row>
    <row r="804">
      <c r="P804" s="153"/>
    </row>
    <row r="805">
      <c r="P805" s="153"/>
    </row>
    <row r="806">
      <c r="P806" s="153"/>
    </row>
    <row r="807">
      <c r="P807" s="153"/>
    </row>
    <row r="808">
      <c r="P808" s="153"/>
    </row>
    <row r="809">
      <c r="P809" s="153"/>
    </row>
    <row r="810">
      <c r="P810" s="153"/>
    </row>
    <row r="811">
      <c r="P811" s="153"/>
    </row>
    <row r="812">
      <c r="P812" s="153"/>
    </row>
    <row r="813">
      <c r="P813" s="153"/>
    </row>
    <row r="814">
      <c r="P814" s="153"/>
    </row>
    <row r="815">
      <c r="P815" s="153"/>
    </row>
    <row r="816">
      <c r="P816" s="153"/>
    </row>
    <row r="817">
      <c r="P817" s="153"/>
    </row>
    <row r="818">
      <c r="P818" s="153"/>
    </row>
    <row r="819">
      <c r="P819" s="153"/>
    </row>
    <row r="820">
      <c r="P820" s="153"/>
    </row>
    <row r="821">
      <c r="P821" s="153"/>
    </row>
    <row r="822">
      <c r="P822" s="153"/>
    </row>
    <row r="823">
      <c r="P823" s="153"/>
    </row>
    <row r="824">
      <c r="P824" s="153"/>
    </row>
    <row r="825">
      <c r="P825" s="153"/>
    </row>
    <row r="826">
      <c r="P826" s="153"/>
    </row>
    <row r="827">
      <c r="P827" s="153"/>
    </row>
    <row r="828">
      <c r="P828" s="153"/>
    </row>
    <row r="829">
      <c r="P829" s="153"/>
    </row>
    <row r="830">
      <c r="P830" s="153"/>
    </row>
    <row r="831">
      <c r="P831" s="153"/>
    </row>
    <row r="832">
      <c r="P832" s="153"/>
    </row>
    <row r="833">
      <c r="P833" s="153"/>
    </row>
    <row r="834">
      <c r="P834" s="153"/>
    </row>
    <row r="835">
      <c r="P835" s="153"/>
    </row>
    <row r="836">
      <c r="P836" s="153"/>
    </row>
    <row r="837">
      <c r="P837" s="153"/>
    </row>
    <row r="838">
      <c r="P838" s="153"/>
    </row>
    <row r="839">
      <c r="P839" s="153"/>
    </row>
    <row r="840">
      <c r="P840" s="153"/>
    </row>
    <row r="841">
      <c r="P841" s="153"/>
    </row>
    <row r="842">
      <c r="P842" s="153"/>
    </row>
    <row r="843">
      <c r="P843" s="153"/>
    </row>
    <row r="844">
      <c r="P844" s="153"/>
    </row>
    <row r="845">
      <c r="P845" s="153"/>
    </row>
    <row r="846">
      <c r="P846" s="153"/>
    </row>
    <row r="847">
      <c r="P847" s="153"/>
    </row>
    <row r="848">
      <c r="P848" s="153"/>
    </row>
    <row r="849">
      <c r="P849" s="153"/>
    </row>
    <row r="850">
      <c r="P850" s="153"/>
    </row>
    <row r="851">
      <c r="P851" s="153"/>
    </row>
    <row r="852">
      <c r="P852" s="153"/>
    </row>
    <row r="853">
      <c r="P853" s="153"/>
    </row>
    <row r="854">
      <c r="P854" s="153"/>
    </row>
    <row r="855">
      <c r="P855" s="153"/>
    </row>
    <row r="856">
      <c r="P856" s="153"/>
    </row>
    <row r="857">
      <c r="P857" s="153"/>
    </row>
    <row r="858">
      <c r="P858" s="153"/>
    </row>
    <row r="859">
      <c r="P859" s="153"/>
    </row>
    <row r="860">
      <c r="P860" s="153"/>
    </row>
    <row r="861">
      <c r="P861" s="153"/>
    </row>
    <row r="862">
      <c r="P862" s="153"/>
    </row>
    <row r="863">
      <c r="P863" s="153"/>
    </row>
    <row r="864">
      <c r="P864" s="153"/>
    </row>
    <row r="865">
      <c r="P865" s="153"/>
    </row>
    <row r="866">
      <c r="P866" s="153"/>
    </row>
    <row r="867">
      <c r="P867" s="153"/>
    </row>
    <row r="868">
      <c r="P868" s="153"/>
    </row>
    <row r="869">
      <c r="P869" s="153"/>
    </row>
    <row r="870">
      <c r="P870" s="153"/>
    </row>
    <row r="871">
      <c r="P871" s="153"/>
    </row>
    <row r="872">
      <c r="P872" s="153"/>
    </row>
    <row r="873">
      <c r="P873" s="153"/>
    </row>
    <row r="874">
      <c r="P874" s="153"/>
    </row>
    <row r="875">
      <c r="P875" s="153"/>
    </row>
    <row r="876">
      <c r="P876" s="153"/>
    </row>
    <row r="877">
      <c r="P877" s="153"/>
    </row>
    <row r="878">
      <c r="P878" s="153"/>
    </row>
    <row r="879">
      <c r="P879" s="153"/>
    </row>
    <row r="880">
      <c r="P880" s="153"/>
    </row>
    <row r="881">
      <c r="P881" s="153"/>
    </row>
    <row r="882">
      <c r="P882" s="153"/>
    </row>
    <row r="883">
      <c r="P883" s="153"/>
    </row>
    <row r="884">
      <c r="P884" s="153"/>
    </row>
    <row r="885">
      <c r="P885" s="153"/>
    </row>
    <row r="886">
      <c r="P886" s="153"/>
    </row>
    <row r="887">
      <c r="P887" s="153"/>
    </row>
    <row r="888">
      <c r="P888" s="153"/>
    </row>
    <row r="889">
      <c r="P889" s="153"/>
    </row>
    <row r="890">
      <c r="P890" s="153"/>
    </row>
    <row r="891">
      <c r="P891" s="153"/>
    </row>
    <row r="892">
      <c r="P892" s="153"/>
    </row>
    <row r="893">
      <c r="P893" s="153"/>
    </row>
    <row r="894">
      <c r="P894" s="153"/>
    </row>
    <row r="895">
      <c r="P895" s="153"/>
    </row>
    <row r="896">
      <c r="P896" s="153"/>
    </row>
    <row r="897">
      <c r="P897" s="153"/>
    </row>
    <row r="898">
      <c r="P898" s="153"/>
    </row>
    <row r="899">
      <c r="P899" s="153"/>
    </row>
    <row r="900">
      <c r="P900" s="153"/>
    </row>
    <row r="901">
      <c r="P901" s="153"/>
    </row>
    <row r="902">
      <c r="P902" s="153"/>
    </row>
    <row r="903">
      <c r="P903" s="153"/>
    </row>
    <row r="904">
      <c r="P904" s="153"/>
    </row>
    <row r="905">
      <c r="P905" s="153"/>
    </row>
    <row r="906">
      <c r="P906" s="153"/>
    </row>
    <row r="907">
      <c r="P907" s="153"/>
    </row>
    <row r="908">
      <c r="P908" s="153"/>
    </row>
    <row r="909">
      <c r="P909" s="153"/>
    </row>
    <row r="910">
      <c r="P910" s="153"/>
    </row>
    <row r="911">
      <c r="P911" s="153"/>
    </row>
    <row r="912">
      <c r="P912" s="153"/>
    </row>
    <row r="913">
      <c r="P913" s="153"/>
    </row>
    <row r="914">
      <c r="P914" s="153"/>
    </row>
    <row r="915">
      <c r="P915" s="153"/>
    </row>
    <row r="916">
      <c r="P916" s="153"/>
    </row>
    <row r="917">
      <c r="P917" s="153"/>
    </row>
    <row r="918">
      <c r="P918" s="153"/>
    </row>
    <row r="919">
      <c r="P919" s="153"/>
    </row>
    <row r="920">
      <c r="P920" s="153"/>
    </row>
    <row r="921">
      <c r="P921" s="153"/>
    </row>
    <row r="922">
      <c r="P922" s="153"/>
    </row>
    <row r="923">
      <c r="P923" s="153"/>
    </row>
    <row r="924">
      <c r="P924" s="153"/>
    </row>
    <row r="925">
      <c r="P925" s="153"/>
    </row>
    <row r="926">
      <c r="P926" s="153"/>
    </row>
    <row r="927">
      <c r="P927" s="153"/>
    </row>
    <row r="928">
      <c r="P928" s="153"/>
    </row>
    <row r="929">
      <c r="P929" s="153"/>
    </row>
    <row r="930">
      <c r="P930" s="153"/>
    </row>
    <row r="931">
      <c r="P931" s="153"/>
    </row>
    <row r="932">
      <c r="P932" s="153"/>
    </row>
    <row r="933">
      <c r="P933" s="153"/>
    </row>
    <row r="934">
      <c r="P934" s="153"/>
    </row>
    <row r="935">
      <c r="P935" s="153"/>
    </row>
    <row r="936">
      <c r="P936" s="153"/>
    </row>
    <row r="937">
      <c r="P937" s="153"/>
    </row>
    <row r="938">
      <c r="P938" s="153"/>
    </row>
    <row r="939">
      <c r="P939" s="153"/>
    </row>
    <row r="940">
      <c r="P940" s="153"/>
    </row>
    <row r="941">
      <c r="P941" s="153"/>
    </row>
    <row r="942">
      <c r="P942" s="153"/>
    </row>
    <row r="943">
      <c r="P943" s="153"/>
    </row>
    <row r="944">
      <c r="P944" s="153"/>
    </row>
    <row r="945">
      <c r="P945" s="153"/>
    </row>
    <row r="946">
      <c r="P946" s="153"/>
    </row>
    <row r="947">
      <c r="P947" s="153"/>
    </row>
    <row r="948">
      <c r="P948" s="153"/>
    </row>
    <row r="949">
      <c r="P949" s="153"/>
    </row>
    <row r="950">
      <c r="P950" s="153"/>
    </row>
    <row r="951">
      <c r="P951" s="153"/>
    </row>
    <row r="952">
      <c r="P952" s="153"/>
    </row>
    <row r="953">
      <c r="P953" s="153"/>
    </row>
    <row r="954">
      <c r="P954" s="153"/>
    </row>
    <row r="955">
      <c r="P955" s="153"/>
    </row>
    <row r="956">
      <c r="P956" s="153"/>
    </row>
    <row r="957">
      <c r="P957" s="153"/>
    </row>
    <row r="958">
      <c r="P958" s="153"/>
    </row>
    <row r="959">
      <c r="P959" s="153"/>
    </row>
    <row r="960">
      <c r="P960" s="153"/>
    </row>
    <row r="961">
      <c r="P961" s="153"/>
    </row>
    <row r="962">
      <c r="P962" s="153"/>
    </row>
    <row r="963">
      <c r="P963" s="153"/>
    </row>
    <row r="964">
      <c r="P964" s="153"/>
    </row>
    <row r="965">
      <c r="P965" s="153"/>
    </row>
    <row r="966">
      <c r="P966" s="153"/>
    </row>
    <row r="967">
      <c r="P967" s="153"/>
    </row>
    <row r="968">
      <c r="P968" s="153"/>
    </row>
    <row r="969">
      <c r="P969" s="153"/>
    </row>
    <row r="970">
      <c r="P970" s="153"/>
    </row>
    <row r="971">
      <c r="P971" s="153"/>
    </row>
    <row r="972">
      <c r="P972" s="153"/>
    </row>
    <row r="973">
      <c r="P973" s="153"/>
    </row>
    <row r="974">
      <c r="P974" s="153"/>
    </row>
    <row r="975">
      <c r="P975" s="153"/>
    </row>
    <row r="976">
      <c r="P976" s="153"/>
    </row>
    <row r="977">
      <c r="P977" s="153"/>
    </row>
    <row r="978">
      <c r="P978" s="153"/>
    </row>
    <row r="979">
      <c r="P979" s="153"/>
    </row>
    <row r="980">
      <c r="P980" s="153"/>
    </row>
    <row r="981">
      <c r="P981" s="153"/>
    </row>
    <row r="982">
      <c r="P982" s="153"/>
    </row>
    <row r="983">
      <c r="P983" s="153"/>
    </row>
    <row r="984">
      <c r="P984" s="153"/>
    </row>
    <row r="985">
      <c r="P985" s="153"/>
    </row>
    <row r="986">
      <c r="P986" s="153"/>
    </row>
    <row r="987">
      <c r="P987" s="153"/>
    </row>
    <row r="988">
      <c r="P988" s="153"/>
    </row>
    <row r="989">
      <c r="P989" s="153"/>
    </row>
    <row r="990">
      <c r="P990" s="153"/>
    </row>
    <row r="991">
      <c r="P991" s="153"/>
    </row>
    <row r="992">
      <c r="P992" s="153"/>
    </row>
    <row r="993">
      <c r="P993" s="153"/>
    </row>
    <row r="994">
      <c r="P994" s="153"/>
    </row>
    <row r="995">
      <c r="P995" s="153"/>
    </row>
    <row r="996">
      <c r="P996" s="153"/>
    </row>
    <row r="997">
      <c r="P997" s="153"/>
    </row>
    <row r="998">
      <c r="P998" s="153"/>
    </row>
    <row r="999">
      <c r="P999" s="153"/>
    </row>
    <row r="1000">
      <c r="P1000" s="153"/>
    </row>
  </sheetData>
  <dataValidations>
    <dataValidation type="list" allowBlank="1" showErrorMessage="1" sqref="P1:P1000">
      <formula1>"IT Area,FMG Cabinet,WFH,Mezzanine,Transferred,Deployed Onsite,C3-6 2nd floor,IT storage"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P1" s="153"/>
    </row>
    <row r="2">
      <c r="P2" s="153"/>
    </row>
    <row r="3">
      <c r="P3" s="153"/>
    </row>
    <row r="4">
      <c r="P4" s="153"/>
    </row>
    <row r="5">
      <c r="P5" s="153"/>
    </row>
    <row r="6">
      <c r="P6" s="153"/>
    </row>
    <row r="7">
      <c r="P7" s="153"/>
    </row>
    <row r="8">
      <c r="P8" s="153"/>
    </row>
    <row r="9">
      <c r="P9" s="153"/>
    </row>
    <row r="10">
      <c r="P10" s="153"/>
    </row>
    <row r="11">
      <c r="P11" s="153"/>
    </row>
    <row r="12">
      <c r="P12" s="153"/>
    </row>
    <row r="13">
      <c r="P13" s="153"/>
    </row>
    <row r="14">
      <c r="P14" s="153"/>
    </row>
    <row r="15">
      <c r="P15" s="153"/>
    </row>
    <row r="16">
      <c r="P16" s="153"/>
    </row>
    <row r="17">
      <c r="P17" s="153"/>
    </row>
    <row r="18">
      <c r="P18" s="153"/>
    </row>
    <row r="19">
      <c r="P19" s="153"/>
    </row>
    <row r="20">
      <c r="P20" s="153"/>
    </row>
    <row r="21">
      <c r="P21" s="153"/>
    </row>
    <row r="22">
      <c r="P22" s="153"/>
    </row>
    <row r="23">
      <c r="P23" s="153"/>
    </row>
    <row r="24">
      <c r="P24" s="153"/>
    </row>
    <row r="25">
      <c r="P25" s="153"/>
    </row>
    <row r="26">
      <c r="P26" s="153"/>
    </row>
    <row r="27">
      <c r="P27" s="153"/>
    </row>
    <row r="28">
      <c r="P28" s="153"/>
    </row>
    <row r="29">
      <c r="P29" s="153"/>
    </row>
    <row r="30">
      <c r="P30" s="153"/>
    </row>
    <row r="31">
      <c r="P31" s="153"/>
    </row>
    <row r="32">
      <c r="P32" s="153"/>
    </row>
    <row r="33">
      <c r="P33" s="153"/>
    </row>
    <row r="34">
      <c r="P34" s="153"/>
    </row>
    <row r="35">
      <c r="P35" s="153"/>
    </row>
    <row r="36">
      <c r="P36" s="153"/>
    </row>
    <row r="37">
      <c r="P37" s="153"/>
    </row>
    <row r="38">
      <c r="P38" s="153"/>
    </row>
    <row r="39">
      <c r="P39" s="153"/>
    </row>
    <row r="40">
      <c r="P40" s="153"/>
    </row>
    <row r="41">
      <c r="P41" s="153"/>
    </row>
    <row r="42">
      <c r="P42" s="153"/>
    </row>
    <row r="43">
      <c r="P43" s="153"/>
    </row>
    <row r="44">
      <c r="P44" s="153"/>
    </row>
    <row r="45">
      <c r="P45" s="153"/>
    </row>
    <row r="46">
      <c r="P46" s="153"/>
    </row>
    <row r="47">
      <c r="P47" s="153"/>
    </row>
    <row r="48">
      <c r="P48" s="153"/>
    </row>
    <row r="49">
      <c r="P49" s="153"/>
    </row>
    <row r="50">
      <c r="P50" s="153"/>
    </row>
    <row r="51">
      <c r="P51" s="153"/>
    </row>
    <row r="52">
      <c r="P52" s="153"/>
    </row>
    <row r="53">
      <c r="P53" s="153"/>
    </row>
    <row r="54">
      <c r="P54" s="153"/>
    </row>
    <row r="55">
      <c r="P55" s="153"/>
    </row>
    <row r="56">
      <c r="P56" s="153"/>
    </row>
    <row r="57">
      <c r="P57" s="153"/>
    </row>
    <row r="58">
      <c r="P58" s="153"/>
    </row>
    <row r="59">
      <c r="P59" s="153"/>
    </row>
    <row r="60">
      <c r="P60" s="153"/>
    </row>
    <row r="61">
      <c r="P61" s="153"/>
    </row>
    <row r="62">
      <c r="P62" s="153"/>
    </row>
    <row r="63">
      <c r="P63" s="153"/>
    </row>
    <row r="64">
      <c r="P64" s="153"/>
    </row>
    <row r="65">
      <c r="P65" s="153"/>
    </row>
    <row r="66">
      <c r="P66" s="153"/>
    </row>
    <row r="67">
      <c r="P67" s="153"/>
    </row>
    <row r="68">
      <c r="P68" s="153"/>
    </row>
    <row r="69">
      <c r="P69" s="153"/>
    </row>
    <row r="70">
      <c r="P70" s="153"/>
    </row>
    <row r="71">
      <c r="P71" s="153"/>
    </row>
    <row r="72">
      <c r="P72" s="153"/>
    </row>
    <row r="73">
      <c r="P73" s="153"/>
    </row>
    <row r="74">
      <c r="P74" s="153"/>
    </row>
    <row r="75">
      <c r="P75" s="153"/>
    </row>
    <row r="76">
      <c r="P76" s="153"/>
    </row>
    <row r="77">
      <c r="P77" s="153"/>
    </row>
    <row r="78">
      <c r="P78" s="153"/>
    </row>
    <row r="79">
      <c r="P79" s="153"/>
    </row>
    <row r="80">
      <c r="P80" s="153"/>
    </row>
    <row r="81">
      <c r="P81" s="153"/>
    </row>
    <row r="82">
      <c r="P82" s="153"/>
    </row>
    <row r="83">
      <c r="P83" s="153"/>
    </row>
    <row r="84">
      <c r="P84" s="153"/>
    </row>
    <row r="85">
      <c r="P85" s="153"/>
    </row>
    <row r="86">
      <c r="P86" s="153"/>
    </row>
    <row r="87">
      <c r="P87" s="153"/>
    </row>
    <row r="88">
      <c r="P88" s="153"/>
    </row>
    <row r="89">
      <c r="P89" s="153"/>
    </row>
    <row r="90">
      <c r="P90" s="153"/>
    </row>
    <row r="91">
      <c r="P91" s="153"/>
    </row>
    <row r="92">
      <c r="P92" s="153"/>
    </row>
    <row r="93">
      <c r="P93" s="153"/>
    </row>
    <row r="94">
      <c r="P94" s="153"/>
    </row>
    <row r="95">
      <c r="P95" s="153"/>
    </row>
    <row r="96">
      <c r="P96" s="153"/>
    </row>
    <row r="97">
      <c r="P97" s="153"/>
    </row>
    <row r="98">
      <c r="P98" s="153"/>
    </row>
    <row r="99">
      <c r="P99" s="153"/>
    </row>
    <row r="100">
      <c r="P100" s="153"/>
    </row>
    <row r="101">
      <c r="P101" s="153"/>
    </row>
    <row r="102">
      <c r="P102" s="153"/>
    </row>
    <row r="103">
      <c r="P103" s="153"/>
    </row>
    <row r="104">
      <c r="P104" s="153"/>
    </row>
    <row r="105">
      <c r="P105" s="153"/>
    </row>
    <row r="106">
      <c r="P106" s="153"/>
    </row>
    <row r="107">
      <c r="P107" s="153"/>
    </row>
    <row r="108">
      <c r="P108" s="153"/>
    </row>
    <row r="109">
      <c r="P109" s="153"/>
    </row>
    <row r="110">
      <c r="P110" s="153"/>
    </row>
    <row r="111">
      <c r="P111" s="153"/>
    </row>
    <row r="112">
      <c r="P112" s="153"/>
    </row>
    <row r="113">
      <c r="P113" s="153"/>
    </row>
    <row r="114">
      <c r="P114" s="153"/>
    </row>
    <row r="115">
      <c r="P115" s="153"/>
    </row>
    <row r="116">
      <c r="P116" s="153"/>
    </row>
    <row r="117">
      <c r="P117" s="153"/>
    </row>
    <row r="118">
      <c r="P118" s="153"/>
    </row>
    <row r="119">
      <c r="P119" s="153"/>
    </row>
    <row r="120">
      <c r="P120" s="153"/>
    </row>
    <row r="121">
      <c r="P121" s="153"/>
    </row>
    <row r="122">
      <c r="P122" s="153"/>
    </row>
    <row r="123">
      <c r="P123" s="153"/>
    </row>
    <row r="124">
      <c r="P124" s="153"/>
    </row>
    <row r="125">
      <c r="P125" s="153"/>
    </row>
    <row r="126">
      <c r="P126" s="153"/>
    </row>
    <row r="127">
      <c r="P127" s="153"/>
    </row>
    <row r="128">
      <c r="P128" s="153"/>
    </row>
    <row r="129">
      <c r="P129" s="153"/>
    </row>
    <row r="130">
      <c r="P130" s="153"/>
    </row>
    <row r="131">
      <c r="P131" s="153"/>
    </row>
    <row r="132">
      <c r="P132" s="153"/>
    </row>
    <row r="133">
      <c r="P133" s="153"/>
    </row>
    <row r="134">
      <c r="P134" s="153"/>
    </row>
    <row r="135">
      <c r="P135" s="153"/>
    </row>
    <row r="136">
      <c r="P136" s="153"/>
    </row>
    <row r="137">
      <c r="P137" s="153"/>
    </row>
    <row r="138">
      <c r="P138" s="153"/>
    </row>
    <row r="139">
      <c r="P139" s="153"/>
    </row>
    <row r="140">
      <c r="P140" s="153"/>
    </row>
    <row r="141">
      <c r="P141" s="153"/>
    </row>
    <row r="142">
      <c r="P142" s="153"/>
    </row>
    <row r="143">
      <c r="P143" s="153"/>
    </row>
    <row r="144">
      <c r="P144" s="153"/>
    </row>
    <row r="145">
      <c r="P145" s="153"/>
    </row>
    <row r="146">
      <c r="P146" s="153"/>
    </row>
    <row r="147">
      <c r="P147" s="153"/>
    </row>
    <row r="148">
      <c r="P148" s="153"/>
    </row>
    <row r="149">
      <c r="P149" s="153"/>
    </row>
    <row r="150">
      <c r="P150" s="153"/>
    </row>
    <row r="151">
      <c r="P151" s="153"/>
    </row>
    <row r="152">
      <c r="P152" s="153"/>
    </row>
    <row r="153">
      <c r="P153" s="153"/>
    </row>
    <row r="154">
      <c r="P154" s="153"/>
    </row>
    <row r="155">
      <c r="P155" s="153"/>
    </row>
    <row r="156">
      <c r="P156" s="153"/>
    </row>
    <row r="157">
      <c r="P157" s="153"/>
    </row>
    <row r="158">
      <c r="P158" s="153"/>
    </row>
    <row r="159">
      <c r="P159" s="153"/>
    </row>
    <row r="160">
      <c r="P160" s="153"/>
    </row>
    <row r="161">
      <c r="P161" s="153"/>
    </row>
    <row r="162">
      <c r="P162" s="153"/>
    </row>
    <row r="163">
      <c r="P163" s="153"/>
    </row>
    <row r="164">
      <c r="P164" s="153"/>
    </row>
    <row r="165">
      <c r="P165" s="153"/>
    </row>
    <row r="166">
      <c r="P166" s="153"/>
    </row>
    <row r="167">
      <c r="P167" s="153"/>
    </row>
    <row r="168">
      <c r="P168" s="153"/>
    </row>
    <row r="169">
      <c r="P169" s="153"/>
    </row>
    <row r="170">
      <c r="P170" s="153"/>
    </row>
    <row r="171">
      <c r="P171" s="153"/>
    </row>
    <row r="172">
      <c r="P172" s="153"/>
    </row>
    <row r="173">
      <c r="P173" s="153"/>
    </row>
    <row r="174">
      <c r="P174" s="153"/>
    </row>
    <row r="175">
      <c r="P175" s="153"/>
    </row>
    <row r="176">
      <c r="P176" s="153"/>
    </row>
    <row r="177">
      <c r="P177" s="153"/>
    </row>
    <row r="178">
      <c r="P178" s="153"/>
    </row>
    <row r="179">
      <c r="P179" s="153"/>
    </row>
    <row r="180">
      <c r="P180" s="153"/>
    </row>
    <row r="181">
      <c r="P181" s="153"/>
    </row>
    <row r="182">
      <c r="P182" s="153"/>
    </row>
    <row r="183">
      <c r="P183" s="153"/>
    </row>
    <row r="184">
      <c r="P184" s="153"/>
    </row>
    <row r="185">
      <c r="P185" s="153"/>
    </row>
    <row r="186">
      <c r="P186" s="153"/>
    </row>
    <row r="187">
      <c r="P187" s="153"/>
    </row>
    <row r="188">
      <c r="P188" s="153"/>
    </row>
    <row r="189">
      <c r="P189" s="153"/>
    </row>
    <row r="190">
      <c r="P190" s="153"/>
    </row>
    <row r="191">
      <c r="P191" s="153"/>
    </row>
    <row r="192">
      <c r="P192" s="153"/>
    </row>
    <row r="193">
      <c r="P193" s="153"/>
    </row>
    <row r="194">
      <c r="P194" s="153"/>
    </row>
    <row r="195">
      <c r="P195" s="153"/>
    </row>
    <row r="196">
      <c r="P196" s="153"/>
    </row>
    <row r="197">
      <c r="P197" s="153"/>
    </row>
    <row r="198">
      <c r="P198" s="153"/>
    </row>
    <row r="199">
      <c r="P199" s="153"/>
    </row>
    <row r="200">
      <c r="P200" s="153"/>
    </row>
    <row r="201">
      <c r="P201" s="153"/>
    </row>
    <row r="202">
      <c r="P202" s="153"/>
    </row>
    <row r="203">
      <c r="P203" s="153"/>
    </row>
    <row r="204">
      <c r="P204" s="153"/>
    </row>
    <row r="205">
      <c r="P205" s="153"/>
    </row>
    <row r="206">
      <c r="P206" s="153"/>
    </row>
    <row r="207">
      <c r="P207" s="153"/>
    </row>
    <row r="208">
      <c r="P208" s="153"/>
    </row>
    <row r="209">
      <c r="P209" s="153"/>
    </row>
    <row r="210">
      <c r="P210" s="153"/>
    </row>
    <row r="211">
      <c r="P211" s="153"/>
    </row>
    <row r="212">
      <c r="P212" s="153"/>
    </row>
    <row r="213">
      <c r="P213" s="153"/>
    </row>
    <row r="214">
      <c r="P214" s="153"/>
    </row>
    <row r="215">
      <c r="P215" s="153"/>
    </row>
    <row r="216">
      <c r="P216" s="153"/>
    </row>
    <row r="217">
      <c r="P217" s="153"/>
    </row>
    <row r="218">
      <c r="P218" s="153"/>
    </row>
    <row r="219">
      <c r="P219" s="153"/>
    </row>
    <row r="220">
      <c r="P220" s="153"/>
    </row>
    <row r="221">
      <c r="P221" s="153"/>
    </row>
    <row r="222">
      <c r="P222" s="153"/>
    </row>
    <row r="223">
      <c r="P223" s="153"/>
    </row>
    <row r="224">
      <c r="P224" s="153"/>
    </row>
    <row r="225">
      <c r="P225" s="153"/>
    </row>
    <row r="226">
      <c r="P226" s="153"/>
    </row>
    <row r="227">
      <c r="P227" s="153"/>
    </row>
    <row r="228">
      <c r="P228" s="153"/>
    </row>
    <row r="229">
      <c r="P229" s="153"/>
    </row>
    <row r="230">
      <c r="P230" s="153"/>
    </row>
    <row r="231">
      <c r="P231" s="153"/>
    </row>
    <row r="232">
      <c r="P232" s="153"/>
    </row>
    <row r="233">
      <c r="P233" s="153"/>
    </row>
    <row r="234">
      <c r="P234" s="153"/>
    </row>
    <row r="235">
      <c r="P235" s="153"/>
    </row>
    <row r="236">
      <c r="P236" s="153"/>
    </row>
    <row r="237">
      <c r="P237" s="153"/>
    </row>
    <row r="238">
      <c r="P238" s="153"/>
    </row>
    <row r="239">
      <c r="P239" s="153"/>
    </row>
    <row r="240">
      <c r="P240" s="153"/>
    </row>
    <row r="241">
      <c r="P241" s="153"/>
    </row>
    <row r="242">
      <c r="P242" s="153"/>
    </row>
    <row r="243">
      <c r="P243" s="153"/>
    </row>
    <row r="244">
      <c r="P244" s="153"/>
    </row>
    <row r="245">
      <c r="P245" s="153"/>
    </row>
    <row r="246">
      <c r="P246" s="153"/>
    </row>
    <row r="247">
      <c r="P247" s="153"/>
    </row>
    <row r="248">
      <c r="P248" s="153"/>
    </row>
    <row r="249">
      <c r="P249" s="153"/>
    </row>
    <row r="250">
      <c r="P250" s="153"/>
    </row>
    <row r="251">
      <c r="P251" s="153"/>
    </row>
    <row r="252">
      <c r="P252" s="153"/>
    </row>
    <row r="253">
      <c r="P253" s="153"/>
    </row>
    <row r="254">
      <c r="P254" s="153"/>
    </row>
    <row r="255">
      <c r="P255" s="153"/>
    </row>
    <row r="256">
      <c r="P256" s="153"/>
    </row>
    <row r="257">
      <c r="P257" s="153"/>
    </row>
    <row r="258">
      <c r="P258" s="153"/>
    </row>
    <row r="259">
      <c r="P259" s="153"/>
    </row>
    <row r="260">
      <c r="P260" s="153"/>
    </row>
    <row r="261">
      <c r="P261" s="153"/>
    </row>
    <row r="262">
      <c r="P262" s="153"/>
    </row>
    <row r="263">
      <c r="P263" s="153"/>
    </row>
    <row r="264">
      <c r="P264" s="153"/>
    </row>
    <row r="265">
      <c r="P265" s="153"/>
    </row>
    <row r="266">
      <c r="P266" s="153"/>
    </row>
    <row r="267">
      <c r="P267" s="153"/>
    </row>
    <row r="268">
      <c r="P268" s="153"/>
    </row>
    <row r="269">
      <c r="P269" s="153"/>
    </row>
    <row r="270">
      <c r="P270" s="153"/>
    </row>
    <row r="271">
      <c r="P271" s="153"/>
    </row>
    <row r="272">
      <c r="P272" s="153"/>
    </row>
    <row r="273">
      <c r="P273" s="153"/>
    </row>
    <row r="274">
      <c r="P274" s="153"/>
    </row>
    <row r="275">
      <c r="P275" s="153"/>
    </row>
    <row r="276">
      <c r="P276" s="153"/>
    </row>
    <row r="277">
      <c r="P277" s="153"/>
    </row>
    <row r="278">
      <c r="P278" s="153"/>
    </row>
    <row r="279">
      <c r="P279" s="153"/>
    </row>
    <row r="280">
      <c r="P280" s="153"/>
    </row>
    <row r="281">
      <c r="P281" s="153"/>
    </row>
    <row r="282">
      <c r="P282" s="153"/>
    </row>
    <row r="283">
      <c r="P283" s="153"/>
    </row>
    <row r="284">
      <c r="P284" s="153"/>
    </row>
    <row r="285">
      <c r="P285" s="153"/>
    </row>
    <row r="286">
      <c r="P286" s="153"/>
    </row>
    <row r="287">
      <c r="P287" s="153"/>
    </row>
    <row r="288">
      <c r="P288" s="153"/>
    </row>
    <row r="289">
      <c r="P289" s="153"/>
    </row>
    <row r="290">
      <c r="P290" s="153"/>
    </row>
    <row r="291">
      <c r="P291" s="153"/>
    </row>
    <row r="292">
      <c r="P292" s="153"/>
    </row>
    <row r="293">
      <c r="P293" s="153"/>
    </row>
    <row r="294">
      <c r="P294" s="153"/>
    </row>
    <row r="295">
      <c r="P295" s="153"/>
    </row>
    <row r="296">
      <c r="P296" s="153"/>
    </row>
    <row r="297">
      <c r="P297" s="153"/>
    </row>
    <row r="298">
      <c r="P298" s="153"/>
    </row>
    <row r="299">
      <c r="P299" s="153"/>
    </row>
    <row r="300">
      <c r="P300" s="153"/>
    </row>
    <row r="301">
      <c r="P301" s="153"/>
    </row>
    <row r="302">
      <c r="P302" s="153"/>
    </row>
    <row r="303">
      <c r="P303" s="153"/>
    </row>
    <row r="304">
      <c r="P304" s="153"/>
    </row>
    <row r="305">
      <c r="P305" s="153"/>
    </row>
    <row r="306">
      <c r="P306" s="153"/>
    </row>
    <row r="307">
      <c r="P307" s="153"/>
    </row>
    <row r="308">
      <c r="P308" s="153"/>
    </row>
    <row r="309">
      <c r="P309" s="153"/>
    </row>
    <row r="310">
      <c r="P310" s="153"/>
    </row>
    <row r="311">
      <c r="P311" s="153"/>
    </row>
    <row r="312">
      <c r="P312" s="153"/>
    </row>
    <row r="313">
      <c r="P313" s="153"/>
    </row>
    <row r="314">
      <c r="P314" s="153"/>
    </row>
    <row r="315">
      <c r="P315" s="153"/>
    </row>
    <row r="316">
      <c r="P316" s="153"/>
    </row>
    <row r="317">
      <c r="P317" s="153"/>
    </row>
    <row r="318">
      <c r="P318" s="153"/>
    </row>
    <row r="319">
      <c r="P319" s="153"/>
    </row>
    <row r="320">
      <c r="P320" s="153"/>
    </row>
    <row r="321">
      <c r="P321" s="153"/>
    </row>
    <row r="322">
      <c r="P322" s="153"/>
    </row>
    <row r="323">
      <c r="P323" s="153"/>
    </row>
    <row r="324">
      <c r="P324" s="153"/>
    </row>
    <row r="325">
      <c r="P325" s="153"/>
    </row>
    <row r="326">
      <c r="P326" s="153"/>
    </row>
    <row r="327">
      <c r="P327" s="153"/>
    </row>
    <row r="328">
      <c r="P328" s="153"/>
    </row>
    <row r="329">
      <c r="P329" s="153"/>
    </row>
    <row r="330">
      <c r="P330" s="153"/>
    </row>
    <row r="331">
      <c r="P331" s="153"/>
    </row>
    <row r="332">
      <c r="P332" s="153"/>
    </row>
    <row r="333">
      <c r="P333" s="153"/>
    </row>
    <row r="334">
      <c r="P334" s="153"/>
    </row>
    <row r="335">
      <c r="P335" s="153"/>
    </row>
    <row r="336">
      <c r="P336" s="153"/>
    </row>
    <row r="337">
      <c r="P337" s="153"/>
    </row>
    <row r="338">
      <c r="P338" s="153"/>
    </row>
    <row r="339">
      <c r="P339" s="153"/>
    </row>
    <row r="340">
      <c r="P340" s="153"/>
    </row>
    <row r="341">
      <c r="P341" s="153"/>
    </row>
    <row r="342">
      <c r="P342" s="153"/>
    </row>
    <row r="343">
      <c r="P343" s="153"/>
    </row>
    <row r="344">
      <c r="P344" s="153"/>
    </row>
    <row r="345">
      <c r="P345" s="153"/>
    </row>
    <row r="346">
      <c r="P346" s="153"/>
    </row>
    <row r="347">
      <c r="P347" s="153"/>
    </row>
    <row r="348">
      <c r="P348" s="153"/>
    </row>
    <row r="349">
      <c r="P349" s="153"/>
    </row>
    <row r="350">
      <c r="P350" s="153"/>
    </row>
    <row r="351">
      <c r="P351" s="153"/>
    </row>
    <row r="352">
      <c r="P352" s="153"/>
    </row>
    <row r="353">
      <c r="P353" s="153"/>
    </row>
    <row r="354">
      <c r="P354" s="153"/>
    </row>
    <row r="355">
      <c r="P355" s="153"/>
    </row>
    <row r="356">
      <c r="P356" s="153"/>
    </row>
    <row r="357">
      <c r="P357" s="153"/>
    </row>
    <row r="358">
      <c r="P358" s="153"/>
    </row>
    <row r="359">
      <c r="P359" s="153"/>
    </row>
    <row r="360">
      <c r="P360" s="153"/>
    </row>
    <row r="361">
      <c r="P361" s="153"/>
    </row>
    <row r="362">
      <c r="P362" s="153"/>
    </row>
    <row r="363">
      <c r="P363" s="153"/>
    </row>
    <row r="364">
      <c r="P364" s="153"/>
    </row>
    <row r="365">
      <c r="P365" s="153"/>
    </row>
    <row r="366">
      <c r="P366" s="153"/>
    </row>
    <row r="367">
      <c r="P367" s="153"/>
    </row>
    <row r="368">
      <c r="P368" s="153"/>
    </row>
    <row r="369">
      <c r="P369" s="153"/>
    </row>
    <row r="370">
      <c r="P370" s="153"/>
    </row>
    <row r="371">
      <c r="P371" s="153"/>
    </row>
    <row r="372">
      <c r="P372" s="153"/>
    </row>
    <row r="373">
      <c r="P373" s="153"/>
    </row>
    <row r="374">
      <c r="P374" s="153"/>
    </row>
    <row r="375">
      <c r="P375" s="153"/>
    </row>
    <row r="376">
      <c r="P376" s="153"/>
    </row>
    <row r="377">
      <c r="P377" s="153"/>
    </row>
    <row r="378">
      <c r="P378" s="153"/>
    </row>
    <row r="379">
      <c r="P379" s="153"/>
    </row>
    <row r="380">
      <c r="P380" s="153"/>
    </row>
    <row r="381">
      <c r="P381" s="153"/>
    </row>
    <row r="382">
      <c r="P382" s="153"/>
    </row>
    <row r="383">
      <c r="P383" s="153"/>
    </row>
    <row r="384">
      <c r="P384" s="153"/>
    </row>
    <row r="385">
      <c r="P385" s="153"/>
    </row>
    <row r="386">
      <c r="P386" s="153"/>
    </row>
    <row r="387">
      <c r="P387" s="153"/>
    </row>
    <row r="388">
      <c r="P388" s="153"/>
    </row>
    <row r="389">
      <c r="P389" s="153"/>
    </row>
    <row r="390">
      <c r="P390" s="153"/>
    </row>
    <row r="391">
      <c r="P391" s="153"/>
    </row>
    <row r="392">
      <c r="P392" s="153"/>
    </row>
    <row r="393">
      <c r="P393" s="153"/>
    </row>
    <row r="394">
      <c r="P394" s="153"/>
    </row>
    <row r="395">
      <c r="P395" s="153"/>
    </row>
    <row r="396">
      <c r="P396" s="153"/>
    </row>
    <row r="397">
      <c r="P397" s="153"/>
    </row>
    <row r="398">
      <c r="P398" s="153"/>
    </row>
    <row r="399">
      <c r="P399" s="153"/>
    </row>
    <row r="400">
      <c r="P400" s="153"/>
    </row>
    <row r="401">
      <c r="P401" s="153"/>
    </row>
    <row r="402">
      <c r="P402" s="153"/>
    </row>
    <row r="403">
      <c r="P403" s="153"/>
    </row>
    <row r="404">
      <c r="P404" s="153"/>
    </row>
    <row r="405">
      <c r="P405" s="153"/>
    </row>
    <row r="406">
      <c r="P406" s="153"/>
    </row>
    <row r="407">
      <c r="P407" s="153"/>
    </row>
    <row r="408">
      <c r="P408" s="153"/>
    </row>
    <row r="409">
      <c r="P409" s="153"/>
    </row>
    <row r="410">
      <c r="P410" s="153"/>
    </row>
    <row r="411">
      <c r="P411" s="153"/>
    </row>
    <row r="412">
      <c r="P412" s="153"/>
    </row>
    <row r="413">
      <c r="P413" s="153"/>
    </row>
    <row r="414">
      <c r="P414" s="153"/>
    </row>
    <row r="415">
      <c r="P415" s="153"/>
    </row>
    <row r="416">
      <c r="P416" s="153"/>
    </row>
    <row r="417">
      <c r="P417" s="153"/>
    </row>
    <row r="418">
      <c r="P418" s="153"/>
    </row>
    <row r="419">
      <c r="P419" s="153"/>
    </row>
    <row r="420">
      <c r="P420" s="153"/>
    </row>
    <row r="421">
      <c r="P421" s="153"/>
    </row>
    <row r="422">
      <c r="P422" s="153"/>
    </row>
    <row r="423">
      <c r="P423" s="153"/>
    </row>
    <row r="424">
      <c r="P424" s="153"/>
    </row>
    <row r="425">
      <c r="P425" s="153"/>
    </row>
    <row r="426">
      <c r="P426" s="153"/>
    </row>
    <row r="427">
      <c r="P427" s="153"/>
    </row>
    <row r="428">
      <c r="P428" s="153"/>
    </row>
    <row r="429">
      <c r="P429" s="153"/>
    </row>
    <row r="430">
      <c r="P430" s="153"/>
    </row>
    <row r="431">
      <c r="P431" s="153"/>
    </row>
    <row r="432">
      <c r="P432" s="153"/>
    </row>
    <row r="433">
      <c r="P433" s="153"/>
    </row>
    <row r="434">
      <c r="P434" s="153"/>
    </row>
    <row r="435">
      <c r="P435" s="153"/>
    </row>
    <row r="436">
      <c r="P436" s="153"/>
    </row>
    <row r="437">
      <c r="P437" s="153"/>
    </row>
    <row r="438">
      <c r="P438" s="153"/>
    </row>
    <row r="439">
      <c r="P439" s="153"/>
    </row>
    <row r="440">
      <c r="P440" s="153"/>
    </row>
    <row r="441">
      <c r="P441" s="153"/>
    </row>
    <row r="442">
      <c r="P442" s="153"/>
    </row>
    <row r="443">
      <c r="P443" s="153"/>
    </row>
    <row r="444">
      <c r="P444" s="153"/>
    </row>
    <row r="445">
      <c r="P445" s="153"/>
    </row>
    <row r="446">
      <c r="P446" s="153"/>
    </row>
    <row r="447">
      <c r="P447" s="153"/>
    </row>
    <row r="448">
      <c r="P448" s="153"/>
    </row>
    <row r="449">
      <c r="P449" s="153"/>
    </row>
    <row r="450">
      <c r="P450" s="153"/>
    </row>
    <row r="451">
      <c r="P451" s="153"/>
    </row>
    <row r="452">
      <c r="P452" s="153"/>
    </row>
    <row r="453">
      <c r="P453" s="153"/>
    </row>
    <row r="454">
      <c r="P454" s="153"/>
    </row>
    <row r="455">
      <c r="P455" s="153"/>
    </row>
    <row r="456">
      <c r="P456" s="153"/>
    </row>
    <row r="457">
      <c r="P457" s="153"/>
    </row>
    <row r="458">
      <c r="P458" s="153"/>
    </row>
    <row r="459">
      <c r="P459" s="153"/>
    </row>
    <row r="460">
      <c r="P460" s="153"/>
    </row>
    <row r="461">
      <c r="P461" s="153"/>
    </row>
    <row r="462">
      <c r="P462" s="153"/>
    </row>
    <row r="463">
      <c r="P463" s="153"/>
    </row>
    <row r="464">
      <c r="P464" s="153"/>
    </row>
    <row r="465">
      <c r="P465" s="153"/>
    </row>
    <row r="466">
      <c r="P466" s="153"/>
    </row>
    <row r="467">
      <c r="P467" s="153"/>
    </row>
    <row r="468">
      <c r="P468" s="153"/>
    </row>
    <row r="469">
      <c r="P469" s="153"/>
    </row>
    <row r="470">
      <c r="P470" s="153"/>
    </row>
    <row r="471">
      <c r="P471" s="153"/>
    </row>
    <row r="472">
      <c r="P472" s="153"/>
    </row>
    <row r="473">
      <c r="P473" s="153"/>
    </row>
    <row r="474">
      <c r="P474" s="153"/>
    </row>
    <row r="475">
      <c r="P475" s="153"/>
    </row>
    <row r="476">
      <c r="P476" s="153"/>
    </row>
    <row r="477">
      <c r="P477" s="153"/>
    </row>
    <row r="478">
      <c r="P478" s="153"/>
    </row>
    <row r="479">
      <c r="P479" s="153"/>
    </row>
    <row r="480">
      <c r="P480" s="153"/>
    </row>
    <row r="481">
      <c r="P481" s="153"/>
    </row>
    <row r="482">
      <c r="P482" s="153"/>
    </row>
    <row r="483">
      <c r="P483" s="153"/>
    </row>
    <row r="484">
      <c r="P484" s="153"/>
    </row>
    <row r="485">
      <c r="P485" s="153"/>
    </row>
    <row r="486">
      <c r="P486" s="153"/>
    </row>
    <row r="487">
      <c r="P487" s="153"/>
    </row>
    <row r="488">
      <c r="P488" s="153"/>
    </row>
    <row r="489">
      <c r="P489" s="153"/>
    </row>
    <row r="490">
      <c r="P490" s="153"/>
    </row>
    <row r="491">
      <c r="P491" s="153"/>
    </row>
    <row r="492">
      <c r="P492" s="153"/>
    </row>
    <row r="493">
      <c r="P493" s="153"/>
    </row>
    <row r="494">
      <c r="P494" s="153"/>
    </row>
    <row r="495">
      <c r="P495" s="153"/>
    </row>
    <row r="496">
      <c r="P496" s="153"/>
    </row>
    <row r="497">
      <c r="P497" s="153"/>
    </row>
    <row r="498">
      <c r="P498" s="153"/>
    </row>
    <row r="499">
      <c r="P499" s="153"/>
    </row>
    <row r="500">
      <c r="P500" s="153"/>
    </row>
    <row r="501">
      <c r="P501" s="153"/>
    </row>
    <row r="502">
      <c r="P502" s="153"/>
    </row>
    <row r="503">
      <c r="P503" s="153"/>
    </row>
    <row r="504">
      <c r="P504" s="153"/>
    </row>
    <row r="505">
      <c r="P505" s="153"/>
    </row>
    <row r="506">
      <c r="P506" s="153"/>
    </row>
    <row r="507">
      <c r="P507" s="153"/>
    </row>
    <row r="508">
      <c r="P508" s="153"/>
    </row>
    <row r="509">
      <c r="P509" s="153"/>
    </row>
    <row r="510">
      <c r="P510" s="153"/>
    </row>
    <row r="511">
      <c r="P511" s="153"/>
    </row>
    <row r="512">
      <c r="P512" s="153"/>
    </row>
    <row r="513">
      <c r="P513" s="153"/>
    </row>
    <row r="514">
      <c r="P514" s="153"/>
    </row>
    <row r="515">
      <c r="P515" s="153"/>
    </row>
    <row r="516">
      <c r="P516" s="153"/>
    </row>
    <row r="517">
      <c r="P517" s="153"/>
    </row>
    <row r="518">
      <c r="P518" s="153"/>
    </row>
    <row r="519">
      <c r="P519" s="153"/>
    </row>
    <row r="520">
      <c r="P520" s="153"/>
    </row>
    <row r="521">
      <c r="P521" s="153"/>
    </row>
    <row r="522">
      <c r="P522" s="153"/>
    </row>
    <row r="523">
      <c r="P523" s="153"/>
    </row>
    <row r="524">
      <c r="P524" s="153"/>
    </row>
    <row r="525">
      <c r="P525" s="153"/>
    </row>
    <row r="526">
      <c r="P526" s="153"/>
    </row>
    <row r="527">
      <c r="P527" s="153"/>
    </row>
    <row r="528">
      <c r="P528" s="153"/>
    </row>
    <row r="529">
      <c r="P529" s="153"/>
    </row>
    <row r="530">
      <c r="P530" s="153"/>
    </row>
    <row r="531">
      <c r="P531" s="153"/>
    </row>
    <row r="532">
      <c r="P532" s="153"/>
    </row>
    <row r="533">
      <c r="P533" s="153"/>
    </row>
    <row r="534">
      <c r="P534" s="153"/>
    </row>
    <row r="535">
      <c r="P535" s="153"/>
    </row>
    <row r="536">
      <c r="P536" s="153"/>
    </row>
    <row r="537">
      <c r="P537" s="153"/>
    </row>
    <row r="538">
      <c r="P538" s="153"/>
    </row>
    <row r="539">
      <c r="P539" s="153"/>
    </row>
    <row r="540">
      <c r="P540" s="153"/>
    </row>
    <row r="541">
      <c r="P541" s="153"/>
    </row>
    <row r="542">
      <c r="P542" s="153"/>
    </row>
    <row r="543">
      <c r="P543" s="153"/>
    </row>
    <row r="544">
      <c r="P544" s="153"/>
    </row>
    <row r="545">
      <c r="P545" s="153"/>
    </row>
    <row r="546">
      <c r="P546" s="153"/>
    </row>
    <row r="547">
      <c r="P547" s="153"/>
    </row>
    <row r="548">
      <c r="P548" s="153"/>
    </row>
    <row r="549">
      <c r="P549" s="153"/>
    </row>
    <row r="550">
      <c r="P550" s="153"/>
    </row>
    <row r="551">
      <c r="P551" s="153"/>
    </row>
    <row r="552">
      <c r="P552" s="153"/>
    </row>
    <row r="553">
      <c r="P553" s="153"/>
    </row>
    <row r="554">
      <c r="P554" s="153"/>
    </row>
    <row r="555">
      <c r="P555" s="153"/>
    </row>
    <row r="556">
      <c r="P556" s="153"/>
    </row>
    <row r="557">
      <c r="P557" s="153"/>
    </row>
    <row r="558">
      <c r="P558" s="153"/>
    </row>
    <row r="559">
      <c r="P559" s="153"/>
    </row>
    <row r="560">
      <c r="P560" s="153"/>
    </row>
    <row r="561">
      <c r="P561" s="153"/>
    </row>
    <row r="562">
      <c r="P562" s="153"/>
    </row>
    <row r="563">
      <c r="P563" s="153"/>
    </row>
    <row r="564">
      <c r="P564" s="153"/>
    </row>
    <row r="565">
      <c r="P565" s="153"/>
    </row>
    <row r="566">
      <c r="P566" s="153"/>
    </row>
    <row r="567">
      <c r="P567" s="153"/>
    </row>
    <row r="568">
      <c r="P568" s="153"/>
    </row>
    <row r="569">
      <c r="P569" s="153"/>
    </row>
    <row r="570">
      <c r="P570" s="153"/>
    </row>
    <row r="571">
      <c r="P571" s="153"/>
    </row>
    <row r="572">
      <c r="P572" s="153"/>
    </row>
    <row r="573">
      <c r="P573" s="153"/>
    </row>
    <row r="574">
      <c r="P574" s="153"/>
    </row>
    <row r="575">
      <c r="P575" s="153"/>
    </row>
    <row r="576">
      <c r="P576" s="153"/>
    </row>
    <row r="577">
      <c r="P577" s="153"/>
    </row>
    <row r="578">
      <c r="P578" s="153"/>
    </row>
    <row r="579">
      <c r="P579" s="153"/>
    </row>
    <row r="580">
      <c r="P580" s="153"/>
    </row>
    <row r="581">
      <c r="P581" s="153"/>
    </row>
    <row r="582">
      <c r="P582" s="153"/>
    </row>
    <row r="583">
      <c r="P583" s="153"/>
    </row>
    <row r="584">
      <c r="P584" s="153"/>
    </row>
    <row r="585">
      <c r="P585" s="153"/>
    </row>
    <row r="586">
      <c r="P586" s="153"/>
    </row>
    <row r="587">
      <c r="P587" s="153"/>
    </row>
    <row r="588">
      <c r="P588" s="153"/>
    </row>
    <row r="589">
      <c r="P589" s="153"/>
    </row>
    <row r="590">
      <c r="P590" s="153"/>
    </row>
    <row r="591">
      <c r="P591" s="153"/>
    </row>
    <row r="592">
      <c r="P592" s="153"/>
    </row>
    <row r="593">
      <c r="P593" s="153"/>
    </row>
    <row r="594">
      <c r="P594" s="153"/>
    </row>
    <row r="595">
      <c r="P595" s="153"/>
    </row>
    <row r="596">
      <c r="P596" s="153"/>
    </row>
    <row r="597">
      <c r="P597" s="153"/>
    </row>
    <row r="598">
      <c r="P598" s="153"/>
    </row>
    <row r="599">
      <c r="P599" s="153"/>
    </row>
    <row r="600">
      <c r="P600" s="153"/>
    </row>
    <row r="601">
      <c r="P601" s="153"/>
    </row>
    <row r="602">
      <c r="P602" s="153"/>
    </row>
    <row r="603">
      <c r="P603" s="153"/>
    </row>
    <row r="604">
      <c r="P604" s="153"/>
    </row>
    <row r="605">
      <c r="P605" s="153"/>
    </row>
    <row r="606">
      <c r="P606" s="153"/>
    </row>
    <row r="607">
      <c r="P607" s="153"/>
    </row>
    <row r="608">
      <c r="P608" s="153"/>
    </row>
    <row r="609">
      <c r="P609" s="153"/>
    </row>
    <row r="610">
      <c r="P610" s="153"/>
    </row>
    <row r="611">
      <c r="P611" s="153"/>
    </row>
    <row r="612">
      <c r="P612" s="153"/>
    </row>
    <row r="613">
      <c r="P613" s="153"/>
    </row>
    <row r="614">
      <c r="P614" s="153"/>
    </row>
    <row r="615">
      <c r="P615" s="153"/>
    </row>
    <row r="616">
      <c r="P616" s="153"/>
    </row>
    <row r="617">
      <c r="P617" s="153"/>
    </row>
    <row r="618">
      <c r="P618" s="153"/>
    </row>
    <row r="619">
      <c r="P619" s="153"/>
    </row>
    <row r="620">
      <c r="P620" s="153"/>
    </row>
    <row r="621">
      <c r="P621" s="153"/>
    </row>
    <row r="622">
      <c r="P622" s="153"/>
    </row>
    <row r="623">
      <c r="P623" s="153"/>
    </row>
    <row r="624">
      <c r="P624" s="153"/>
    </row>
    <row r="625">
      <c r="P625" s="153"/>
    </row>
    <row r="626">
      <c r="P626" s="153"/>
    </row>
    <row r="627">
      <c r="P627" s="153"/>
    </row>
    <row r="628">
      <c r="P628" s="153"/>
    </row>
    <row r="629">
      <c r="P629" s="153"/>
    </row>
    <row r="630">
      <c r="P630" s="153"/>
    </row>
    <row r="631">
      <c r="P631" s="153"/>
    </row>
    <row r="632">
      <c r="P632" s="153"/>
    </row>
    <row r="633">
      <c r="P633" s="153"/>
    </row>
    <row r="634">
      <c r="P634" s="153"/>
    </row>
    <row r="635">
      <c r="P635" s="153"/>
    </row>
    <row r="636">
      <c r="P636" s="153"/>
    </row>
    <row r="637">
      <c r="P637" s="153"/>
    </row>
    <row r="638">
      <c r="P638" s="153"/>
    </row>
    <row r="639">
      <c r="P639" s="153"/>
    </row>
    <row r="640">
      <c r="P640" s="153"/>
    </row>
    <row r="641">
      <c r="P641" s="153"/>
    </row>
    <row r="642">
      <c r="P642" s="153"/>
    </row>
    <row r="643">
      <c r="P643" s="153"/>
    </row>
    <row r="644">
      <c r="P644" s="153"/>
    </row>
    <row r="645">
      <c r="P645" s="153"/>
    </row>
    <row r="646">
      <c r="P646" s="153"/>
    </row>
    <row r="647">
      <c r="P647" s="153"/>
    </row>
    <row r="648">
      <c r="P648" s="153"/>
    </row>
    <row r="649">
      <c r="P649" s="153"/>
    </row>
    <row r="650">
      <c r="P650" s="153"/>
    </row>
    <row r="651">
      <c r="P651" s="153"/>
    </row>
    <row r="652">
      <c r="P652" s="153"/>
    </row>
    <row r="653">
      <c r="P653" s="153"/>
    </row>
    <row r="654">
      <c r="P654" s="153"/>
    </row>
    <row r="655">
      <c r="P655" s="153"/>
    </row>
    <row r="656">
      <c r="P656" s="153"/>
    </row>
    <row r="657">
      <c r="P657" s="153"/>
    </row>
    <row r="658">
      <c r="P658" s="153"/>
    </row>
    <row r="659">
      <c r="P659" s="153"/>
    </row>
    <row r="660">
      <c r="P660" s="153"/>
    </row>
    <row r="661">
      <c r="P661" s="153"/>
    </row>
    <row r="662">
      <c r="P662" s="153"/>
    </row>
    <row r="663">
      <c r="P663" s="153"/>
    </row>
    <row r="664">
      <c r="P664" s="153"/>
    </row>
    <row r="665">
      <c r="P665" s="153"/>
    </row>
    <row r="666">
      <c r="P666" s="153"/>
    </row>
    <row r="667">
      <c r="P667" s="153"/>
    </row>
    <row r="668">
      <c r="P668" s="153"/>
    </row>
    <row r="669">
      <c r="P669" s="153"/>
    </row>
    <row r="670">
      <c r="P670" s="153"/>
    </row>
    <row r="671">
      <c r="P671" s="153"/>
    </row>
    <row r="672">
      <c r="P672" s="153"/>
    </row>
    <row r="673">
      <c r="P673" s="153"/>
    </row>
    <row r="674">
      <c r="P674" s="153"/>
    </row>
    <row r="675">
      <c r="P675" s="153"/>
    </row>
    <row r="676">
      <c r="P676" s="153"/>
    </row>
    <row r="677">
      <c r="P677" s="153"/>
    </row>
    <row r="678">
      <c r="P678" s="153"/>
    </row>
    <row r="679">
      <c r="P679" s="153"/>
    </row>
    <row r="680">
      <c r="P680" s="153"/>
    </row>
    <row r="681">
      <c r="P681" s="153"/>
    </row>
    <row r="682">
      <c r="P682" s="153"/>
    </row>
    <row r="683">
      <c r="P683" s="153"/>
    </row>
    <row r="684">
      <c r="P684" s="153"/>
    </row>
    <row r="685">
      <c r="P685" s="153"/>
    </row>
    <row r="686">
      <c r="P686" s="153"/>
    </row>
    <row r="687">
      <c r="P687" s="153"/>
    </row>
    <row r="688">
      <c r="P688" s="153"/>
    </row>
    <row r="689">
      <c r="P689" s="153"/>
    </row>
    <row r="690">
      <c r="P690" s="153"/>
    </row>
    <row r="691">
      <c r="P691" s="153"/>
    </row>
    <row r="692">
      <c r="P692" s="153"/>
    </row>
    <row r="693">
      <c r="P693" s="153"/>
    </row>
    <row r="694">
      <c r="P694" s="153"/>
    </row>
    <row r="695">
      <c r="P695" s="153"/>
    </row>
    <row r="696">
      <c r="P696" s="153"/>
    </row>
    <row r="697">
      <c r="P697" s="153"/>
    </row>
    <row r="698">
      <c r="P698" s="153"/>
    </row>
    <row r="699">
      <c r="P699" s="153"/>
    </row>
    <row r="700">
      <c r="P700" s="153"/>
    </row>
    <row r="701">
      <c r="P701" s="153"/>
    </row>
    <row r="702">
      <c r="P702" s="153"/>
    </row>
    <row r="703">
      <c r="P703" s="153"/>
    </row>
    <row r="704">
      <c r="P704" s="153"/>
    </row>
    <row r="705">
      <c r="P705" s="153"/>
    </row>
    <row r="706">
      <c r="P706" s="153"/>
    </row>
    <row r="707">
      <c r="P707" s="153"/>
    </row>
    <row r="708">
      <c r="P708" s="153"/>
    </row>
    <row r="709">
      <c r="P709" s="153"/>
    </row>
    <row r="710">
      <c r="P710" s="153"/>
    </row>
    <row r="711">
      <c r="P711" s="153"/>
    </row>
    <row r="712">
      <c r="P712" s="153"/>
    </row>
    <row r="713">
      <c r="P713" s="153"/>
    </row>
    <row r="714">
      <c r="P714" s="153"/>
    </row>
    <row r="715">
      <c r="P715" s="153"/>
    </row>
    <row r="716">
      <c r="P716" s="153"/>
    </row>
    <row r="717">
      <c r="P717" s="153"/>
    </row>
    <row r="718">
      <c r="P718" s="153"/>
    </row>
    <row r="719">
      <c r="P719" s="153"/>
    </row>
    <row r="720">
      <c r="P720" s="153"/>
    </row>
    <row r="721">
      <c r="P721" s="153"/>
    </row>
    <row r="722">
      <c r="P722" s="153"/>
    </row>
    <row r="723">
      <c r="P723" s="153"/>
    </row>
    <row r="724">
      <c r="P724" s="153"/>
    </row>
    <row r="725">
      <c r="P725" s="153"/>
    </row>
    <row r="726">
      <c r="P726" s="153"/>
    </row>
    <row r="727">
      <c r="P727" s="153"/>
    </row>
    <row r="728">
      <c r="P728" s="153"/>
    </row>
    <row r="729">
      <c r="P729" s="153"/>
    </row>
    <row r="730">
      <c r="P730" s="153"/>
    </row>
    <row r="731">
      <c r="P731" s="153"/>
    </row>
    <row r="732">
      <c r="P732" s="153"/>
    </row>
    <row r="733">
      <c r="P733" s="153"/>
    </row>
    <row r="734">
      <c r="P734" s="153"/>
    </row>
    <row r="735">
      <c r="P735" s="153"/>
    </row>
    <row r="736">
      <c r="P736" s="153"/>
    </row>
    <row r="737">
      <c r="P737" s="153"/>
    </row>
    <row r="738">
      <c r="P738" s="153"/>
    </row>
    <row r="739">
      <c r="P739" s="153"/>
    </row>
    <row r="740">
      <c r="P740" s="153"/>
    </row>
    <row r="741">
      <c r="P741" s="153"/>
    </row>
    <row r="742">
      <c r="P742" s="153"/>
    </row>
    <row r="743">
      <c r="P743" s="153"/>
    </row>
    <row r="744">
      <c r="P744" s="153"/>
    </row>
    <row r="745">
      <c r="P745" s="153"/>
    </row>
    <row r="746">
      <c r="P746" s="153"/>
    </row>
    <row r="747">
      <c r="P747" s="153"/>
    </row>
    <row r="748">
      <c r="P748" s="153"/>
    </row>
    <row r="749">
      <c r="P749" s="153"/>
    </row>
    <row r="750">
      <c r="P750" s="153"/>
    </row>
    <row r="751">
      <c r="P751" s="153"/>
    </row>
    <row r="752">
      <c r="P752" s="153"/>
    </row>
    <row r="753">
      <c r="P753" s="153"/>
    </row>
    <row r="754">
      <c r="P754" s="153"/>
    </row>
    <row r="755">
      <c r="P755" s="153"/>
    </row>
    <row r="756">
      <c r="P756" s="153"/>
    </row>
    <row r="757">
      <c r="P757" s="153"/>
    </row>
    <row r="758">
      <c r="P758" s="153"/>
    </row>
    <row r="759">
      <c r="P759" s="153"/>
    </row>
    <row r="760">
      <c r="P760" s="153"/>
    </row>
    <row r="761">
      <c r="P761" s="153"/>
    </row>
    <row r="762">
      <c r="P762" s="153"/>
    </row>
    <row r="763">
      <c r="P763" s="153"/>
    </row>
    <row r="764">
      <c r="P764" s="153"/>
    </row>
    <row r="765">
      <c r="P765" s="153"/>
    </row>
    <row r="766">
      <c r="P766" s="153"/>
    </row>
    <row r="767">
      <c r="P767" s="153"/>
    </row>
    <row r="768">
      <c r="P768" s="153"/>
    </row>
    <row r="769">
      <c r="P769" s="153"/>
    </row>
    <row r="770">
      <c r="P770" s="153"/>
    </row>
    <row r="771">
      <c r="P771" s="153"/>
    </row>
    <row r="772">
      <c r="P772" s="153"/>
    </row>
    <row r="773">
      <c r="P773" s="153"/>
    </row>
    <row r="774">
      <c r="P774" s="153"/>
    </row>
    <row r="775">
      <c r="P775" s="153"/>
    </row>
    <row r="776">
      <c r="P776" s="153"/>
    </row>
    <row r="777">
      <c r="P777" s="153"/>
    </row>
    <row r="778">
      <c r="P778" s="153"/>
    </row>
    <row r="779">
      <c r="P779" s="153"/>
    </row>
    <row r="780">
      <c r="P780" s="153"/>
    </row>
    <row r="781">
      <c r="P781" s="153"/>
    </row>
    <row r="782">
      <c r="P782" s="153"/>
    </row>
    <row r="783">
      <c r="P783" s="153"/>
    </row>
    <row r="784">
      <c r="P784" s="153"/>
    </row>
    <row r="785">
      <c r="P785" s="153"/>
    </row>
    <row r="786">
      <c r="P786" s="153"/>
    </row>
    <row r="787">
      <c r="P787" s="153"/>
    </row>
    <row r="788">
      <c r="P788" s="153"/>
    </row>
    <row r="789">
      <c r="P789" s="153"/>
    </row>
    <row r="790">
      <c r="P790" s="153"/>
    </row>
    <row r="791">
      <c r="P791" s="153"/>
    </row>
    <row r="792">
      <c r="P792" s="153"/>
    </row>
    <row r="793">
      <c r="P793" s="153"/>
    </row>
    <row r="794">
      <c r="P794" s="153"/>
    </row>
    <row r="795">
      <c r="P795" s="153"/>
    </row>
    <row r="796">
      <c r="P796" s="153"/>
    </row>
    <row r="797">
      <c r="P797" s="153"/>
    </row>
    <row r="798">
      <c r="P798" s="153"/>
    </row>
    <row r="799">
      <c r="P799" s="153"/>
    </row>
    <row r="800">
      <c r="P800" s="153"/>
    </row>
    <row r="801">
      <c r="P801" s="153"/>
    </row>
    <row r="802">
      <c r="P802" s="153"/>
    </row>
    <row r="803">
      <c r="P803" s="153"/>
    </row>
    <row r="804">
      <c r="P804" s="153"/>
    </row>
    <row r="805">
      <c r="P805" s="153"/>
    </row>
    <row r="806">
      <c r="P806" s="153"/>
    </row>
    <row r="807">
      <c r="P807" s="153"/>
    </row>
    <row r="808">
      <c r="P808" s="153"/>
    </row>
    <row r="809">
      <c r="P809" s="153"/>
    </row>
    <row r="810">
      <c r="P810" s="153"/>
    </row>
    <row r="811">
      <c r="P811" s="153"/>
    </row>
    <row r="812">
      <c r="P812" s="153"/>
    </row>
    <row r="813">
      <c r="P813" s="153"/>
    </row>
    <row r="814">
      <c r="P814" s="153"/>
    </row>
    <row r="815">
      <c r="P815" s="153"/>
    </row>
    <row r="816">
      <c r="P816" s="153"/>
    </row>
    <row r="817">
      <c r="P817" s="153"/>
    </row>
    <row r="818">
      <c r="P818" s="153"/>
    </row>
    <row r="819">
      <c r="P819" s="153"/>
    </row>
    <row r="820">
      <c r="P820" s="153"/>
    </row>
    <row r="821">
      <c r="P821" s="153"/>
    </row>
    <row r="822">
      <c r="P822" s="153"/>
    </row>
    <row r="823">
      <c r="P823" s="153"/>
    </row>
    <row r="824">
      <c r="P824" s="153"/>
    </row>
    <row r="825">
      <c r="P825" s="153"/>
    </row>
    <row r="826">
      <c r="P826" s="153"/>
    </row>
    <row r="827">
      <c r="P827" s="153"/>
    </row>
    <row r="828">
      <c r="P828" s="153"/>
    </row>
    <row r="829">
      <c r="P829" s="153"/>
    </row>
    <row r="830">
      <c r="P830" s="153"/>
    </row>
    <row r="831">
      <c r="P831" s="153"/>
    </row>
    <row r="832">
      <c r="P832" s="153"/>
    </row>
    <row r="833">
      <c r="P833" s="153"/>
    </row>
    <row r="834">
      <c r="P834" s="153"/>
    </row>
    <row r="835">
      <c r="P835" s="153"/>
    </row>
    <row r="836">
      <c r="P836" s="153"/>
    </row>
    <row r="837">
      <c r="P837" s="153"/>
    </row>
    <row r="838">
      <c r="P838" s="153"/>
    </row>
    <row r="839">
      <c r="P839" s="153"/>
    </row>
    <row r="840">
      <c r="P840" s="153"/>
    </row>
    <row r="841">
      <c r="P841" s="153"/>
    </row>
    <row r="842">
      <c r="P842" s="153"/>
    </row>
    <row r="843">
      <c r="P843" s="153"/>
    </row>
    <row r="844">
      <c r="P844" s="153"/>
    </row>
    <row r="845">
      <c r="P845" s="153"/>
    </row>
    <row r="846">
      <c r="P846" s="153"/>
    </row>
    <row r="847">
      <c r="P847" s="153"/>
    </row>
    <row r="848">
      <c r="P848" s="153"/>
    </row>
    <row r="849">
      <c r="P849" s="153"/>
    </row>
    <row r="850">
      <c r="P850" s="153"/>
    </row>
    <row r="851">
      <c r="P851" s="153"/>
    </row>
    <row r="852">
      <c r="P852" s="153"/>
    </row>
    <row r="853">
      <c r="P853" s="153"/>
    </row>
    <row r="854">
      <c r="P854" s="153"/>
    </row>
    <row r="855">
      <c r="P855" s="153"/>
    </row>
    <row r="856">
      <c r="P856" s="153"/>
    </row>
    <row r="857">
      <c r="P857" s="153"/>
    </row>
    <row r="858">
      <c r="P858" s="153"/>
    </row>
    <row r="859">
      <c r="P859" s="153"/>
    </row>
    <row r="860">
      <c r="P860" s="153"/>
    </row>
    <row r="861">
      <c r="P861" s="153"/>
    </row>
    <row r="862">
      <c r="P862" s="153"/>
    </row>
    <row r="863">
      <c r="P863" s="153"/>
    </row>
    <row r="864">
      <c r="P864" s="153"/>
    </row>
    <row r="865">
      <c r="P865" s="153"/>
    </row>
    <row r="866">
      <c r="P866" s="153"/>
    </row>
    <row r="867">
      <c r="P867" s="153"/>
    </row>
    <row r="868">
      <c r="P868" s="153"/>
    </row>
    <row r="869">
      <c r="P869" s="153"/>
    </row>
    <row r="870">
      <c r="P870" s="153"/>
    </row>
    <row r="871">
      <c r="P871" s="153"/>
    </row>
    <row r="872">
      <c r="P872" s="153"/>
    </row>
    <row r="873">
      <c r="P873" s="153"/>
    </row>
    <row r="874">
      <c r="P874" s="153"/>
    </row>
    <row r="875">
      <c r="P875" s="153"/>
    </row>
    <row r="876">
      <c r="P876" s="153"/>
    </row>
    <row r="877">
      <c r="P877" s="153"/>
    </row>
    <row r="878">
      <c r="P878" s="153"/>
    </row>
    <row r="879">
      <c r="P879" s="153"/>
    </row>
    <row r="880">
      <c r="P880" s="153"/>
    </row>
    <row r="881">
      <c r="P881" s="153"/>
    </row>
    <row r="882">
      <c r="P882" s="153"/>
    </row>
    <row r="883">
      <c r="P883" s="153"/>
    </row>
    <row r="884">
      <c r="P884" s="153"/>
    </row>
    <row r="885">
      <c r="P885" s="153"/>
    </row>
    <row r="886">
      <c r="P886" s="153"/>
    </row>
    <row r="887">
      <c r="P887" s="153"/>
    </row>
    <row r="888">
      <c r="P888" s="153"/>
    </row>
    <row r="889">
      <c r="P889" s="153"/>
    </row>
    <row r="890">
      <c r="P890" s="153"/>
    </row>
    <row r="891">
      <c r="P891" s="153"/>
    </row>
    <row r="892">
      <c r="P892" s="153"/>
    </row>
    <row r="893">
      <c r="P893" s="153"/>
    </row>
    <row r="894">
      <c r="P894" s="153"/>
    </row>
    <row r="895">
      <c r="P895" s="153"/>
    </row>
    <row r="896">
      <c r="P896" s="153"/>
    </row>
    <row r="897">
      <c r="P897" s="153"/>
    </row>
    <row r="898">
      <c r="P898" s="153"/>
    </row>
    <row r="899">
      <c r="P899" s="153"/>
    </row>
    <row r="900">
      <c r="P900" s="153"/>
    </row>
    <row r="901">
      <c r="P901" s="153"/>
    </row>
    <row r="902">
      <c r="P902" s="153"/>
    </row>
    <row r="903">
      <c r="P903" s="153"/>
    </row>
    <row r="904">
      <c r="P904" s="153"/>
    </row>
    <row r="905">
      <c r="P905" s="153"/>
    </row>
    <row r="906">
      <c r="P906" s="153"/>
    </row>
    <row r="907">
      <c r="P907" s="153"/>
    </row>
    <row r="908">
      <c r="P908" s="153"/>
    </row>
    <row r="909">
      <c r="P909" s="153"/>
    </row>
    <row r="910">
      <c r="P910" s="153"/>
    </row>
    <row r="911">
      <c r="P911" s="153"/>
    </row>
    <row r="912">
      <c r="P912" s="153"/>
    </row>
    <row r="913">
      <c r="P913" s="153"/>
    </row>
    <row r="914">
      <c r="P914" s="153"/>
    </row>
    <row r="915">
      <c r="P915" s="153"/>
    </row>
    <row r="916">
      <c r="P916" s="153"/>
    </row>
    <row r="917">
      <c r="P917" s="153"/>
    </row>
    <row r="918">
      <c r="P918" s="153"/>
    </row>
    <row r="919">
      <c r="P919" s="153"/>
    </row>
    <row r="920">
      <c r="P920" s="153"/>
    </row>
    <row r="921">
      <c r="P921" s="153"/>
    </row>
    <row r="922">
      <c r="P922" s="153"/>
    </row>
    <row r="923">
      <c r="P923" s="153"/>
    </row>
    <row r="924">
      <c r="P924" s="153"/>
    </row>
    <row r="925">
      <c r="P925" s="153"/>
    </row>
    <row r="926">
      <c r="P926" s="153"/>
    </row>
    <row r="927">
      <c r="P927" s="153"/>
    </row>
    <row r="928">
      <c r="P928" s="153"/>
    </row>
    <row r="929">
      <c r="P929" s="153"/>
    </row>
    <row r="930">
      <c r="P930" s="153"/>
    </row>
    <row r="931">
      <c r="P931" s="153"/>
    </row>
    <row r="932">
      <c r="P932" s="153"/>
    </row>
    <row r="933">
      <c r="P933" s="153"/>
    </row>
    <row r="934">
      <c r="P934" s="153"/>
    </row>
    <row r="935">
      <c r="P935" s="153"/>
    </row>
    <row r="936">
      <c r="P936" s="153"/>
    </row>
    <row r="937">
      <c r="P937" s="153"/>
    </row>
    <row r="938">
      <c r="P938" s="153"/>
    </row>
    <row r="939">
      <c r="P939" s="153"/>
    </row>
    <row r="940">
      <c r="P940" s="153"/>
    </row>
    <row r="941">
      <c r="P941" s="153"/>
    </row>
    <row r="942">
      <c r="P942" s="153"/>
    </row>
    <row r="943">
      <c r="P943" s="153"/>
    </row>
    <row r="944">
      <c r="P944" s="153"/>
    </row>
    <row r="945">
      <c r="P945" s="153"/>
    </row>
    <row r="946">
      <c r="P946" s="153"/>
    </row>
    <row r="947">
      <c r="P947" s="153"/>
    </row>
    <row r="948">
      <c r="P948" s="153"/>
    </row>
    <row r="949">
      <c r="P949" s="153"/>
    </row>
    <row r="950">
      <c r="P950" s="153"/>
    </row>
    <row r="951">
      <c r="P951" s="153"/>
    </row>
    <row r="952">
      <c r="P952" s="153"/>
    </row>
    <row r="953">
      <c r="P953" s="153"/>
    </row>
    <row r="954">
      <c r="P954" s="153"/>
    </row>
    <row r="955">
      <c r="P955" s="153"/>
    </row>
    <row r="956">
      <c r="P956" s="153"/>
    </row>
    <row r="957">
      <c r="P957" s="153"/>
    </row>
    <row r="958">
      <c r="P958" s="153"/>
    </row>
    <row r="959">
      <c r="P959" s="153"/>
    </row>
    <row r="960">
      <c r="P960" s="153"/>
    </row>
    <row r="961">
      <c r="P961" s="153"/>
    </row>
    <row r="962">
      <c r="P962" s="153"/>
    </row>
    <row r="963">
      <c r="P963" s="153"/>
    </row>
    <row r="964">
      <c r="P964" s="153"/>
    </row>
    <row r="965">
      <c r="P965" s="153"/>
    </row>
    <row r="966">
      <c r="P966" s="153"/>
    </row>
    <row r="967">
      <c r="P967" s="153"/>
    </row>
    <row r="968">
      <c r="P968" s="153"/>
    </row>
    <row r="969">
      <c r="P969" s="153"/>
    </row>
    <row r="970">
      <c r="P970" s="153"/>
    </row>
    <row r="971">
      <c r="P971" s="153"/>
    </row>
    <row r="972">
      <c r="P972" s="153"/>
    </row>
    <row r="973">
      <c r="P973" s="153"/>
    </row>
    <row r="974">
      <c r="P974" s="153"/>
    </row>
    <row r="975">
      <c r="P975" s="153"/>
    </row>
    <row r="976">
      <c r="P976" s="153"/>
    </row>
    <row r="977">
      <c r="P977" s="153"/>
    </row>
    <row r="978">
      <c r="P978" s="153"/>
    </row>
    <row r="979">
      <c r="P979" s="153"/>
    </row>
    <row r="980">
      <c r="P980" s="153"/>
    </row>
    <row r="981">
      <c r="P981" s="153"/>
    </row>
    <row r="982">
      <c r="P982" s="153"/>
    </row>
    <row r="983">
      <c r="P983" s="153"/>
    </row>
    <row r="984">
      <c r="P984" s="153"/>
    </row>
    <row r="985">
      <c r="P985" s="153"/>
    </row>
    <row r="986">
      <c r="P986" s="153"/>
    </row>
    <row r="987">
      <c r="P987" s="153"/>
    </row>
    <row r="988">
      <c r="P988" s="153"/>
    </row>
    <row r="989">
      <c r="P989" s="153"/>
    </row>
    <row r="990">
      <c r="P990" s="153"/>
    </row>
    <row r="991">
      <c r="P991" s="153"/>
    </row>
    <row r="992">
      <c r="P992" s="153"/>
    </row>
    <row r="993">
      <c r="P993" s="153"/>
    </row>
    <row r="994">
      <c r="P994" s="153"/>
    </row>
    <row r="995">
      <c r="P995" s="153"/>
    </row>
    <row r="996">
      <c r="P996" s="153"/>
    </row>
    <row r="997">
      <c r="P997" s="153"/>
    </row>
    <row r="998">
      <c r="P998" s="153"/>
    </row>
    <row r="999">
      <c r="P999" s="153"/>
    </row>
    <row r="1000">
      <c r="P1000" s="153"/>
    </row>
  </sheetData>
  <dataValidations>
    <dataValidation type="list" allowBlank="1" showErrorMessage="1" sqref="P1:P1000">
      <formula1>"IT Area,FMG Cabinet,WFH,Mezzanine,Transferred,Deployed Onsite,C3-6 2nd floor,IT storage"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P1" s="153"/>
    </row>
    <row r="2">
      <c r="P2" s="153"/>
    </row>
    <row r="3">
      <c r="P3" s="153"/>
    </row>
    <row r="4">
      <c r="P4" s="153"/>
    </row>
    <row r="5">
      <c r="P5" s="153"/>
    </row>
    <row r="6">
      <c r="P6" s="153"/>
    </row>
    <row r="7">
      <c r="P7" s="153"/>
    </row>
    <row r="8">
      <c r="P8" s="153"/>
    </row>
    <row r="9">
      <c r="P9" s="153"/>
    </row>
    <row r="10">
      <c r="P10" s="153"/>
    </row>
    <row r="11">
      <c r="P11" s="153"/>
    </row>
    <row r="12">
      <c r="P12" s="153"/>
    </row>
    <row r="13">
      <c r="P13" s="153"/>
    </row>
    <row r="14">
      <c r="P14" s="153"/>
    </row>
    <row r="15">
      <c r="P15" s="153"/>
    </row>
    <row r="16">
      <c r="P16" s="153"/>
    </row>
    <row r="17">
      <c r="P17" s="153"/>
    </row>
    <row r="18">
      <c r="P18" s="153"/>
    </row>
    <row r="19">
      <c r="P19" s="153"/>
    </row>
    <row r="20">
      <c r="P20" s="153"/>
    </row>
    <row r="21">
      <c r="P21" s="153"/>
    </row>
    <row r="22">
      <c r="P22" s="153"/>
    </row>
    <row r="23">
      <c r="P23" s="153"/>
    </row>
    <row r="24">
      <c r="P24" s="153"/>
    </row>
    <row r="25">
      <c r="P25" s="153"/>
    </row>
    <row r="26">
      <c r="P26" s="153"/>
    </row>
    <row r="27">
      <c r="P27" s="153"/>
    </row>
    <row r="28">
      <c r="P28" s="153"/>
    </row>
    <row r="29">
      <c r="P29" s="153"/>
    </row>
    <row r="30">
      <c r="P30" s="153"/>
    </row>
    <row r="31">
      <c r="P31" s="153"/>
    </row>
    <row r="32">
      <c r="P32" s="153"/>
    </row>
    <row r="33">
      <c r="P33" s="153"/>
    </row>
    <row r="34">
      <c r="P34" s="153"/>
    </row>
    <row r="35">
      <c r="P35" s="153"/>
    </row>
    <row r="36">
      <c r="P36" s="153"/>
    </row>
    <row r="37">
      <c r="P37" s="153"/>
    </row>
    <row r="38">
      <c r="P38" s="153"/>
    </row>
    <row r="39">
      <c r="P39" s="153"/>
    </row>
    <row r="40">
      <c r="P40" s="153"/>
    </row>
    <row r="41">
      <c r="P41" s="153"/>
    </row>
    <row r="42">
      <c r="P42" s="153"/>
    </row>
    <row r="43">
      <c r="P43" s="153"/>
    </row>
    <row r="44">
      <c r="P44" s="153"/>
    </row>
    <row r="45">
      <c r="P45" s="153"/>
    </row>
    <row r="46">
      <c r="P46" s="153"/>
    </row>
    <row r="47">
      <c r="P47" s="153"/>
    </row>
    <row r="48">
      <c r="P48" s="153"/>
    </row>
    <row r="49">
      <c r="P49" s="153"/>
    </row>
    <row r="50">
      <c r="P50" s="153"/>
    </row>
    <row r="51">
      <c r="P51" s="153"/>
    </row>
    <row r="52">
      <c r="P52" s="153"/>
    </row>
    <row r="53">
      <c r="P53" s="153"/>
    </row>
    <row r="54">
      <c r="P54" s="153"/>
    </row>
    <row r="55">
      <c r="P55" s="153"/>
    </row>
    <row r="56">
      <c r="P56" s="153"/>
    </row>
    <row r="57">
      <c r="P57" s="153"/>
    </row>
    <row r="58">
      <c r="P58" s="153"/>
    </row>
    <row r="59">
      <c r="P59" s="153"/>
    </row>
    <row r="60">
      <c r="P60" s="153"/>
    </row>
    <row r="61">
      <c r="P61" s="153"/>
    </row>
    <row r="62">
      <c r="P62" s="153"/>
    </row>
    <row r="63">
      <c r="P63" s="153"/>
    </row>
    <row r="64">
      <c r="P64" s="153"/>
    </row>
    <row r="65">
      <c r="P65" s="153"/>
    </row>
    <row r="66">
      <c r="P66" s="153"/>
    </row>
    <row r="67">
      <c r="P67" s="153"/>
    </row>
    <row r="68">
      <c r="P68" s="153"/>
    </row>
    <row r="69">
      <c r="P69" s="153"/>
    </row>
    <row r="70">
      <c r="P70" s="153"/>
    </row>
    <row r="71">
      <c r="P71" s="153"/>
    </row>
    <row r="72">
      <c r="P72" s="153"/>
    </row>
    <row r="73">
      <c r="P73" s="153"/>
    </row>
    <row r="74">
      <c r="P74" s="153"/>
    </row>
    <row r="75">
      <c r="P75" s="153"/>
    </row>
    <row r="76">
      <c r="P76" s="153"/>
    </row>
    <row r="77">
      <c r="P77" s="153"/>
    </row>
    <row r="78">
      <c r="P78" s="153"/>
    </row>
    <row r="79">
      <c r="P79" s="153"/>
    </row>
    <row r="80">
      <c r="P80" s="153"/>
    </row>
    <row r="81">
      <c r="P81" s="153"/>
    </row>
    <row r="82">
      <c r="P82" s="153"/>
    </row>
    <row r="83">
      <c r="P83" s="153"/>
    </row>
    <row r="84">
      <c r="P84" s="153"/>
    </row>
    <row r="85">
      <c r="P85" s="153"/>
    </row>
    <row r="86">
      <c r="P86" s="153"/>
    </row>
    <row r="87">
      <c r="P87" s="153"/>
    </row>
    <row r="88">
      <c r="P88" s="153"/>
    </row>
    <row r="89">
      <c r="P89" s="153"/>
    </row>
    <row r="90">
      <c r="P90" s="153"/>
    </row>
    <row r="91">
      <c r="P91" s="153"/>
    </row>
    <row r="92">
      <c r="P92" s="153"/>
    </row>
    <row r="93">
      <c r="P93" s="153"/>
    </row>
    <row r="94">
      <c r="P94" s="153"/>
    </row>
    <row r="95">
      <c r="P95" s="153"/>
    </row>
    <row r="96">
      <c r="P96" s="153"/>
    </row>
    <row r="97">
      <c r="P97" s="153"/>
    </row>
    <row r="98">
      <c r="P98" s="153"/>
    </row>
    <row r="99">
      <c r="P99" s="153"/>
    </row>
    <row r="100">
      <c r="P100" s="153"/>
    </row>
    <row r="101">
      <c r="P101" s="153"/>
    </row>
    <row r="102">
      <c r="P102" s="153"/>
    </row>
    <row r="103">
      <c r="P103" s="153"/>
    </row>
    <row r="104">
      <c r="P104" s="153"/>
    </row>
    <row r="105">
      <c r="P105" s="153"/>
    </row>
    <row r="106">
      <c r="P106" s="153"/>
    </row>
    <row r="107">
      <c r="P107" s="153"/>
    </row>
    <row r="108">
      <c r="P108" s="153"/>
    </row>
    <row r="109">
      <c r="P109" s="153"/>
    </row>
    <row r="110">
      <c r="P110" s="153"/>
    </row>
    <row r="111">
      <c r="P111" s="153"/>
    </row>
    <row r="112">
      <c r="P112" s="153"/>
    </row>
    <row r="113">
      <c r="P113" s="153"/>
    </row>
    <row r="114">
      <c r="P114" s="153"/>
    </row>
    <row r="115">
      <c r="P115" s="153"/>
    </row>
    <row r="116">
      <c r="P116" s="153"/>
    </row>
    <row r="117">
      <c r="P117" s="153"/>
    </row>
    <row r="118">
      <c r="P118" s="153"/>
    </row>
    <row r="119">
      <c r="P119" s="153"/>
    </row>
    <row r="120">
      <c r="P120" s="153"/>
    </row>
    <row r="121">
      <c r="P121" s="153"/>
    </row>
    <row r="122">
      <c r="P122" s="153"/>
    </row>
    <row r="123">
      <c r="P123" s="153"/>
    </row>
    <row r="124">
      <c r="P124" s="153"/>
    </row>
    <row r="125">
      <c r="P125" s="153"/>
    </row>
    <row r="126">
      <c r="P126" s="153"/>
    </row>
    <row r="127">
      <c r="P127" s="153"/>
    </row>
    <row r="128">
      <c r="P128" s="153"/>
    </row>
    <row r="129">
      <c r="P129" s="153"/>
    </row>
    <row r="130">
      <c r="P130" s="153"/>
    </row>
    <row r="131">
      <c r="P131" s="153"/>
    </row>
    <row r="132">
      <c r="P132" s="153"/>
    </row>
    <row r="133">
      <c r="P133" s="153"/>
    </row>
    <row r="134">
      <c r="P134" s="153"/>
    </row>
    <row r="135">
      <c r="P135" s="153"/>
    </row>
    <row r="136">
      <c r="P136" s="153"/>
    </row>
    <row r="137">
      <c r="P137" s="153"/>
    </row>
    <row r="138">
      <c r="P138" s="153"/>
    </row>
    <row r="139">
      <c r="P139" s="153"/>
    </row>
    <row r="140">
      <c r="P140" s="153"/>
    </row>
    <row r="141">
      <c r="P141" s="153"/>
    </row>
    <row r="142">
      <c r="P142" s="153"/>
    </row>
    <row r="143">
      <c r="P143" s="153"/>
    </row>
    <row r="144">
      <c r="P144" s="153"/>
    </row>
    <row r="145">
      <c r="P145" s="153"/>
    </row>
    <row r="146">
      <c r="P146" s="153"/>
    </row>
    <row r="147">
      <c r="P147" s="153"/>
    </row>
    <row r="148">
      <c r="P148" s="153"/>
    </row>
    <row r="149">
      <c r="P149" s="153"/>
    </row>
    <row r="150">
      <c r="P150" s="153"/>
    </row>
    <row r="151">
      <c r="P151" s="153"/>
    </row>
    <row r="152">
      <c r="P152" s="153"/>
    </row>
    <row r="153">
      <c r="P153" s="153"/>
    </row>
    <row r="154">
      <c r="P154" s="153"/>
    </row>
    <row r="155">
      <c r="P155" s="153"/>
    </row>
    <row r="156">
      <c r="P156" s="153"/>
    </row>
    <row r="157">
      <c r="P157" s="153"/>
    </row>
    <row r="158">
      <c r="P158" s="153"/>
    </row>
    <row r="159">
      <c r="P159" s="153"/>
    </row>
    <row r="160">
      <c r="P160" s="153"/>
    </row>
    <row r="161">
      <c r="P161" s="153"/>
    </row>
    <row r="162">
      <c r="P162" s="153"/>
    </row>
    <row r="163">
      <c r="P163" s="153"/>
    </row>
    <row r="164">
      <c r="P164" s="153"/>
    </row>
    <row r="165">
      <c r="P165" s="153"/>
    </row>
    <row r="166">
      <c r="P166" s="153"/>
    </row>
    <row r="167">
      <c r="P167" s="153"/>
    </row>
    <row r="168">
      <c r="P168" s="153"/>
    </row>
    <row r="169">
      <c r="P169" s="153"/>
    </row>
    <row r="170">
      <c r="P170" s="153"/>
    </row>
    <row r="171">
      <c r="P171" s="153"/>
    </row>
    <row r="172">
      <c r="P172" s="153"/>
    </row>
    <row r="173">
      <c r="P173" s="153"/>
    </row>
    <row r="174">
      <c r="P174" s="153"/>
    </row>
    <row r="175">
      <c r="P175" s="153"/>
    </row>
    <row r="176">
      <c r="P176" s="153"/>
    </row>
    <row r="177">
      <c r="P177" s="153"/>
    </row>
    <row r="178">
      <c r="P178" s="153"/>
    </row>
    <row r="179">
      <c r="P179" s="153"/>
    </row>
    <row r="180">
      <c r="P180" s="153"/>
    </row>
    <row r="181">
      <c r="P181" s="153"/>
    </row>
    <row r="182">
      <c r="P182" s="153"/>
    </row>
    <row r="183">
      <c r="P183" s="153"/>
    </row>
    <row r="184">
      <c r="P184" s="153"/>
    </row>
    <row r="185">
      <c r="P185" s="153"/>
    </row>
    <row r="186">
      <c r="P186" s="153"/>
    </row>
    <row r="187">
      <c r="P187" s="153"/>
    </row>
    <row r="188">
      <c r="P188" s="153"/>
    </row>
    <row r="189">
      <c r="P189" s="153"/>
    </row>
    <row r="190">
      <c r="P190" s="153"/>
    </row>
    <row r="191">
      <c r="P191" s="153"/>
    </row>
    <row r="192">
      <c r="P192" s="153"/>
    </row>
    <row r="193">
      <c r="P193" s="153"/>
    </row>
    <row r="194">
      <c r="P194" s="153"/>
    </row>
    <row r="195">
      <c r="P195" s="153"/>
    </row>
    <row r="196">
      <c r="P196" s="153"/>
    </row>
    <row r="197">
      <c r="P197" s="153"/>
    </row>
    <row r="198">
      <c r="P198" s="153"/>
    </row>
    <row r="199">
      <c r="P199" s="153"/>
    </row>
    <row r="200">
      <c r="P200" s="153"/>
    </row>
    <row r="201">
      <c r="P201" s="153"/>
    </row>
    <row r="202">
      <c r="P202" s="153"/>
    </row>
    <row r="203">
      <c r="P203" s="153"/>
    </row>
    <row r="204">
      <c r="P204" s="153"/>
    </row>
    <row r="205">
      <c r="P205" s="153"/>
    </row>
    <row r="206">
      <c r="P206" s="153"/>
    </row>
    <row r="207">
      <c r="P207" s="153"/>
    </row>
    <row r="208">
      <c r="P208" s="153"/>
    </row>
    <row r="209">
      <c r="P209" s="153"/>
    </row>
    <row r="210">
      <c r="P210" s="153"/>
    </row>
    <row r="211">
      <c r="P211" s="153"/>
    </row>
    <row r="212">
      <c r="P212" s="153"/>
    </row>
    <row r="213">
      <c r="P213" s="153"/>
    </row>
    <row r="214">
      <c r="P214" s="153"/>
    </row>
    <row r="215">
      <c r="P215" s="153"/>
    </row>
    <row r="216">
      <c r="P216" s="153"/>
    </row>
    <row r="217">
      <c r="P217" s="153"/>
    </row>
    <row r="218">
      <c r="P218" s="153"/>
    </row>
    <row r="219">
      <c r="P219" s="153"/>
    </row>
    <row r="220">
      <c r="P220" s="153"/>
    </row>
    <row r="221">
      <c r="P221" s="153"/>
    </row>
    <row r="222">
      <c r="P222" s="153"/>
    </row>
    <row r="223">
      <c r="P223" s="153"/>
    </row>
    <row r="224">
      <c r="P224" s="153"/>
    </row>
    <row r="225">
      <c r="P225" s="153"/>
    </row>
    <row r="226">
      <c r="P226" s="153"/>
    </row>
    <row r="227">
      <c r="P227" s="153"/>
    </row>
    <row r="228">
      <c r="P228" s="153"/>
    </row>
    <row r="229">
      <c r="P229" s="153"/>
    </row>
    <row r="230">
      <c r="P230" s="153"/>
    </row>
    <row r="231">
      <c r="P231" s="153"/>
    </row>
    <row r="232">
      <c r="P232" s="153"/>
    </row>
    <row r="233">
      <c r="P233" s="153"/>
    </row>
    <row r="234">
      <c r="P234" s="153"/>
    </row>
    <row r="235">
      <c r="P235" s="153"/>
    </row>
    <row r="236">
      <c r="P236" s="153"/>
    </row>
    <row r="237">
      <c r="P237" s="153"/>
    </row>
    <row r="238">
      <c r="P238" s="153"/>
    </row>
    <row r="239">
      <c r="P239" s="153"/>
    </row>
    <row r="240">
      <c r="P240" s="153"/>
    </row>
    <row r="241">
      <c r="P241" s="153"/>
    </row>
    <row r="242">
      <c r="P242" s="153"/>
    </row>
    <row r="243">
      <c r="P243" s="153"/>
    </row>
    <row r="244">
      <c r="P244" s="153"/>
    </row>
    <row r="245">
      <c r="P245" s="153"/>
    </row>
    <row r="246">
      <c r="P246" s="153"/>
    </row>
    <row r="247">
      <c r="P247" s="153"/>
    </row>
    <row r="248">
      <c r="P248" s="153"/>
    </row>
    <row r="249">
      <c r="P249" s="153"/>
    </row>
    <row r="250">
      <c r="P250" s="153"/>
    </row>
    <row r="251">
      <c r="P251" s="153"/>
    </row>
    <row r="252">
      <c r="P252" s="153"/>
    </row>
    <row r="253">
      <c r="P253" s="153"/>
    </row>
    <row r="254">
      <c r="P254" s="153"/>
    </row>
    <row r="255">
      <c r="P255" s="153"/>
    </row>
    <row r="256">
      <c r="P256" s="153"/>
    </row>
    <row r="257">
      <c r="P257" s="153"/>
    </row>
    <row r="258">
      <c r="P258" s="153"/>
    </row>
    <row r="259">
      <c r="P259" s="153"/>
    </row>
    <row r="260">
      <c r="P260" s="153"/>
    </row>
    <row r="261">
      <c r="P261" s="153"/>
    </row>
    <row r="262">
      <c r="P262" s="153"/>
    </row>
    <row r="263">
      <c r="P263" s="153"/>
    </row>
    <row r="264">
      <c r="P264" s="153"/>
    </row>
    <row r="265">
      <c r="P265" s="153"/>
    </row>
    <row r="266">
      <c r="P266" s="153"/>
    </row>
    <row r="267">
      <c r="P267" s="153"/>
    </row>
    <row r="268">
      <c r="P268" s="153"/>
    </row>
    <row r="269">
      <c r="P269" s="153"/>
    </row>
    <row r="270">
      <c r="P270" s="153"/>
    </row>
    <row r="271">
      <c r="P271" s="153"/>
    </row>
    <row r="272">
      <c r="P272" s="153"/>
    </row>
    <row r="273">
      <c r="P273" s="153"/>
    </row>
    <row r="274">
      <c r="P274" s="153"/>
    </row>
    <row r="275">
      <c r="P275" s="153"/>
    </row>
    <row r="276">
      <c r="P276" s="153"/>
    </row>
    <row r="277">
      <c r="P277" s="153"/>
    </row>
    <row r="278">
      <c r="P278" s="153"/>
    </row>
    <row r="279">
      <c r="P279" s="153"/>
    </row>
    <row r="280">
      <c r="P280" s="153"/>
    </row>
    <row r="281">
      <c r="P281" s="153"/>
    </row>
    <row r="282">
      <c r="P282" s="153"/>
    </row>
    <row r="283">
      <c r="P283" s="153"/>
    </row>
    <row r="284">
      <c r="P284" s="153"/>
    </row>
    <row r="285">
      <c r="P285" s="153"/>
    </row>
    <row r="286">
      <c r="P286" s="153"/>
    </row>
    <row r="287">
      <c r="P287" s="153"/>
    </row>
    <row r="288">
      <c r="P288" s="153"/>
    </row>
    <row r="289">
      <c r="P289" s="153"/>
    </row>
    <row r="290">
      <c r="P290" s="153"/>
    </row>
    <row r="291">
      <c r="P291" s="153"/>
    </row>
    <row r="292">
      <c r="P292" s="153"/>
    </row>
    <row r="293">
      <c r="P293" s="153"/>
    </row>
    <row r="294">
      <c r="P294" s="153"/>
    </row>
    <row r="295">
      <c r="P295" s="153"/>
    </row>
    <row r="296">
      <c r="P296" s="153"/>
    </row>
    <row r="297">
      <c r="P297" s="153"/>
    </row>
    <row r="298">
      <c r="P298" s="153"/>
    </row>
    <row r="299">
      <c r="P299" s="153"/>
    </row>
    <row r="300">
      <c r="P300" s="153"/>
    </row>
    <row r="301">
      <c r="P301" s="153"/>
    </row>
    <row r="302">
      <c r="P302" s="153"/>
    </row>
    <row r="303">
      <c r="P303" s="153"/>
    </row>
    <row r="304">
      <c r="P304" s="153"/>
    </row>
    <row r="305">
      <c r="P305" s="153"/>
    </row>
    <row r="306">
      <c r="P306" s="153"/>
    </row>
    <row r="307">
      <c r="P307" s="153"/>
    </row>
    <row r="308">
      <c r="P308" s="153"/>
    </row>
    <row r="309">
      <c r="P309" s="153"/>
    </row>
    <row r="310">
      <c r="P310" s="153"/>
    </row>
    <row r="311">
      <c r="P311" s="153"/>
    </row>
    <row r="312">
      <c r="P312" s="153"/>
    </row>
    <row r="313">
      <c r="P313" s="153"/>
    </row>
    <row r="314">
      <c r="P314" s="153"/>
    </row>
    <row r="315">
      <c r="P315" s="153"/>
    </row>
    <row r="316">
      <c r="P316" s="153"/>
    </row>
    <row r="317">
      <c r="P317" s="153"/>
    </row>
    <row r="318">
      <c r="P318" s="153"/>
    </row>
    <row r="319">
      <c r="P319" s="153"/>
    </row>
    <row r="320">
      <c r="P320" s="153"/>
    </row>
    <row r="321">
      <c r="P321" s="153"/>
    </row>
    <row r="322">
      <c r="P322" s="153"/>
    </row>
    <row r="323">
      <c r="P323" s="153"/>
    </row>
    <row r="324">
      <c r="P324" s="153"/>
    </row>
    <row r="325">
      <c r="P325" s="153"/>
    </row>
    <row r="326">
      <c r="P326" s="153"/>
    </row>
    <row r="327">
      <c r="P327" s="153"/>
    </row>
    <row r="328">
      <c r="P328" s="153"/>
    </row>
    <row r="329">
      <c r="P329" s="153"/>
    </row>
    <row r="330">
      <c r="P330" s="153"/>
    </row>
    <row r="331">
      <c r="P331" s="153"/>
    </row>
    <row r="332">
      <c r="P332" s="153"/>
    </row>
    <row r="333">
      <c r="P333" s="153"/>
    </row>
    <row r="334">
      <c r="P334" s="153"/>
    </row>
    <row r="335">
      <c r="P335" s="153"/>
    </row>
    <row r="336">
      <c r="P336" s="153"/>
    </row>
    <row r="337">
      <c r="P337" s="153"/>
    </row>
    <row r="338">
      <c r="P338" s="153"/>
    </row>
    <row r="339">
      <c r="P339" s="153"/>
    </row>
    <row r="340">
      <c r="P340" s="153"/>
    </row>
    <row r="341">
      <c r="P341" s="153"/>
    </row>
    <row r="342">
      <c r="P342" s="153"/>
    </row>
    <row r="343">
      <c r="P343" s="153"/>
    </row>
    <row r="344">
      <c r="P344" s="153"/>
    </row>
    <row r="345">
      <c r="P345" s="153"/>
    </row>
    <row r="346">
      <c r="P346" s="153"/>
    </row>
    <row r="347">
      <c r="P347" s="153"/>
    </row>
    <row r="348">
      <c r="P348" s="153"/>
    </row>
    <row r="349">
      <c r="P349" s="153"/>
    </row>
    <row r="350">
      <c r="P350" s="153"/>
    </row>
    <row r="351">
      <c r="P351" s="153"/>
    </row>
    <row r="352">
      <c r="P352" s="153"/>
    </row>
    <row r="353">
      <c r="P353" s="153"/>
    </row>
    <row r="354">
      <c r="P354" s="153"/>
    </row>
    <row r="355">
      <c r="P355" s="153"/>
    </row>
    <row r="356">
      <c r="P356" s="153"/>
    </row>
    <row r="357">
      <c r="P357" s="153"/>
    </row>
    <row r="358">
      <c r="P358" s="153"/>
    </row>
    <row r="359">
      <c r="P359" s="153"/>
    </row>
    <row r="360">
      <c r="P360" s="153"/>
    </row>
    <row r="361">
      <c r="P361" s="153"/>
    </row>
    <row r="362">
      <c r="P362" s="153"/>
    </row>
    <row r="363">
      <c r="P363" s="153"/>
    </row>
    <row r="364">
      <c r="P364" s="153"/>
    </row>
    <row r="365">
      <c r="P365" s="153"/>
    </row>
    <row r="366">
      <c r="P366" s="153"/>
    </row>
    <row r="367">
      <c r="P367" s="153"/>
    </row>
    <row r="368">
      <c r="P368" s="153"/>
    </row>
    <row r="369">
      <c r="P369" s="153"/>
    </row>
    <row r="370">
      <c r="P370" s="153"/>
    </row>
    <row r="371">
      <c r="P371" s="153"/>
    </row>
    <row r="372">
      <c r="P372" s="153"/>
    </row>
    <row r="373">
      <c r="P373" s="153"/>
    </row>
    <row r="374">
      <c r="P374" s="153"/>
    </row>
    <row r="375">
      <c r="P375" s="153"/>
    </row>
    <row r="376">
      <c r="P376" s="153"/>
    </row>
    <row r="377">
      <c r="P377" s="153"/>
    </row>
    <row r="378">
      <c r="P378" s="153"/>
    </row>
    <row r="379">
      <c r="P379" s="153"/>
    </row>
    <row r="380">
      <c r="P380" s="153"/>
    </row>
    <row r="381">
      <c r="P381" s="153"/>
    </row>
    <row r="382">
      <c r="P382" s="153"/>
    </row>
    <row r="383">
      <c r="P383" s="153"/>
    </row>
    <row r="384">
      <c r="P384" s="153"/>
    </row>
    <row r="385">
      <c r="P385" s="153"/>
    </row>
    <row r="386">
      <c r="P386" s="153"/>
    </row>
    <row r="387">
      <c r="P387" s="153"/>
    </row>
    <row r="388">
      <c r="P388" s="153"/>
    </row>
    <row r="389">
      <c r="P389" s="153"/>
    </row>
    <row r="390">
      <c r="P390" s="153"/>
    </row>
    <row r="391">
      <c r="P391" s="153"/>
    </row>
    <row r="392">
      <c r="P392" s="153"/>
    </row>
    <row r="393">
      <c r="P393" s="153"/>
    </row>
    <row r="394">
      <c r="P394" s="153"/>
    </row>
    <row r="395">
      <c r="P395" s="153"/>
    </row>
    <row r="396">
      <c r="P396" s="153"/>
    </row>
    <row r="397">
      <c r="P397" s="153"/>
    </row>
    <row r="398">
      <c r="P398" s="153"/>
    </row>
    <row r="399">
      <c r="P399" s="153"/>
    </row>
    <row r="400">
      <c r="P400" s="153"/>
    </row>
    <row r="401">
      <c r="P401" s="153"/>
    </row>
    <row r="402">
      <c r="P402" s="153"/>
    </row>
    <row r="403">
      <c r="P403" s="153"/>
    </row>
    <row r="404">
      <c r="P404" s="153"/>
    </row>
    <row r="405">
      <c r="P405" s="153"/>
    </row>
    <row r="406">
      <c r="P406" s="153"/>
    </row>
    <row r="407">
      <c r="P407" s="153"/>
    </row>
    <row r="408">
      <c r="P408" s="153"/>
    </row>
    <row r="409">
      <c r="P409" s="153"/>
    </row>
    <row r="410">
      <c r="P410" s="153"/>
    </row>
    <row r="411">
      <c r="P411" s="153"/>
    </row>
    <row r="412">
      <c r="P412" s="153"/>
    </row>
    <row r="413">
      <c r="P413" s="153"/>
    </row>
    <row r="414">
      <c r="P414" s="153"/>
    </row>
    <row r="415">
      <c r="P415" s="153"/>
    </row>
    <row r="416">
      <c r="P416" s="153"/>
    </row>
    <row r="417">
      <c r="P417" s="153"/>
    </row>
    <row r="418">
      <c r="P418" s="153"/>
    </row>
    <row r="419">
      <c r="P419" s="153"/>
    </row>
    <row r="420">
      <c r="P420" s="153"/>
    </row>
    <row r="421">
      <c r="P421" s="153"/>
    </row>
    <row r="422">
      <c r="P422" s="153"/>
    </row>
    <row r="423">
      <c r="P423" s="153"/>
    </row>
    <row r="424">
      <c r="P424" s="153"/>
    </row>
    <row r="425">
      <c r="P425" s="153"/>
    </row>
    <row r="426">
      <c r="P426" s="153"/>
    </row>
    <row r="427">
      <c r="P427" s="153"/>
    </row>
    <row r="428">
      <c r="P428" s="153"/>
    </row>
    <row r="429">
      <c r="P429" s="153"/>
    </row>
    <row r="430">
      <c r="P430" s="153"/>
    </row>
    <row r="431">
      <c r="P431" s="153"/>
    </row>
    <row r="432">
      <c r="P432" s="153"/>
    </row>
    <row r="433">
      <c r="P433" s="153"/>
    </row>
    <row r="434">
      <c r="P434" s="153"/>
    </row>
    <row r="435">
      <c r="P435" s="153"/>
    </row>
    <row r="436">
      <c r="P436" s="153"/>
    </row>
    <row r="437">
      <c r="P437" s="153"/>
    </row>
    <row r="438">
      <c r="P438" s="153"/>
    </row>
    <row r="439">
      <c r="P439" s="153"/>
    </row>
    <row r="440">
      <c r="P440" s="153"/>
    </row>
    <row r="441">
      <c r="P441" s="153"/>
    </row>
    <row r="442">
      <c r="P442" s="153"/>
    </row>
    <row r="443">
      <c r="P443" s="153"/>
    </row>
    <row r="444">
      <c r="P444" s="153"/>
    </row>
    <row r="445">
      <c r="P445" s="153"/>
    </row>
    <row r="446">
      <c r="P446" s="153"/>
    </row>
    <row r="447">
      <c r="P447" s="153"/>
    </row>
    <row r="448">
      <c r="P448" s="153"/>
    </row>
    <row r="449">
      <c r="P449" s="153"/>
    </row>
    <row r="450">
      <c r="P450" s="153"/>
    </row>
    <row r="451">
      <c r="P451" s="153"/>
    </row>
    <row r="452">
      <c r="P452" s="153"/>
    </row>
    <row r="453">
      <c r="P453" s="153"/>
    </row>
    <row r="454">
      <c r="P454" s="153"/>
    </row>
    <row r="455">
      <c r="P455" s="153"/>
    </row>
    <row r="456">
      <c r="P456" s="153"/>
    </row>
    <row r="457">
      <c r="P457" s="153"/>
    </row>
    <row r="458">
      <c r="P458" s="153"/>
    </row>
    <row r="459">
      <c r="P459" s="153"/>
    </row>
    <row r="460">
      <c r="P460" s="153"/>
    </row>
    <row r="461">
      <c r="P461" s="153"/>
    </row>
    <row r="462">
      <c r="P462" s="153"/>
    </row>
    <row r="463">
      <c r="P463" s="153"/>
    </row>
    <row r="464">
      <c r="P464" s="153"/>
    </row>
    <row r="465">
      <c r="P465" s="153"/>
    </row>
    <row r="466">
      <c r="P466" s="153"/>
    </row>
    <row r="467">
      <c r="P467" s="153"/>
    </row>
    <row r="468">
      <c r="P468" s="153"/>
    </row>
    <row r="469">
      <c r="P469" s="153"/>
    </row>
    <row r="470">
      <c r="P470" s="153"/>
    </row>
    <row r="471">
      <c r="P471" s="153"/>
    </row>
    <row r="472">
      <c r="P472" s="153"/>
    </row>
    <row r="473">
      <c r="P473" s="153"/>
    </row>
    <row r="474">
      <c r="P474" s="153"/>
    </row>
    <row r="475">
      <c r="P475" s="153"/>
    </row>
    <row r="476">
      <c r="P476" s="153"/>
    </row>
    <row r="477">
      <c r="P477" s="153"/>
    </row>
    <row r="478">
      <c r="P478" s="153"/>
    </row>
    <row r="479">
      <c r="P479" s="153"/>
    </row>
    <row r="480">
      <c r="P480" s="153"/>
    </row>
    <row r="481">
      <c r="P481" s="153"/>
    </row>
    <row r="482">
      <c r="P482" s="153"/>
    </row>
    <row r="483">
      <c r="P483" s="153"/>
    </row>
    <row r="484">
      <c r="P484" s="153"/>
    </row>
    <row r="485">
      <c r="P485" s="153"/>
    </row>
    <row r="486">
      <c r="P486" s="153"/>
    </row>
    <row r="487">
      <c r="P487" s="153"/>
    </row>
    <row r="488">
      <c r="P488" s="153"/>
    </row>
    <row r="489">
      <c r="P489" s="153"/>
    </row>
    <row r="490">
      <c r="P490" s="153"/>
    </row>
    <row r="491">
      <c r="P491" s="153"/>
    </row>
    <row r="492">
      <c r="P492" s="153"/>
    </row>
    <row r="493">
      <c r="P493" s="153"/>
    </row>
    <row r="494">
      <c r="P494" s="153"/>
    </row>
    <row r="495">
      <c r="P495" s="153"/>
    </row>
    <row r="496">
      <c r="P496" s="153"/>
    </row>
    <row r="497">
      <c r="P497" s="153"/>
    </row>
    <row r="498">
      <c r="P498" s="153"/>
    </row>
    <row r="499">
      <c r="P499" s="153"/>
    </row>
    <row r="500">
      <c r="P500" s="153"/>
    </row>
    <row r="501">
      <c r="P501" s="153"/>
    </row>
    <row r="502">
      <c r="P502" s="153"/>
    </row>
    <row r="503">
      <c r="P503" s="153"/>
    </row>
    <row r="504">
      <c r="P504" s="153"/>
    </row>
    <row r="505">
      <c r="P505" s="153"/>
    </row>
    <row r="506">
      <c r="P506" s="153"/>
    </row>
    <row r="507">
      <c r="P507" s="153"/>
    </row>
    <row r="508">
      <c r="P508" s="153"/>
    </row>
    <row r="509">
      <c r="P509" s="153"/>
    </row>
    <row r="510">
      <c r="P510" s="153"/>
    </row>
    <row r="511">
      <c r="P511" s="153"/>
    </row>
    <row r="512">
      <c r="P512" s="153"/>
    </row>
    <row r="513">
      <c r="P513" s="153"/>
    </row>
    <row r="514">
      <c r="P514" s="153"/>
    </row>
    <row r="515">
      <c r="P515" s="153"/>
    </row>
    <row r="516">
      <c r="P516" s="153"/>
    </row>
    <row r="517">
      <c r="P517" s="153"/>
    </row>
    <row r="518">
      <c r="P518" s="153"/>
    </row>
    <row r="519">
      <c r="P519" s="153"/>
    </row>
    <row r="520">
      <c r="P520" s="153"/>
    </row>
    <row r="521">
      <c r="P521" s="153"/>
    </row>
    <row r="522">
      <c r="P522" s="153"/>
    </row>
    <row r="523">
      <c r="P523" s="153"/>
    </row>
    <row r="524">
      <c r="P524" s="153"/>
    </row>
    <row r="525">
      <c r="P525" s="153"/>
    </row>
    <row r="526">
      <c r="P526" s="153"/>
    </row>
    <row r="527">
      <c r="P527" s="153"/>
    </row>
    <row r="528">
      <c r="P528" s="153"/>
    </row>
    <row r="529">
      <c r="P529" s="153"/>
    </row>
    <row r="530">
      <c r="P530" s="153"/>
    </row>
    <row r="531">
      <c r="P531" s="153"/>
    </row>
    <row r="532">
      <c r="P532" s="153"/>
    </row>
    <row r="533">
      <c r="P533" s="153"/>
    </row>
    <row r="534">
      <c r="P534" s="153"/>
    </row>
    <row r="535">
      <c r="P535" s="153"/>
    </row>
    <row r="536">
      <c r="P536" s="153"/>
    </row>
    <row r="537">
      <c r="P537" s="153"/>
    </row>
    <row r="538">
      <c r="P538" s="153"/>
    </row>
    <row r="539">
      <c r="P539" s="153"/>
    </row>
    <row r="540">
      <c r="P540" s="153"/>
    </row>
    <row r="541">
      <c r="P541" s="153"/>
    </row>
    <row r="542">
      <c r="P542" s="153"/>
    </row>
    <row r="543">
      <c r="P543" s="153"/>
    </row>
    <row r="544">
      <c r="P544" s="153"/>
    </row>
    <row r="545">
      <c r="P545" s="153"/>
    </row>
    <row r="546">
      <c r="P546" s="153"/>
    </row>
    <row r="547">
      <c r="P547" s="153"/>
    </row>
    <row r="548">
      <c r="P548" s="153"/>
    </row>
    <row r="549">
      <c r="P549" s="153"/>
    </row>
    <row r="550">
      <c r="P550" s="153"/>
    </row>
    <row r="551">
      <c r="P551" s="153"/>
    </row>
    <row r="552">
      <c r="P552" s="153"/>
    </row>
    <row r="553">
      <c r="P553" s="153"/>
    </row>
    <row r="554">
      <c r="P554" s="153"/>
    </row>
    <row r="555">
      <c r="P555" s="153"/>
    </row>
    <row r="556">
      <c r="P556" s="153"/>
    </row>
    <row r="557">
      <c r="P557" s="153"/>
    </row>
    <row r="558">
      <c r="P558" s="153"/>
    </row>
    <row r="559">
      <c r="P559" s="153"/>
    </row>
    <row r="560">
      <c r="P560" s="153"/>
    </row>
    <row r="561">
      <c r="P561" s="153"/>
    </row>
    <row r="562">
      <c r="P562" s="153"/>
    </row>
    <row r="563">
      <c r="P563" s="153"/>
    </row>
    <row r="564">
      <c r="P564" s="153"/>
    </row>
    <row r="565">
      <c r="P565" s="153"/>
    </row>
    <row r="566">
      <c r="P566" s="153"/>
    </row>
    <row r="567">
      <c r="P567" s="153"/>
    </row>
    <row r="568">
      <c r="P568" s="153"/>
    </row>
    <row r="569">
      <c r="P569" s="153"/>
    </row>
    <row r="570">
      <c r="P570" s="153"/>
    </row>
    <row r="571">
      <c r="P571" s="153"/>
    </row>
    <row r="572">
      <c r="P572" s="153"/>
    </row>
    <row r="573">
      <c r="P573" s="153"/>
    </row>
    <row r="574">
      <c r="P574" s="153"/>
    </row>
    <row r="575">
      <c r="P575" s="153"/>
    </row>
    <row r="576">
      <c r="P576" s="153"/>
    </row>
    <row r="577">
      <c r="P577" s="153"/>
    </row>
    <row r="578">
      <c r="P578" s="153"/>
    </row>
    <row r="579">
      <c r="P579" s="153"/>
    </row>
    <row r="580">
      <c r="P580" s="153"/>
    </row>
    <row r="581">
      <c r="P581" s="153"/>
    </row>
    <row r="582">
      <c r="P582" s="153"/>
    </row>
    <row r="583">
      <c r="P583" s="153"/>
    </row>
    <row r="584">
      <c r="P584" s="153"/>
    </row>
    <row r="585">
      <c r="P585" s="153"/>
    </row>
    <row r="586">
      <c r="P586" s="153"/>
    </row>
    <row r="587">
      <c r="P587" s="153"/>
    </row>
    <row r="588">
      <c r="P588" s="153"/>
    </row>
    <row r="589">
      <c r="P589" s="153"/>
    </row>
    <row r="590">
      <c r="P590" s="153"/>
    </row>
    <row r="591">
      <c r="P591" s="153"/>
    </row>
    <row r="592">
      <c r="P592" s="153"/>
    </row>
    <row r="593">
      <c r="P593" s="153"/>
    </row>
    <row r="594">
      <c r="P594" s="153"/>
    </row>
    <row r="595">
      <c r="P595" s="153"/>
    </row>
    <row r="596">
      <c r="P596" s="153"/>
    </row>
    <row r="597">
      <c r="P597" s="153"/>
    </row>
    <row r="598">
      <c r="P598" s="153"/>
    </row>
    <row r="599">
      <c r="P599" s="153"/>
    </row>
    <row r="600">
      <c r="P600" s="153"/>
    </row>
    <row r="601">
      <c r="P601" s="153"/>
    </row>
    <row r="602">
      <c r="P602" s="153"/>
    </row>
    <row r="603">
      <c r="P603" s="153"/>
    </row>
    <row r="604">
      <c r="P604" s="153"/>
    </row>
    <row r="605">
      <c r="P605" s="153"/>
    </row>
    <row r="606">
      <c r="P606" s="153"/>
    </row>
    <row r="607">
      <c r="P607" s="153"/>
    </row>
    <row r="608">
      <c r="P608" s="153"/>
    </row>
    <row r="609">
      <c r="P609" s="153"/>
    </row>
    <row r="610">
      <c r="P610" s="153"/>
    </row>
    <row r="611">
      <c r="P611" s="153"/>
    </row>
    <row r="612">
      <c r="P612" s="153"/>
    </row>
    <row r="613">
      <c r="P613" s="153"/>
    </row>
    <row r="614">
      <c r="P614" s="153"/>
    </row>
    <row r="615">
      <c r="P615" s="153"/>
    </row>
    <row r="616">
      <c r="P616" s="153"/>
    </row>
    <row r="617">
      <c r="P617" s="153"/>
    </row>
    <row r="618">
      <c r="P618" s="153"/>
    </row>
    <row r="619">
      <c r="P619" s="153"/>
    </row>
    <row r="620">
      <c r="P620" s="153"/>
    </row>
    <row r="621">
      <c r="P621" s="153"/>
    </row>
    <row r="622">
      <c r="P622" s="153"/>
    </row>
    <row r="623">
      <c r="P623" s="153"/>
    </row>
    <row r="624">
      <c r="P624" s="153"/>
    </row>
    <row r="625">
      <c r="P625" s="153"/>
    </row>
    <row r="626">
      <c r="P626" s="153"/>
    </row>
    <row r="627">
      <c r="P627" s="153"/>
    </row>
    <row r="628">
      <c r="P628" s="153"/>
    </row>
    <row r="629">
      <c r="P629" s="153"/>
    </row>
    <row r="630">
      <c r="P630" s="153"/>
    </row>
    <row r="631">
      <c r="P631" s="153"/>
    </row>
    <row r="632">
      <c r="P632" s="153"/>
    </row>
    <row r="633">
      <c r="P633" s="153"/>
    </row>
    <row r="634">
      <c r="P634" s="153"/>
    </row>
    <row r="635">
      <c r="P635" s="153"/>
    </row>
    <row r="636">
      <c r="P636" s="153"/>
    </row>
    <row r="637">
      <c r="P637" s="153"/>
    </row>
    <row r="638">
      <c r="P638" s="153"/>
    </row>
    <row r="639">
      <c r="P639" s="153"/>
    </row>
    <row r="640">
      <c r="P640" s="153"/>
    </row>
    <row r="641">
      <c r="P641" s="153"/>
    </row>
    <row r="642">
      <c r="P642" s="153"/>
    </row>
    <row r="643">
      <c r="P643" s="153"/>
    </row>
    <row r="644">
      <c r="P644" s="153"/>
    </row>
    <row r="645">
      <c r="P645" s="153"/>
    </row>
    <row r="646">
      <c r="P646" s="153"/>
    </row>
    <row r="647">
      <c r="P647" s="153"/>
    </row>
    <row r="648">
      <c r="P648" s="153"/>
    </row>
    <row r="649">
      <c r="P649" s="153"/>
    </row>
    <row r="650">
      <c r="P650" s="153"/>
    </row>
    <row r="651">
      <c r="P651" s="153"/>
    </row>
    <row r="652">
      <c r="P652" s="153"/>
    </row>
    <row r="653">
      <c r="P653" s="153"/>
    </row>
    <row r="654">
      <c r="P654" s="153"/>
    </row>
    <row r="655">
      <c r="P655" s="153"/>
    </row>
    <row r="656">
      <c r="P656" s="153"/>
    </row>
    <row r="657">
      <c r="P657" s="153"/>
    </row>
    <row r="658">
      <c r="P658" s="153"/>
    </row>
    <row r="659">
      <c r="P659" s="153"/>
    </row>
    <row r="660">
      <c r="P660" s="153"/>
    </row>
    <row r="661">
      <c r="P661" s="153"/>
    </row>
    <row r="662">
      <c r="P662" s="153"/>
    </row>
    <row r="663">
      <c r="P663" s="153"/>
    </row>
    <row r="664">
      <c r="P664" s="153"/>
    </row>
    <row r="665">
      <c r="P665" s="153"/>
    </row>
    <row r="666">
      <c r="P666" s="153"/>
    </row>
    <row r="667">
      <c r="P667" s="153"/>
    </row>
    <row r="668">
      <c r="P668" s="153"/>
    </row>
    <row r="669">
      <c r="P669" s="153"/>
    </row>
    <row r="670">
      <c r="P670" s="153"/>
    </row>
    <row r="671">
      <c r="P671" s="153"/>
    </row>
    <row r="672">
      <c r="P672" s="153"/>
    </row>
    <row r="673">
      <c r="P673" s="153"/>
    </row>
    <row r="674">
      <c r="P674" s="153"/>
    </row>
    <row r="675">
      <c r="P675" s="153"/>
    </row>
    <row r="676">
      <c r="P676" s="153"/>
    </row>
    <row r="677">
      <c r="P677" s="153"/>
    </row>
    <row r="678">
      <c r="P678" s="153"/>
    </row>
    <row r="679">
      <c r="P679" s="153"/>
    </row>
    <row r="680">
      <c r="P680" s="153"/>
    </row>
    <row r="681">
      <c r="P681" s="153"/>
    </row>
    <row r="682">
      <c r="P682" s="153"/>
    </row>
    <row r="683">
      <c r="P683" s="153"/>
    </row>
    <row r="684">
      <c r="P684" s="153"/>
    </row>
    <row r="685">
      <c r="P685" s="153"/>
    </row>
    <row r="686">
      <c r="P686" s="153"/>
    </row>
    <row r="687">
      <c r="P687" s="153"/>
    </row>
    <row r="688">
      <c r="P688" s="153"/>
    </row>
    <row r="689">
      <c r="P689" s="153"/>
    </row>
    <row r="690">
      <c r="P690" s="153"/>
    </row>
    <row r="691">
      <c r="P691" s="153"/>
    </row>
    <row r="692">
      <c r="P692" s="153"/>
    </row>
    <row r="693">
      <c r="P693" s="153"/>
    </row>
    <row r="694">
      <c r="P694" s="153"/>
    </row>
    <row r="695">
      <c r="P695" s="153"/>
    </row>
    <row r="696">
      <c r="P696" s="153"/>
    </row>
    <row r="697">
      <c r="P697" s="153"/>
    </row>
    <row r="698">
      <c r="P698" s="153"/>
    </row>
    <row r="699">
      <c r="P699" s="153"/>
    </row>
    <row r="700">
      <c r="P700" s="153"/>
    </row>
    <row r="701">
      <c r="P701" s="153"/>
    </row>
    <row r="702">
      <c r="P702" s="153"/>
    </row>
    <row r="703">
      <c r="P703" s="153"/>
    </row>
    <row r="704">
      <c r="P704" s="153"/>
    </row>
    <row r="705">
      <c r="P705" s="153"/>
    </row>
    <row r="706">
      <c r="P706" s="153"/>
    </row>
    <row r="707">
      <c r="P707" s="153"/>
    </row>
    <row r="708">
      <c r="P708" s="153"/>
    </row>
    <row r="709">
      <c r="P709" s="153"/>
    </row>
    <row r="710">
      <c r="P710" s="153"/>
    </row>
    <row r="711">
      <c r="P711" s="153"/>
    </row>
    <row r="712">
      <c r="P712" s="153"/>
    </row>
    <row r="713">
      <c r="P713" s="153"/>
    </row>
    <row r="714">
      <c r="P714" s="153"/>
    </row>
    <row r="715">
      <c r="P715" s="153"/>
    </row>
    <row r="716">
      <c r="P716" s="153"/>
    </row>
    <row r="717">
      <c r="P717" s="153"/>
    </row>
    <row r="718">
      <c r="P718" s="153"/>
    </row>
    <row r="719">
      <c r="P719" s="153"/>
    </row>
    <row r="720">
      <c r="P720" s="153"/>
    </row>
    <row r="721">
      <c r="P721" s="153"/>
    </row>
    <row r="722">
      <c r="P722" s="153"/>
    </row>
    <row r="723">
      <c r="P723" s="153"/>
    </row>
    <row r="724">
      <c r="P724" s="153"/>
    </row>
    <row r="725">
      <c r="P725" s="153"/>
    </row>
    <row r="726">
      <c r="P726" s="153"/>
    </row>
    <row r="727">
      <c r="P727" s="153"/>
    </row>
    <row r="728">
      <c r="P728" s="153"/>
    </row>
    <row r="729">
      <c r="P729" s="153"/>
    </row>
    <row r="730">
      <c r="P730" s="153"/>
    </row>
    <row r="731">
      <c r="P731" s="153"/>
    </row>
    <row r="732">
      <c r="P732" s="153"/>
    </row>
    <row r="733">
      <c r="P733" s="153"/>
    </row>
    <row r="734">
      <c r="P734" s="153"/>
    </row>
    <row r="735">
      <c r="P735" s="153"/>
    </row>
    <row r="736">
      <c r="P736" s="153"/>
    </row>
    <row r="737">
      <c r="P737" s="153"/>
    </row>
    <row r="738">
      <c r="P738" s="153"/>
    </row>
    <row r="739">
      <c r="P739" s="153"/>
    </row>
    <row r="740">
      <c r="P740" s="153"/>
    </row>
    <row r="741">
      <c r="P741" s="153"/>
    </row>
    <row r="742">
      <c r="P742" s="153"/>
    </row>
    <row r="743">
      <c r="P743" s="153"/>
    </row>
    <row r="744">
      <c r="P744" s="153"/>
    </row>
    <row r="745">
      <c r="P745" s="153"/>
    </row>
    <row r="746">
      <c r="P746" s="153"/>
    </row>
    <row r="747">
      <c r="P747" s="153"/>
    </row>
    <row r="748">
      <c r="P748" s="153"/>
    </row>
    <row r="749">
      <c r="P749" s="153"/>
    </row>
    <row r="750">
      <c r="P750" s="153"/>
    </row>
    <row r="751">
      <c r="P751" s="153"/>
    </row>
    <row r="752">
      <c r="P752" s="153"/>
    </row>
    <row r="753">
      <c r="P753" s="153"/>
    </row>
    <row r="754">
      <c r="P754" s="153"/>
    </row>
    <row r="755">
      <c r="P755" s="153"/>
    </row>
    <row r="756">
      <c r="P756" s="153"/>
    </row>
    <row r="757">
      <c r="P757" s="153"/>
    </row>
    <row r="758">
      <c r="P758" s="153"/>
    </row>
    <row r="759">
      <c r="P759" s="153"/>
    </row>
    <row r="760">
      <c r="P760" s="153"/>
    </row>
    <row r="761">
      <c r="P761" s="153"/>
    </row>
    <row r="762">
      <c r="P762" s="153"/>
    </row>
    <row r="763">
      <c r="P763" s="153"/>
    </row>
    <row r="764">
      <c r="P764" s="153"/>
    </row>
    <row r="765">
      <c r="P765" s="153"/>
    </row>
    <row r="766">
      <c r="P766" s="153"/>
    </row>
    <row r="767">
      <c r="P767" s="153"/>
    </row>
    <row r="768">
      <c r="P768" s="153"/>
    </row>
    <row r="769">
      <c r="P769" s="153"/>
    </row>
    <row r="770">
      <c r="P770" s="153"/>
    </row>
    <row r="771">
      <c r="P771" s="153"/>
    </row>
    <row r="772">
      <c r="P772" s="153"/>
    </row>
    <row r="773">
      <c r="P773" s="153"/>
    </row>
    <row r="774">
      <c r="P774" s="153"/>
    </row>
    <row r="775">
      <c r="P775" s="153"/>
    </row>
    <row r="776">
      <c r="P776" s="153"/>
    </row>
    <row r="777">
      <c r="P777" s="153"/>
    </row>
    <row r="778">
      <c r="P778" s="153"/>
    </row>
    <row r="779">
      <c r="P779" s="153"/>
    </row>
    <row r="780">
      <c r="P780" s="153"/>
    </row>
    <row r="781">
      <c r="P781" s="153"/>
    </row>
    <row r="782">
      <c r="P782" s="153"/>
    </row>
    <row r="783">
      <c r="P783" s="153"/>
    </row>
    <row r="784">
      <c r="P784" s="153"/>
    </row>
    <row r="785">
      <c r="P785" s="153"/>
    </row>
    <row r="786">
      <c r="P786" s="153"/>
    </row>
    <row r="787">
      <c r="P787" s="153"/>
    </row>
    <row r="788">
      <c r="P788" s="153"/>
    </row>
    <row r="789">
      <c r="P789" s="153"/>
    </row>
    <row r="790">
      <c r="P790" s="153"/>
    </row>
    <row r="791">
      <c r="P791" s="153"/>
    </row>
    <row r="792">
      <c r="P792" s="153"/>
    </row>
    <row r="793">
      <c r="P793" s="153"/>
    </row>
    <row r="794">
      <c r="P794" s="153"/>
    </row>
    <row r="795">
      <c r="P795" s="153"/>
    </row>
    <row r="796">
      <c r="P796" s="153"/>
    </row>
    <row r="797">
      <c r="P797" s="153"/>
    </row>
    <row r="798">
      <c r="P798" s="153"/>
    </row>
    <row r="799">
      <c r="P799" s="153"/>
    </row>
    <row r="800">
      <c r="P800" s="153"/>
    </row>
    <row r="801">
      <c r="P801" s="153"/>
    </row>
    <row r="802">
      <c r="P802" s="153"/>
    </row>
    <row r="803">
      <c r="P803" s="153"/>
    </row>
    <row r="804">
      <c r="P804" s="153"/>
    </row>
    <row r="805">
      <c r="P805" s="153"/>
    </row>
    <row r="806">
      <c r="P806" s="153"/>
    </row>
    <row r="807">
      <c r="P807" s="153"/>
    </row>
    <row r="808">
      <c r="P808" s="153"/>
    </row>
    <row r="809">
      <c r="P809" s="153"/>
    </row>
    <row r="810">
      <c r="P810" s="153"/>
    </row>
    <row r="811">
      <c r="P811" s="153"/>
    </row>
    <row r="812">
      <c r="P812" s="153"/>
    </row>
    <row r="813">
      <c r="P813" s="153"/>
    </row>
    <row r="814">
      <c r="P814" s="153"/>
    </row>
    <row r="815">
      <c r="P815" s="153"/>
    </row>
    <row r="816">
      <c r="P816" s="153"/>
    </row>
    <row r="817">
      <c r="P817" s="153"/>
    </row>
    <row r="818">
      <c r="P818" s="153"/>
    </row>
    <row r="819">
      <c r="P819" s="153"/>
    </row>
    <row r="820">
      <c r="P820" s="153"/>
    </row>
    <row r="821">
      <c r="P821" s="153"/>
    </row>
    <row r="822">
      <c r="P822" s="153"/>
    </row>
    <row r="823">
      <c r="P823" s="153"/>
    </row>
    <row r="824">
      <c r="P824" s="153"/>
    </row>
    <row r="825">
      <c r="P825" s="153"/>
    </row>
    <row r="826">
      <c r="P826" s="153"/>
    </row>
    <row r="827">
      <c r="P827" s="153"/>
    </row>
    <row r="828">
      <c r="P828" s="153"/>
    </row>
    <row r="829">
      <c r="P829" s="153"/>
    </row>
    <row r="830">
      <c r="P830" s="153"/>
    </row>
    <row r="831">
      <c r="P831" s="153"/>
    </row>
    <row r="832">
      <c r="P832" s="153"/>
    </row>
    <row r="833">
      <c r="P833" s="153"/>
    </row>
    <row r="834">
      <c r="P834" s="153"/>
    </row>
    <row r="835">
      <c r="P835" s="153"/>
    </row>
    <row r="836">
      <c r="P836" s="153"/>
    </row>
    <row r="837">
      <c r="P837" s="153"/>
    </row>
    <row r="838">
      <c r="P838" s="153"/>
    </row>
    <row r="839">
      <c r="P839" s="153"/>
    </row>
    <row r="840">
      <c r="P840" s="153"/>
    </row>
    <row r="841">
      <c r="P841" s="153"/>
    </row>
    <row r="842">
      <c r="P842" s="153"/>
    </row>
    <row r="843">
      <c r="P843" s="153"/>
    </row>
    <row r="844">
      <c r="P844" s="153"/>
    </row>
    <row r="845">
      <c r="P845" s="153"/>
    </row>
    <row r="846">
      <c r="P846" s="153"/>
    </row>
    <row r="847">
      <c r="P847" s="153"/>
    </row>
    <row r="848">
      <c r="P848" s="153"/>
    </row>
    <row r="849">
      <c r="P849" s="153"/>
    </row>
    <row r="850">
      <c r="P850" s="153"/>
    </row>
    <row r="851">
      <c r="P851" s="153"/>
    </row>
    <row r="852">
      <c r="P852" s="153"/>
    </row>
    <row r="853">
      <c r="P853" s="153"/>
    </row>
    <row r="854">
      <c r="P854" s="153"/>
    </row>
    <row r="855">
      <c r="P855" s="153"/>
    </row>
    <row r="856">
      <c r="P856" s="153"/>
    </row>
    <row r="857">
      <c r="P857" s="153"/>
    </row>
    <row r="858">
      <c r="P858" s="153"/>
    </row>
    <row r="859">
      <c r="P859" s="153"/>
    </row>
    <row r="860">
      <c r="P860" s="153"/>
    </row>
    <row r="861">
      <c r="P861" s="153"/>
    </row>
    <row r="862">
      <c r="P862" s="153"/>
    </row>
    <row r="863">
      <c r="P863" s="153"/>
    </row>
    <row r="864">
      <c r="P864" s="153"/>
    </row>
    <row r="865">
      <c r="P865" s="153"/>
    </row>
    <row r="866">
      <c r="P866" s="153"/>
    </row>
    <row r="867">
      <c r="P867" s="153"/>
    </row>
    <row r="868">
      <c r="P868" s="153"/>
    </row>
    <row r="869">
      <c r="P869" s="153"/>
    </row>
    <row r="870">
      <c r="P870" s="153"/>
    </row>
    <row r="871">
      <c r="P871" s="153"/>
    </row>
    <row r="872">
      <c r="P872" s="153"/>
    </row>
    <row r="873">
      <c r="P873" s="153"/>
    </row>
    <row r="874">
      <c r="P874" s="153"/>
    </row>
    <row r="875">
      <c r="P875" s="153"/>
    </row>
    <row r="876">
      <c r="P876" s="153"/>
    </row>
    <row r="877">
      <c r="P877" s="153"/>
    </row>
    <row r="878">
      <c r="P878" s="153"/>
    </row>
    <row r="879">
      <c r="P879" s="153"/>
    </row>
    <row r="880">
      <c r="P880" s="153"/>
    </row>
    <row r="881">
      <c r="P881" s="153"/>
    </row>
    <row r="882">
      <c r="P882" s="153"/>
    </row>
    <row r="883">
      <c r="P883" s="153"/>
    </row>
    <row r="884">
      <c r="P884" s="153"/>
    </row>
    <row r="885">
      <c r="P885" s="153"/>
    </row>
    <row r="886">
      <c r="P886" s="153"/>
    </row>
    <row r="887">
      <c r="P887" s="153"/>
    </row>
    <row r="888">
      <c r="P888" s="153"/>
    </row>
    <row r="889">
      <c r="P889" s="153"/>
    </row>
    <row r="890">
      <c r="P890" s="153"/>
    </row>
    <row r="891">
      <c r="P891" s="153"/>
    </row>
    <row r="892">
      <c r="P892" s="153"/>
    </row>
    <row r="893">
      <c r="P893" s="153"/>
    </row>
    <row r="894">
      <c r="P894" s="153"/>
    </row>
    <row r="895">
      <c r="P895" s="153"/>
    </row>
    <row r="896">
      <c r="P896" s="153"/>
    </row>
    <row r="897">
      <c r="P897" s="153"/>
    </row>
    <row r="898">
      <c r="P898" s="153"/>
    </row>
    <row r="899">
      <c r="P899" s="153"/>
    </row>
    <row r="900">
      <c r="P900" s="153"/>
    </row>
    <row r="901">
      <c r="P901" s="153"/>
    </row>
    <row r="902">
      <c r="P902" s="153"/>
    </row>
    <row r="903">
      <c r="P903" s="153"/>
    </row>
    <row r="904">
      <c r="P904" s="153"/>
    </row>
    <row r="905">
      <c r="P905" s="153"/>
    </row>
    <row r="906">
      <c r="P906" s="153"/>
    </row>
    <row r="907">
      <c r="P907" s="153"/>
    </row>
    <row r="908">
      <c r="P908" s="153"/>
    </row>
    <row r="909">
      <c r="P909" s="153"/>
    </row>
    <row r="910">
      <c r="P910" s="153"/>
    </row>
    <row r="911">
      <c r="P911" s="153"/>
    </row>
    <row r="912">
      <c r="P912" s="153"/>
    </row>
    <row r="913">
      <c r="P913" s="153"/>
    </row>
    <row r="914">
      <c r="P914" s="153"/>
    </row>
    <row r="915">
      <c r="P915" s="153"/>
    </row>
    <row r="916">
      <c r="P916" s="153"/>
    </row>
    <row r="917">
      <c r="P917" s="153"/>
    </row>
    <row r="918">
      <c r="P918" s="153"/>
    </row>
    <row r="919">
      <c r="P919" s="153"/>
    </row>
    <row r="920">
      <c r="P920" s="153"/>
    </row>
    <row r="921">
      <c r="P921" s="153"/>
    </row>
    <row r="922">
      <c r="P922" s="153"/>
    </row>
    <row r="923">
      <c r="P923" s="153"/>
    </row>
    <row r="924">
      <c r="P924" s="153"/>
    </row>
    <row r="925">
      <c r="P925" s="153"/>
    </row>
    <row r="926">
      <c r="P926" s="153"/>
    </row>
    <row r="927">
      <c r="P927" s="153"/>
    </row>
    <row r="928">
      <c r="P928" s="153"/>
    </row>
    <row r="929">
      <c r="P929" s="153"/>
    </row>
    <row r="930">
      <c r="P930" s="153"/>
    </row>
    <row r="931">
      <c r="P931" s="153"/>
    </row>
    <row r="932">
      <c r="P932" s="153"/>
    </row>
    <row r="933">
      <c r="P933" s="153"/>
    </row>
    <row r="934">
      <c r="P934" s="153"/>
    </row>
    <row r="935">
      <c r="P935" s="153"/>
    </row>
    <row r="936">
      <c r="P936" s="153"/>
    </row>
    <row r="937">
      <c r="P937" s="153"/>
    </row>
    <row r="938">
      <c r="P938" s="153"/>
    </row>
    <row r="939">
      <c r="P939" s="153"/>
    </row>
    <row r="940">
      <c r="P940" s="153"/>
    </row>
    <row r="941">
      <c r="P941" s="153"/>
    </row>
    <row r="942">
      <c r="P942" s="153"/>
    </row>
    <row r="943">
      <c r="P943" s="153"/>
    </row>
    <row r="944">
      <c r="P944" s="153"/>
    </row>
    <row r="945">
      <c r="P945" s="153"/>
    </row>
    <row r="946">
      <c r="P946" s="153"/>
    </row>
    <row r="947">
      <c r="P947" s="153"/>
    </row>
    <row r="948">
      <c r="P948" s="153"/>
    </row>
    <row r="949">
      <c r="P949" s="153"/>
    </row>
    <row r="950">
      <c r="P950" s="153"/>
    </row>
    <row r="951">
      <c r="P951" s="153"/>
    </row>
    <row r="952">
      <c r="P952" s="153"/>
    </row>
    <row r="953">
      <c r="P953" s="153"/>
    </row>
    <row r="954">
      <c r="P954" s="153"/>
    </row>
    <row r="955">
      <c r="P955" s="153"/>
    </row>
    <row r="956">
      <c r="P956" s="153"/>
    </row>
    <row r="957">
      <c r="P957" s="153"/>
    </row>
    <row r="958">
      <c r="P958" s="153"/>
    </row>
    <row r="959">
      <c r="P959" s="153"/>
    </row>
    <row r="960">
      <c r="P960" s="153"/>
    </row>
    <row r="961">
      <c r="P961" s="153"/>
    </row>
    <row r="962">
      <c r="P962" s="153"/>
    </row>
    <row r="963">
      <c r="P963" s="153"/>
    </row>
    <row r="964">
      <c r="P964" s="153"/>
    </row>
    <row r="965">
      <c r="P965" s="153"/>
    </row>
    <row r="966">
      <c r="P966" s="153"/>
    </row>
    <row r="967">
      <c r="P967" s="153"/>
    </row>
    <row r="968">
      <c r="P968" s="153"/>
    </row>
    <row r="969">
      <c r="P969" s="153"/>
    </row>
    <row r="970">
      <c r="P970" s="153"/>
    </row>
    <row r="971">
      <c r="P971" s="153"/>
    </row>
    <row r="972">
      <c r="P972" s="153"/>
    </row>
    <row r="973">
      <c r="P973" s="153"/>
    </row>
    <row r="974">
      <c r="P974" s="153"/>
    </row>
    <row r="975">
      <c r="P975" s="153"/>
    </row>
    <row r="976">
      <c r="P976" s="153"/>
    </row>
    <row r="977">
      <c r="P977" s="153"/>
    </row>
    <row r="978">
      <c r="P978" s="153"/>
    </row>
    <row r="979">
      <c r="P979" s="153"/>
    </row>
    <row r="980">
      <c r="P980" s="153"/>
    </row>
    <row r="981">
      <c r="P981" s="153"/>
    </row>
    <row r="982">
      <c r="P982" s="153"/>
    </row>
    <row r="983">
      <c r="P983" s="153"/>
    </row>
    <row r="984">
      <c r="P984" s="153"/>
    </row>
    <row r="985">
      <c r="P985" s="153"/>
    </row>
    <row r="986">
      <c r="P986" s="153"/>
    </row>
    <row r="987">
      <c r="P987" s="153"/>
    </row>
    <row r="988">
      <c r="P988" s="153"/>
    </row>
    <row r="989">
      <c r="P989" s="153"/>
    </row>
    <row r="990">
      <c r="P990" s="153"/>
    </row>
    <row r="991">
      <c r="P991" s="153"/>
    </row>
    <row r="992">
      <c r="P992" s="153"/>
    </row>
    <row r="993">
      <c r="P993" s="153"/>
    </row>
    <row r="994">
      <c r="P994" s="153"/>
    </row>
    <row r="995">
      <c r="P995" s="153"/>
    </row>
    <row r="996">
      <c r="P996" s="153"/>
    </row>
    <row r="997">
      <c r="P997" s="153"/>
    </row>
    <row r="998">
      <c r="P998" s="153"/>
    </row>
    <row r="999">
      <c r="P999" s="153"/>
    </row>
    <row r="1000">
      <c r="P1000" s="153"/>
    </row>
  </sheetData>
  <dataValidations>
    <dataValidation type="list" allowBlank="1" showErrorMessage="1" sqref="P1:P1000">
      <formula1>"IT Area,FMG Cabinet,WFH,Mezzanine,Transferred,Deployed Onsite,C3-6 2nd floor,IT storage"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P1" s="153"/>
    </row>
    <row r="2">
      <c r="P2" s="153"/>
    </row>
    <row r="3">
      <c r="P3" s="153"/>
    </row>
    <row r="4">
      <c r="P4" s="153"/>
    </row>
    <row r="5">
      <c r="P5" s="153"/>
    </row>
    <row r="6">
      <c r="P6" s="153"/>
    </row>
    <row r="7">
      <c r="P7" s="153"/>
    </row>
    <row r="8">
      <c r="P8" s="153"/>
    </row>
    <row r="9">
      <c r="P9" s="153"/>
    </row>
    <row r="10">
      <c r="P10" s="153"/>
    </row>
    <row r="11">
      <c r="P11" s="153"/>
    </row>
    <row r="12">
      <c r="P12" s="153"/>
    </row>
    <row r="13">
      <c r="P13" s="153"/>
    </row>
    <row r="14">
      <c r="P14" s="153"/>
    </row>
    <row r="15">
      <c r="P15" s="153"/>
    </row>
    <row r="16">
      <c r="P16" s="153"/>
    </row>
    <row r="17">
      <c r="P17" s="153"/>
    </row>
    <row r="18">
      <c r="P18" s="153"/>
    </row>
    <row r="19">
      <c r="P19" s="153"/>
    </row>
    <row r="20">
      <c r="P20" s="153"/>
    </row>
    <row r="21">
      <c r="P21" s="153"/>
    </row>
    <row r="22">
      <c r="P22" s="153"/>
    </row>
    <row r="23">
      <c r="P23" s="153"/>
    </row>
    <row r="24">
      <c r="P24" s="153"/>
    </row>
    <row r="25">
      <c r="P25" s="153"/>
    </row>
    <row r="26">
      <c r="P26" s="153"/>
    </row>
    <row r="27">
      <c r="P27" s="153"/>
    </row>
    <row r="28">
      <c r="P28" s="153"/>
    </row>
    <row r="29">
      <c r="P29" s="153"/>
    </row>
    <row r="30">
      <c r="P30" s="153"/>
    </row>
    <row r="31">
      <c r="P31" s="153"/>
    </row>
    <row r="32">
      <c r="P32" s="153"/>
    </row>
    <row r="33">
      <c r="P33" s="153"/>
    </row>
    <row r="34">
      <c r="P34" s="153"/>
    </row>
    <row r="35">
      <c r="P35" s="153"/>
    </row>
    <row r="36">
      <c r="P36" s="153"/>
    </row>
    <row r="37">
      <c r="P37" s="153"/>
    </row>
    <row r="38">
      <c r="P38" s="153"/>
    </row>
    <row r="39">
      <c r="P39" s="153"/>
    </row>
    <row r="40">
      <c r="P40" s="153"/>
    </row>
    <row r="41">
      <c r="P41" s="153"/>
    </row>
    <row r="42">
      <c r="P42" s="153"/>
    </row>
    <row r="43">
      <c r="P43" s="153"/>
    </row>
    <row r="44">
      <c r="P44" s="153"/>
    </row>
    <row r="45">
      <c r="P45" s="153"/>
    </row>
    <row r="46">
      <c r="P46" s="153"/>
    </row>
    <row r="47">
      <c r="P47" s="153"/>
    </row>
    <row r="48">
      <c r="P48" s="153"/>
    </row>
    <row r="49">
      <c r="P49" s="153"/>
    </row>
    <row r="50">
      <c r="P50" s="153"/>
    </row>
    <row r="51">
      <c r="P51" s="153"/>
    </row>
    <row r="52">
      <c r="P52" s="153"/>
    </row>
    <row r="53">
      <c r="P53" s="153"/>
    </row>
    <row r="54">
      <c r="P54" s="153"/>
    </row>
    <row r="55">
      <c r="P55" s="153"/>
    </row>
    <row r="56">
      <c r="P56" s="153"/>
    </row>
    <row r="57">
      <c r="P57" s="153"/>
    </row>
    <row r="58">
      <c r="P58" s="153"/>
    </row>
    <row r="59">
      <c r="P59" s="153"/>
    </row>
    <row r="60">
      <c r="P60" s="153"/>
    </row>
    <row r="61">
      <c r="P61" s="153"/>
    </row>
    <row r="62">
      <c r="P62" s="153"/>
    </row>
    <row r="63">
      <c r="P63" s="153"/>
    </row>
    <row r="64">
      <c r="P64" s="153"/>
    </row>
    <row r="65">
      <c r="P65" s="153"/>
    </row>
    <row r="66">
      <c r="P66" s="153"/>
    </row>
    <row r="67">
      <c r="P67" s="153"/>
    </row>
    <row r="68">
      <c r="P68" s="153"/>
    </row>
    <row r="69">
      <c r="P69" s="153"/>
    </row>
    <row r="70">
      <c r="P70" s="153"/>
    </row>
    <row r="71">
      <c r="P71" s="153"/>
    </row>
    <row r="72">
      <c r="P72" s="153"/>
    </row>
    <row r="73">
      <c r="P73" s="153"/>
    </row>
    <row r="74">
      <c r="P74" s="153"/>
    </row>
    <row r="75">
      <c r="P75" s="153"/>
    </row>
    <row r="76">
      <c r="P76" s="153"/>
    </row>
    <row r="77">
      <c r="P77" s="153"/>
    </row>
    <row r="78">
      <c r="P78" s="153"/>
    </row>
    <row r="79">
      <c r="P79" s="153"/>
    </row>
    <row r="80">
      <c r="P80" s="153"/>
    </row>
    <row r="81">
      <c r="P81" s="153"/>
    </row>
    <row r="82">
      <c r="P82" s="153"/>
    </row>
    <row r="83">
      <c r="P83" s="153"/>
    </row>
    <row r="84">
      <c r="P84" s="153"/>
    </row>
    <row r="85">
      <c r="P85" s="153"/>
    </row>
    <row r="86">
      <c r="P86" s="153"/>
    </row>
    <row r="87">
      <c r="P87" s="153"/>
    </row>
    <row r="88">
      <c r="P88" s="153"/>
    </row>
    <row r="89">
      <c r="P89" s="153"/>
    </row>
    <row r="90">
      <c r="P90" s="153"/>
    </row>
    <row r="91">
      <c r="P91" s="153"/>
    </row>
    <row r="92">
      <c r="P92" s="153"/>
    </row>
    <row r="93">
      <c r="P93" s="153"/>
    </row>
    <row r="94">
      <c r="P94" s="153"/>
    </row>
    <row r="95">
      <c r="P95" s="153"/>
    </row>
    <row r="96">
      <c r="P96" s="153"/>
    </row>
    <row r="97">
      <c r="P97" s="153"/>
    </row>
    <row r="98">
      <c r="P98" s="153"/>
    </row>
    <row r="99">
      <c r="P99" s="153"/>
    </row>
    <row r="100">
      <c r="P100" s="153"/>
    </row>
    <row r="101">
      <c r="P101" s="153"/>
    </row>
    <row r="102">
      <c r="P102" s="153"/>
    </row>
    <row r="103">
      <c r="P103" s="153"/>
    </row>
    <row r="104">
      <c r="P104" s="153"/>
    </row>
    <row r="105">
      <c r="P105" s="153"/>
    </row>
    <row r="106">
      <c r="P106" s="153"/>
    </row>
    <row r="107">
      <c r="P107" s="153"/>
    </row>
    <row r="108">
      <c r="P108" s="153"/>
    </row>
    <row r="109">
      <c r="P109" s="153"/>
    </row>
    <row r="110">
      <c r="P110" s="153"/>
    </row>
    <row r="111">
      <c r="P111" s="153"/>
    </row>
    <row r="112">
      <c r="P112" s="153"/>
    </row>
    <row r="113">
      <c r="P113" s="153"/>
    </row>
    <row r="114">
      <c r="P114" s="153"/>
    </row>
    <row r="115">
      <c r="P115" s="153"/>
    </row>
    <row r="116">
      <c r="P116" s="153"/>
    </row>
    <row r="117">
      <c r="P117" s="153"/>
    </row>
    <row r="118">
      <c r="P118" s="153"/>
    </row>
    <row r="119">
      <c r="P119" s="153"/>
    </row>
    <row r="120">
      <c r="P120" s="153"/>
    </row>
    <row r="121">
      <c r="P121" s="153"/>
    </row>
    <row r="122">
      <c r="P122" s="153"/>
    </row>
    <row r="123">
      <c r="P123" s="153"/>
    </row>
    <row r="124">
      <c r="P124" s="153"/>
    </row>
    <row r="125">
      <c r="P125" s="153"/>
    </row>
    <row r="126">
      <c r="P126" s="153"/>
    </row>
    <row r="127">
      <c r="P127" s="153"/>
    </row>
    <row r="128">
      <c r="P128" s="153"/>
    </row>
    <row r="129">
      <c r="P129" s="153"/>
    </row>
    <row r="130">
      <c r="P130" s="153"/>
    </row>
    <row r="131">
      <c r="P131" s="153"/>
    </row>
    <row r="132">
      <c r="P132" s="153"/>
    </row>
    <row r="133">
      <c r="P133" s="153"/>
    </row>
    <row r="134">
      <c r="P134" s="153"/>
    </row>
    <row r="135">
      <c r="P135" s="153"/>
    </row>
    <row r="136">
      <c r="P136" s="153"/>
    </row>
    <row r="137">
      <c r="P137" s="153"/>
    </row>
    <row r="138">
      <c r="P138" s="153"/>
    </row>
    <row r="139">
      <c r="P139" s="153"/>
    </row>
    <row r="140">
      <c r="P140" s="153"/>
    </row>
    <row r="141">
      <c r="P141" s="153"/>
    </row>
    <row r="142">
      <c r="P142" s="153"/>
    </row>
    <row r="143">
      <c r="P143" s="153"/>
    </row>
    <row r="144">
      <c r="P144" s="153"/>
    </row>
    <row r="145">
      <c r="P145" s="153"/>
    </row>
    <row r="146">
      <c r="P146" s="153"/>
    </row>
    <row r="147">
      <c r="P147" s="153"/>
    </row>
    <row r="148">
      <c r="P148" s="153"/>
    </row>
    <row r="149">
      <c r="P149" s="153"/>
    </row>
    <row r="150">
      <c r="P150" s="153"/>
    </row>
    <row r="151">
      <c r="P151" s="153"/>
    </row>
    <row r="152">
      <c r="P152" s="153"/>
    </row>
    <row r="153">
      <c r="P153" s="153"/>
    </row>
    <row r="154">
      <c r="P154" s="153"/>
    </row>
    <row r="155">
      <c r="P155" s="153"/>
    </row>
    <row r="156">
      <c r="P156" s="153"/>
    </row>
    <row r="157">
      <c r="P157" s="153"/>
    </row>
    <row r="158">
      <c r="P158" s="153"/>
    </row>
    <row r="159">
      <c r="P159" s="153"/>
    </row>
    <row r="160">
      <c r="P160" s="153"/>
    </row>
    <row r="161">
      <c r="P161" s="153"/>
    </row>
    <row r="162">
      <c r="P162" s="153"/>
    </row>
    <row r="163">
      <c r="P163" s="153"/>
    </row>
    <row r="164">
      <c r="P164" s="153"/>
    </row>
    <row r="165">
      <c r="P165" s="153"/>
    </row>
    <row r="166">
      <c r="P166" s="153"/>
    </row>
    <row r="167">
      <c r="P167" s="153"/>
    </row>
    <row r="168">
      <c r="P168" s="153"/>
    </row>
    <row r="169">
      <c r="P169" s="153"/>
    </row>
    <row r="170">
      <c r="P170" s="153"/>
    </row>
    <row r="171">
      <c r="P171" s="153"/>
    </row>
    <row r="172">
      <c r="P172" s="153"/>
    </row>
    <row r="173">
      <c r="P173" s="153"/>
    </row>
    <row r="174">
      <c r="P174" s="153"/>
    </row>
    <row r="175">
      <c r="P175" s="153"/>
    </row>
    <row r="176">
      <c r="P176" s="153"/>
    </row>
    <row r="177">
      <c r="P177" s="153"/>
    </row>
    <row r="178">
      <c r="P178" s="153"/>
    </row>
    <row r="179">
      <c r="P179" s="153"/>
    </row>
    <row r="180">
      <c r="P180" s="153"/>
    </row>
    <row r="181">
      <c r="P181" s="153"/>
    </row>
    <row r="182">
      <c r="P182" s="153"/>
    </row>
    <row r="183">
      <c r="P183" s="153"/>
    </row>
    <row r="184">
      <c r="P184" s="153"/>
    </row>
    <row r="185">
      <c r="P185" s="153"/>
    </row>
    <row r="186">
      <c r="P186" s="153"/>
    </row>
    <row r="187">
      <c r="P187" s="153"/>
    </row>
    <row r="188">
      <c r="P188" s="153"/>
    </row>
    <row r="189">
      <c r="P189" s="153"/>
    </row>
    <row r="190">
      <c r="P190" s="153"/>
    </row>
    <row r="191">
      <c r="P191" s="153"/>
    </row>
    <row r="192">
      <c r="P192" s="153"/>
    </row>
    <row r="193">
      <c r="P193" s="153"/>
    </row>
    <row r="194">
      <c r="P194" s="153"/>
    </row>
    <row r="195">
      <c r="P195" s="153"/>
    </row>
    <row r="196">
      <c r="P196" s="153"/>
    </row>
    <row r="197">
      <c r="P197" s="153"/>
    </row>
    <row r="198">
      <c r="P198" s="153"/>
    </row>
    <row r="199">
      <c r="P199" s="153"/>
    </row>
    <row r="200">
      <c r="P200" s="153"/>
    </row>
    <row r="201">
      <c r="P201" s="153"/>
    </row>
    <row r="202">
      <c r="P202" s="153"/>
    </row>
    <row r="203">
      <c r="P203" s="153"/>
    </row>
    <row r="204">
      <c r="P204" s="153"/>
    </row>
    <row r="205">
      <c r="P205" s="153"/>
    </row>
    <row r="206">
      <c r="P206" s="153"/>
    </row>
    <row r="207">
      <c r="P207" s="153"/>
    </row>
    <row r="208">
      <c r="P208" s="153"/>
    </row>
    <row r="209">
      <c r="P209" s="153"/>
    </row>
    <row r="210">
      <c r="P210" s="153"/>
    </row>
    <row r="211">
      <c r="P211" s="153"/>
    </row>
    <row r="212">
      <c r="P212" s="153"/>
    </row>
    <row r="213">
      <c r="P213" s="153"/>
    </row>
    <row r="214">
      <c r="P214" s="153"/>
    </row>
    <row r="215">
      <c r="P215" s="153"/>
    </row>
    <row r="216">
      <c r="P216" s="153"/>
    </row>
    <row r="217">
      <c r="P217" s="153"/>
    </row>
    <row r="218">
      <c r="P218" s="153"/>
    </row>
    <row r="219">
      <c r="P219" s="153"/>
    </row>
    <row r="220">
      <c r="P220" s="153"/>
    </row>
    <row r="221">
      <c r="P221" s="153"/>
    </row>
    <row r="222">
      <c r="P222" s="153"/>
    </row>
    <row r="223">
      <c r="P223" s="153"/>
    </row>
    <row r="224">
      <c r="P224" s="153"/>
    </row>
    <row r="225">
      <c r="P225" s="153"/>
    </row>
    <row r="226">
      <c r="P226" s="153"/>
    </row>
    <row r="227">
      <c r="P227" s="153"/>
    </row>
    <row r="228">
      <c r="P228" s="153"/>
    </row>
    <row r="229">
      <c r="P229" s="153"/>
    </row>
    <row r="230">
      <c r="P230" s="153"/>
    </row>
    <row r="231">
      <c r="P231" s="153"/>
    </row>
    <row r="232">
      <c r="P232" s="153"/>
    </row>
    <row r="233">
      <c r="P233" s="153"/>
    </row>
    <row r="234">
      <c r="P234" s="153"/>
    </row>
    <row r="235">
      <c r="P235" s="153"/>
    </row>
    <row r="236">
      <c r="P236" s="153"/>
    </row>
    <row r="237">
      <c r="P237" s="153"/>
    </row>
    <row r="238">
      <c r="P238" s="153"/>
    </row>
    <row r="239">
      <c r="P239" s="153"/>
    </row>
    <row r="240">
      <c r="P240" s="153"/>
    </row>
    <row r="241">
      <c r="P241" s="153"/>
    </row>
    <row r="242">
      <c r="P242" s="153"/>
    </row>
    <row r="243">
      <c r="P243" s="153"/>
    </row>
    <row r="244">
      <c r="P244" s="153"/>
    </row>
    <row r="245">
      <c r="P245" s="153"/>
    </row>
    <row r="246">
      <c r="P246" s="153"/>
    </row>
    <row r="247">
      <c r="P247" s="153"/>
    </row>
    <row r="248">
      <c r="P248" s="153"/>
    </row>
    <row r="249">
      <c r="P249" s="153"/>
    </row>
    <row r="250">
      <c r="P250" s="153"/>
    </row>
    <row r="251">
      <c r="P251" s="153"/>
    </row>
    <row r="252">
      <c r="P252" s="153"/>
    </row>
    <row r="253">
      <c r="P253" s="153"/>
    </row>
    <row r="254">
      <c r="P254" s="153"/>
    </row>
    <row r="255">
      <c r="P255" s="153"/>
    </row>
    <row r="256">
      <c r="P256" s="153"/>
    </row>
    <row r="257">
      <c r="P257" s="153"/>
    </row>
    <row r="258">
      <c r="P258" s="153"/>
    </row>
    <row r="259">
      <c r="P259" s="153"/>
    </row>
    <row r="260">
      <c r="P260" s="153"/>
    </row>
    <row r="261">
      <c r="P261" s="153"/>
    </row>
    <row r="262">
      <c r="P262" s="153"/>
    </row>
    <row r="263">
      <c r="P263" s="153"/>
    </row>
    <row r="264">
      <c r="P264" s="153"/>
    </row>
    <row r="265">
      <c r="P265" s="153"/>
    </row>
    <row r="266">
      <c r="P266" s="153"/>
    </row>
    <row r="267">
      <c r="P267" s="153"/>
    </row>
    <row r="268">
      <c r="P268" s="153"/>
    </row>
    <row r="269">
      <c r="P269" s="153"/>
    </row>
    <row r="270">
      <c r="P270" s="153"/>
    </row>
    <row r="271">
      <c r="P271" s="153"/>
    </row>
    <row r="272">
      <c r="P272" s="153"/>
    </row>
    <row r="273">
      <c r="P273" s="153"/>
    </row>
    <row r="274">
      <c r="P274" s="153"/>
    </row>
    <row r="275">
      <c r="P275" s="153"/>
    </row>
    <row r="276">
      <c r="P276" s="153"/>
    </row>
    <row r="277">
      <c r="P277" s="153"/>
    </row>
    <row r="278">
      <c r="P278" s="153"/>
    </row>
    <row r="279">
      <c r="P279" s="153"/>
    </row>
    <row r="280">
      <c r="P280" s="153"/>
    </row>
    <row r="281">
      <c r="P281" s="153"/>
    </row>
    <row r="282">
      <c r="P282" s="153"/>
    </row>
    <row r="283">
      <c r="P283" s="153"/>
    </row>
    <row r="284">
      <c r="P284" s="153"/>
    </row>
    <row r="285">
      <c r="P285" s="153"/>
    </row>
    <row r="286">
      <c r="P286" s="153"/>
    </row>
    <row r="287">
      <c r="P287" s="153"/>
    </row>
    <row r="288">
      <c r="P288" s="153"/>
    </row>
    <row r="289">
      <c r="P289" s="153"/>
    </row>
    <row r="290">
      <c r="P290" s="153"/>
    </row>
    <row r="291">
      <c r="P291" s="153"/>
    </row>
    <row r="292">
      <c r="P292" s="153"/>
    </row>
    <row r="293">
      <c r="P293" s="153"/>
    </row>
    <row r="294">
      <c r="P294" s="153"/>
    </row>
    <row r="295">
      <c r="P295" s="153"/>
    </row>
    <row r="296">
      <c r="P296" s="153"/>
    </row>
    <row r="297">
      <c r="P297" s="153"/>
    </row>
    <row r="298">
      <c r="P298" s="153"/>
    </row>
    <row r="299">
      <c r="P299" s="153"/>
    </row>
    <row r="300">
      <c r="P300" s="153"/>
    </row>
    <row r="301">
      <c r="P301" s="153"/>
    </row>
    <row r="302">
      <c r="P302" s="153"/>
    </row>
    <row r="303">
      <c r="P303" s="153"/>
    </row>
    <row r="304">
      <c r="P304" s="153"/>
    </row>
    <row r="305">
      <c r="P305" s="153"/>
    </row>
    <row r="306">
      <c r="P306" s="153"/>
    </row>
    <row r="307">
      <c r="P307" s="153"/>
    </row>
    <row r="308">
      <c r="P308" s="153"/>
    </row>
    <row r="309">
      <c r="P309" s="153"/>
    </row>
    <row r="310">
      <c r="P310" s="153"/>
    </row>
    <row r="311">
      <c r="P311" s="153"/>
    </row>
    <row r="312">
      <c r="P312" s="153"/>
    </row>
    <row r="313">
      <c r="P313" s="153"/>
    </row>
    <row r="314">
      <c r="P314" s="153"/>
    </row>
    <row r="315">
      <c r="P315" s="153"/>
    </row>
    <row r="316">
      <c r="P316" s="153"/>
    </row>
    <row r="317">
      <c r="P317" s="153"/>
    </row>
    <row r="318">
      <c r="P318" s="153"/>
    </row>
    <row r="319">
      <c r="P319" s="153"/>
    </row>
    <row r="320">
      <c r="P320" s="153"/>
    </row>
    <row r="321">
      <c r="P321" s="153"/>
    </row>
    <row r="322">
      <c r="P322" s="153"/>
    </row>
    <row r="323">
      <c r="P323" s="153"/>
    </row>
    <row r="324">
      <c r="P324" s="153"/>
    </row>
    <row r="325">
      <c r="P325" s="153"/>
    </row>
    <row r="326">
      <c r="P326" s="153"/>
    </row>
    <row r="327">
      <c r="P327" s="153"/>
    </row>
    <row r="328">
      <c r="P328" s="153"/>
    </row>
    <row r="329">
      <c r="P329" s="153"/>
    </row>
    <row r="330">
      <c r="P330" s="153"/>
    </row>
    <row r="331">
      <c r="P331" s="153"/>
    </row>
    <row r="332">
      <c r="P332" s="153"/>
    </row>
    <row r="333">
      <c r="P333" s="153"/>
    </row>
    <row r="334">
      <c r="P334" s="153"/>
    </row>
    <row r="335">
      <c r="P335" s="153"/>
    </row>
    <row r="336">
      <c r="P336" s="153"/>
    </row>
    <row r="337">
      <c r="P337" s="153"/>
    </row>
    <row r="338">
      <c r="P338" s="153"/>
    </row>
    <row r="339">
      <c r="P339" s="153"/>
    </row>
    <row r="340">
      <c r="P340" s="153"/>
    </row>
    <row r="341">
      <c r="P341" s="153"/>
    </row>
    <row r="342">
      <c r="P342" s="153"/>
    </row>
    <row r="343">
      <c r="P343" s="153"/>
    </row>
    <row r="344">
      <c r="P344" s="153"/>
    </row>
    <row r="345">
      <c r="P345" s="153"/>
    </row>
    <row r="346">
      <c r="P346" s="153"/>
    </row>
    <row r="347">
      <c r="P347" s="153"/>
    </row>
    <row r="348">
      <c r="P348" s="153"/>
    </row>
    <row r="349">
      <c r="P349" s="153"/>
    </row>
    <row r="350">
      <c r="P350" s="153"/>
    </row>
    <row r="351">
      <c r="P351" s="153"/>
    </row>
    <row r="352">
      <c r="P352" s="153"/>
    </row>
    <row r="353">
      <c r="P353" s="153"/>
    </row>
    <row r="354">
      <c r="P354" s="153"/>
    </row>
    <row r="355">
      <c r="P355" s="153"/>
    </row>
    <row r="356">
      <c r="P356" s="153"/>
    </row>
    <row r="357">
      <c r="P357" s="153"/>
    </row>
    <row r="358">
      <c r="P358" s="153"/>
    </row>
    <row r="359">
      <c r="P359" s="153"/>
    </row>
    <row r="360">
      <c r="P360" s="153"/>
    </row>
    <row r="361">
      <c r="P361" s="153"/>
    </row>
    <row r="362">
      <c r="P362" s="153"/>
    </row>
    <row r="363">
      <c r="P363" s="153"/>
    </row>
    <row r="364">
      <c r="P364" s="153"/>
    </row>
    <row r="365">
      <c r="P365" s="153"/>
    </row>
    <row r="366">
      <c r="P366" s="153"/>
    </row>
    <row r="367">
      <c r="P367" s="153"/>
    </row>
    <row r="368">
      <c r="P368" s="153"/>
    </row>
    <row r="369">
      <c r="P369" s="153"/>
    </row>
    <row r="370">
      <c r="P370" s="153"/>
    </row>
    <row r="371">
      <c r="P371" s="153"/>
    </row>
    <row r="372">
      <c r="P372" s="153"/>
    </row>
    <row r="373">
      <c r="P373" s="153"/>
    </row>
    <row r="374">
      <c r="P374" s="153"/>
    </row>
    <row r="375">
      <c r="P375" s="153"/>
    </row>
    <row r="376">
      <c r="P376" s="153"/>
    </row>
    <row r="377">
      <c r="P377" s="153"/>
    </row>
    <row r="378">
      <c r="P378" s="153"/>
    </row>
    <row r="379">
      <c r="P379" s="153"/>
    </row>
    <row r="380">
      <c r="P380" s="153"/>
    </row>
    <row r="381">
      <c r="P381" s="153"/>
    </row>
    <row r="382">
      <c r="P382" s="153"/>
    </row>
    <row r="383">
      <c r="P383" s="153"/>
    </row>
    <row r="384">
      <c r="P384" s="153"/>
    </row>
    <row r="385">
      <c r="P385" s="153"/>
    </row>
    <row r="386">
      <c r="P386" s="153"/>
    </row>
    <row r="387">
      <c r="P387" s="153"/>
    </row>
    <row r="388">
      <c r="P388" s="153"/>
    </row>
    <row r="389">
      <c r="P389" s="153"/>
    </row>
    <row r="390">
      <c r="P390" s="153"/>
    </row>
    <row r="391">
      <c r="P391" s="153"/>
    </row>
    <row r="392">
      <c r="P392" s="153"/>
    </row>
    <row r="393">
      <c r="P393" s="153"/>
    </row>
    <row r="394">
      <c r="P394" s="153"/>
    </row>
    <row r="395">
      <c r="P395" s="153"/>
    </row>
    <row r="396">
      <c r="P396" s="153"/>
    </row>
    <row r="397">
      <c r="P397" s="153"/>
    </row>
    <row r="398">
      <c r="P398" s="153"/>
    </row>
    <row r="399">
      <c r="P399" s="153"/>
    </row>
    <row r="400">
      <c r="P400" s="153"/>
    </row>
    <row r="401">
      <c r="P401" s="153"/>
    </row>
    <row r="402">
      <c r="P402" s="153"/>
    </row>
    <row r="403">
      <c r="P403" s="153"/>
    </row>
    <row r="404">
      <c r="P404" s="153"/>
    </row>
    <row r="405">
      <c r="P405" s="153"/>
    </row>
    <row r="406">
      <c r="P406" s="153"/>
    </row>
    <row r="407">
      <c r="P407" s="153"/>
    </row>
    <row r="408">
      <c r="P408" s="153"/>
    </row>
    <row r="409">
      <c r="P409" s="153"/>
    </row>
    <row r="410">
      <c r="P410" s="153"/>
    </row>
    <row r="411">
      <c r="P411" s="153"/>
    </row>
    <row r="412">
      <c r="P412" s="153"/>
    </row>
    <row r="413">
      <c r="P413" s="153"/>
    </row>
    <row r="414">
      <c r="P414" s="153"/>
    </row>
    <row r="415">
      <c r="P415" s="153"/>
    </row>
    <row r="416">
      <c r="P416" s="153"/>
    </row>
    <row r="417">
      <c r="P417" s="153"/>
    </row>
    <row r="418">
      <c r="P418" s="153"/>
    </row>
    <row r="419">
      <c r="P419" s="153"/>
    </row>
    <row r="420">
      <c r="P420" s="153"/>
    </row>
    <row r="421">
      <c r="P421" s="153"/>
    </row>
    <row r="422">
      <c r="P422" s="153"/>
    </row>
    <row r="423">
      <c r="P423" s="153"/>
    </row>
    <row r="424">
      <c r="P424" s="153"/>
    </row>
    <row r="425">
      <c r="P425" s="153"/>
    </row>
    <row r="426">
      <c r="P426" s="153"/>
    </row>
    <row r="427">
      <c r="P427" s="153"/>
    </row>
    <row r="428">
      <c r="P428" s="153"/>
    </row>
    <row r="429">
      <c r="P429" s="153"/>
    </row>
    <row r="430">
      <c r="P430" s="153"/>
    </row>
    <row r="431">
      <c r="P431" s="153"/>
    </row>
    <row r="432">
      <c r="P432" s="153"/>
    </row>
    <row r="433">
      <c r="P433" s="153"/>
    </row>
    <row r="434">
      <c r="P434" s="153"/>
    </row>
    <row r="435">
      <c r="P435" s="153"/>
    </row>
    <row r="436">
      <c r="P436" s="153"/>
    </row>
    <row r="437">
      <c r="P437" s="153"/>
    </row>
    <row r="438">
      <c r="P438" s="153"/>
    </row>
    <row r="439">
      <c r="P439" s="153"/>
    </row>
    <row r="440">
      <c r="P440" s="153"/>
    </row>
    <row r="441">
      <c r="P441" s="153"/>
    </row>
    <row r="442">
      <c r="P442" s="153"/>
    </row>
    <row r="443">
      <c r="P443" s="153"/>
    </row>
    <row r="444">
      <c r="P444" s="153"/>
    </row>
    <row r="445">
      <c r="P445" s="153"/>
    </row>
    <row r="446">
      <c r="P446" s="153"/>
    </row>
    <row r="447">
      <c r="P447" s="153"/>
    </row>
    <row r="448">
      <c r="P448" s="153"/>
    </row>
    <row r="449">
      <c r="P449" s="153"/>
    </row>
    <row r="450">
      <c r="P450" s="153"/>
    </row>
    <row r="451">
      <c r="P451" s="153"/>
    </row>
    <row r="452">
      <c r="P452" s="153"/>
    </row>
    <row r="453">
      <c r="P453" s="153"/>
    </row>
    <row r="454">
      <c r="P454" s="153"/>
    </row>
    <row r="455">
      <c r="P455" s="153"/>
    </row>
    <row r="456">
      <c r="P456" s="153"/>
    </row>
    <row r="457">
      <c r="P457" s="153"/>
    </row>
    <row r="458">
      <c r="P458" s="153"/>
    </row>
    <row r="459">
      <c r="P459" s="153"/>
    </row>
    <row r="460">
      <c r="P460" s="153"/>
    </row>
    <row r="461">
      <c r="P461" s="153"/>
    </row>
    <row r="462">
      <c r="P462" s="153"/>
    </row>
    <row r="463">
      <c r="P463" s="153"/>
    </row>
    <row r="464">
      <c r="P464" s="153"/>
    </row>
    <row r="465">
      <c r="P465" s="153"/>
    </row>
    <row r="466">
      <c r="P466" s="153"/>
    </row>
    <row r="467">
      <c r="P467" s="153"/>
    </row>
    <row r="468">
      <c r="P468" s="153"/>
    </row>
    <row r="469">
      <c r="P469" s="153"/>
    </row>
    <row r="470">
      <c r="P470" s="153"/>
    </row>
    <row r="471">
      <c r="P471" s="153"/>
    </row>
    <row r="472">
      <c r="P472" s="153"/>
    </row>
    <row r="473">
      <c r="P473" s="153"/>
    </row>
    <row r="474">
      <c r="P474" s="153"/>
    </row>
    <row r="475">
      <c r="P475" s="153"/>
    </row>
    <row r="476">
      <c r="P476" s="153"/>
    </row>
    <row r="477">
      <c r="P477" s="153"/>
    </row>
    <row r="478">
      <c r="P478" s="153"/>
    </row>
    <row r="479">
      <c r="P479" s="153"/>
    </row>
    <row r="480">
      <c r="P480" s="153"/>
    </row>
    <row r="481">
      <c r="P481" s="153"/>
    </row>
    <row r="482">
      <c r="P482" s="153"/>
    </row>
    <row r="483">
      <c r="P483" s="153"/>
    </row>
    <row r="484">
      <c r="P484" s="153"/>
    </row>
    <row r="485">
      <c r="P485" s="153"/>
    </row>
    <row r="486">
      <c r="P486" s="153"/>
    </row>
    <row r="487">
      <c r="P487" s="153"/>
    </row>
    <row r="488">
      <c r="P488" s="153"/>
    </row>
    <row r="489">
      <c r="P489" s="153"/>
    </row>
    <row r="490">
      <c r="P490" s="153"/>
    </row>
    <row r="491">
      <c r="P491" s="153"/>
    </row>
    <row r="492">
      <c r="P492" s="153"/>
    </row>
    <row r="493">
      <c r="P493" s="153"/>
    </row>
    <row r="494">
      <c r="P494" s="153"/>
    </row>
    <row r="495">
      <c r="P495" s="153"/>
    </row>
    <row r="496">
      <c r="P496" s="153"/>
    </row>
    <row r="497">
      <c r="P497" s="153"/>
    </row>
    <row r="498">
      <c r="P498" s="153"/>
    </row>
    <row r="499">
      <c r="P499" s="153"/>
    </row>
    <row r="500">
      <c r="P500" s="153"/>
    </row>
    <row r="501">
      <c r="P501" s="153"/>
    </row>
    <row r="502">
      <c r="P502" s="153"/>
    </row>
    <row r="503">
      <c r="P503" s="153"/>
    </row>
    <row r="504">
      <c r="P504" s="153"/>
    </row>
    <row r="505">
      <c r="P505" s="153"/>
    </row>
    <row r="506">
      <c r="P506" s="153"/>
    </row>
    <row r="507">
      <c r="P507" s="153"/>
    </row>
    <row r="508">
      <c r="P508" s="153"/>
    </row>
    <row r="509">
      <c r="P509" s="153"/>
    </row>
    <row r="510">
      <c r="P510" s="153"/>
    </row>
    <row r="511">
      <c r="P511" s="153"/>
    </row>
    <row r="512">
      <c r="P512" s="153"/>
    </row>
    <row r="513">
      <c r="P513" s="153"/>
    </row>
    <row r="514">
      <c r="P514" s="153"/>
    </row>
    <row r="515">
      <c r="P515" s="153"/>
    </row>
    <row r="516">
      <c r="P516" s="153"/>
    </row>
    <row r="517">
      <c r="P517" s="153"/>
    </row>
    <row r="518">
      <c r="P518" s="153"/>
    </row>
    <row r="519">
      <c r="P519" s="153"/>
    </row>
    <row r="520">
      <c r="P520" s="153"/>
    </row>
    <row r="521">
      <c r="P521" s="153"/>
    </row>
    <row r="522">
      <c r="P522" s="153"/>
    </row>
    <row r="523">
      <c r="P523" s="153"/>
    </row>
    <row r="524">
      <c r="P524" s="153"/>
    </row>
    <row r="525">
      <c r="P525" s="153"/>
    </row>
    <row r="526">
      <c r="P526" s="153"/>
    </row>
    <row r="527">
      <c r="P527" s="153"/>
    </row>
    <row r="528">
      <c r="P528" s="153"/>
    </row>
    <row r="529">
      <c r="P529" s="153"/>
    </row>
    <row r="530">
      <c r="P530" s="153"/>
    </row>
    <row r="531">
      <c r="P531" s="153"/>
    </row>
    <row r="532">
      <c r="P532" s="153"/>
    </row>
    <row r="533">
      <c r="P533" s="153"/>
    </row>
    <row r="534">
      <c r="P534" s="153"/>
    </row>
    <row r="535">
      <c r="P535" s="153"/>
    </row>
    <row r="536">
      <c r="P536" s="153"/>
    </row>
    <row r="537">
      <c r="P537" s="153"/>
    </row>
    <row r="538">
      <c r="P538" s="153"/>
    </row>
    <row r="539">
      <c r="P539" s="153"/>
    </row>
    <row r="540">
      <c r="P540" s="153"/>
    </row>
    <row r="541">
      <c r="P541" s="153"/>
    </row>
    <row r="542">
      <c r="P542" s="153"/>
    </row>
    <row r="543">
      <c r="P543" s="153"/>
    </row>
    <row r="544">
      <c r="P544" s="153"/>
    </row>
    <row r="545">
      <c r="P545" s="153"/>
    </row>
    <row r="546">
      <c r="P546" s="153"/>
    </row>
    <row r="547">
      <c r="P547" s="153"/>
    </row>
    <row r="548">
      <c r="P548" s="153"/>
    </row>
    <row r="549">
      <c r="P549" s="153"/>
    </row>
    <row r="550">
      <c r="P550" s="153"/>
    </row>
    <row r="551">
      <c r="P551" s="153"/>
    </row>
    <row r="552">
      <c r="P552" s="153"/>
    </row>
    <row r="553">
      <c r="P553" s="153"/>
    </row>
    <row r="554">
      <c r="P554" s="153"/>
    </row>
    <row r="555">
      <c r="P555" s="153"/>
    </row>
    <row r="556">
      <c r="P556" s="153"/>
    </row>
    <row r="557">
      <c r="P557" s="153"/>
    </row>
    <row r="558">
      <c r="P558" s="153"/>
    </row>
    <row r="559">
      <c r="P559" s="153"/>
    </row>
    <row r="560">
      <c r="P560" s="153"/>
    </row>
    <row r="561">
      <c r="P561" s="153"/>
    </row>
    <row r="562">
      <c r="P562" s="153"/>
    </row>
    <row r="563">
      <c r="P563" s="153"/>
    </row>
    <row r="564">
      <c r="P564" s="153"/>
    </row>
    <row r="565">
      <c r="P565" s="153"/>
    </row>
    <row r="566">
      <c r="P566" s="153"/>
    </row>
    <row r="567">
      <c r="P567" s="153"/>
    </row>
    <row r="568">
      <c r="P568" s="153"/>
    </row>
    <row r="569">
      <c r="P569" s="153"/>
    </row>
    <row r="570">
      <c r="P570" s="153"/>
    </row>
    <row r="571">
      <c r="P571" s="153"/>
    </row>
    <row r="572">
      <c r="P572" s="153"/>
    </row>
    <row r="573">
      <c r="P573" s="153"/>
    </row>
    <row r="574">
      <c r="P574" s="153"/>
    </row>
    <row r="575">
      <c r="P575" s="153"/>
    </row>
    <row r="576">
      <c r="P576" s="153"/>
    </row>
    <row r="577">
      <c r="P577" s="153"/>
    </row>
    <row r="578">
      <c r="P578" s="153"/>
    </row>
    <row r="579">
      <c r="P579" s="153"/>
    </row>
    <row r="580">
      <c r="P580" s="153"/>
    </row>
    <row r="581">
      <c r="P581" s="153"/>
    </row>
    <row r="582">
      <c r="P582" s="153"/>
    </row>
    <row r="583">
      <c r="P583" s="153"/>
    </row>
    <row r="584">
      <c r="P584" s="153"/>
    </row>
    <row r="585">
      <c r="P585" s="153"/>
    </row>
    <row r="586">
      <c r="P586" s="153"/>
    </row>
    <row r="587">
      <c r="P587" s="153"/>
    </row>
    <row r="588">
      <c r="P588" s="153"/>
    </row>
    <row r="589">
      <c r="P589" s="153"/>
    </row>
    <row r="590">
      <c r="P590" s="153"/>
    </row>
    <row r="591">
      <c r="P591" s="153"/>
    </row>
    <row r="592">
      <c r="P592" s="153"/>
    </row>
    <row r="593">
      <c r="P593" s="153"/>
    </row>
    <row r="594">
      <c r="P594" s="153"/>
    </row>
    <row r="595">
      <c r="P595" s="153"/>
    </row>
    <row r="596">
      <c r="P596" s="153"/>
    </row>
    <row r="597">
      <c r="P597" s="153"/>
    </row>
    <row r="598">
      <c r="P598" s="153"/>
    </row>
    <row r="599">
      <c r="P599" s="153"/>
    </row>
    <row r="600">
      <c r="P600" s="153"/>
    </row>
    <row r="601">
      <c r="P601" s="153"/>
    </row>
    <row r="602">
      <c r="P602" s="153"/>
    </row>
    <row r="603">
      <c r="P603" s="153"/>
    </row>
    <row r="604">
      <c r="P604" s="153"/>
    </row>
    <row r="605">
      <c r="P605" s="153"/>
    </row>
    <row r="606">
      <c r="P606" s="153"/>
    </row>
    <row r="607">
      <c r="P607" s="153"/>
    </row>
    <row r="608">
      <c r="P608" s="153"/>
    </row>
    <row r="609">
      <c r="P609" s="153"/>
    </row>
    <row r="610">
      <c r="P610" s="153"/>
    </row>
    <row r="611">
      <c r="P611" s="153"/>
    </row>
    <row r="612">
      <c r="P612" s="153"/>
    </row>
    <row r="613">
      <c r="P613" s="153"/>
    </row>
    <row r="614">
      <c r="P614" s="153"/>
    </row>
    <row r="615">
      <c r="P615" s="153"/>
    </row>
    <row r="616">
      <c r="P616" s="153"/>
    </row>
    <row r="617">
      <c r="P617" s="153"/>
    </row>
    <row r="618">
      <c r="P618" s="153"/>
    </row>
    <row r="619">
      <c r="P619" s="153"/>
    </row>
    <row r="620">
      <c r="P620" s="153"/>
    </row>
    <row r="621">
      <c r="P621" s="153"/>
    </row>
    <row r="622">
      <c r="P622" s="153"/>
    </row>
    <row r="623">
      <c r="P623" s="153"/>
    </row>
    <row r="624">
      <c r="P624" s="153"/>
    </row>
    <row r="625">
      <c r="P625" s="153"/>
    </row>
    <row r="626">
      <c r="P626" s="153"/>
    </row>
    <row r="627">
      <c r="P627" s="153"/>
    </row>
    <row r="628">
      <c r="P628" s="153"/>
    </row>
    <row r="629">
      <c r="P629" s="153"/>
    </row>
    <row r="630">
      <c r="P630" s="153"/>
    </row>
    <row r="631">
      <c r="P631" s="153"/>
    </row>
    <row r="632">
      <c r="P632" s="153"/>
    </row>
    <row r="633">
      <c r="P633" s="153"/>
    </row>
    <row r="634">
      <c r="P634" s="153"/>
    </row>
    <row r="635">
      <c r="P635" s="153"/>
    </row>
    <row r="636">
      <c r="P636" s="153"/>
    </row>
    <row r="637">
      <c r="P637" s="153"/>
    </row>
    <row r="638">
      <c r="P638" s="153"/>
    </row>
    <row r="639">
      <c r="P639" s="153"/>
    </row>
    <row r="640">
      <c r="P640" s="153"/>
    </row>
    <row r="641">
      <c r="P641" s="153"/>
    </row>
    <row r="642">
      <c r="P642" s="153"/>
    </row>
    <row r="643">
      <c r="P643" s="153"/>
    </row>
    <row r="644">
      <c r="P644" s="153"/>
    </row>
    <row r="645">
      <c r="P645" s="153"/>
    </row>
    <row r="646">
      <c r="P646" s="153"/>
    </row>
    <row r="647">
      <c r="P647" s="153"/>
    </row>
    <row r="648">
      <c r="P648" s="153"/>
    </row>
    <row r="649">
      <c r="P649" s="153"/>
    </row>
    <row r="650">
      <c r="P650" s="153"/>
    </row>
    <row r="651">
      <c r="P651" s="153"/>
    </row>
    <row r="652">
      <c r="P652" s="153"/>
    </row>
    <row r="653">
      <c r="P653" s="153"/>
    </row>
    <row r="654">
      <c r="P654" s="153"/>
    </row>
    <row r="655">
      <c r="P655" s="153"/>
    </row>
    <row r="656">
      <c r="P656" s="153"/>
    </row>
    <row r="657">
      <c r="P657" s="153"/>
    </row>
    <row r="658">
      <c r="P658" s="153"/>
    </row>
    <row r="659">
      <c r="P659" s="153"/>
    </row>
    <row r="660">
      <c r="P660" s="153"/>
    </row>
    <row r="661">
      <c r="P661" s="153"/>
    </row>
    <row r="662">
      <c r="P662" s="153"/>
    </row>
    <row r="663">
      <c r="P663" s="153"/>
    </row>
    <row r="664">
      <c r="P664" s="153"/>
    </row>
    <row r="665">
      <c r="P665" s="153"/>
    </row>
    <row r="666">
      <c r="P666" s="153"/>
    </row>
    <row r="667">
      <c r="P667" s="153"/>
    </row>
    <row r="668">
      <c r="P668" s="153"/>
    </row>
    <row r="669">
      <c r="P669" s="153"/>
    </row>
    <row r="670">
      <c r="P670" s="153"/>
    </row>
    <row r="671">
      <c r="P671" s="153"/>
    </row>
    <row r="672">
      <c r="P672" s="153"/>
    </row>
    <row r="673">
      <c r="P673" s="153"/>
    </row>
    <row r="674">
      <c r="P674" s="153"/>
    </row>
    <row r="675">
      <c r="P675" s="153"/>
    </row>
    <row r="676">
      <c r="P676" s="153"/>
    </row>
    <row r="677">
      <c r="P677" s="153"/>
    </row>
    <row r="678">
      <c r="P678" s="153"/>
    </row>
    <row r="679">
      <c r="P679" s="153"/>
    </row>
    <row r="680">
      <c r="P680" s="153"/>
    </row>
    <row r="681">
      <c r="P681" s="153"/>
    </row>
    <row r="682">
      <c r="P682" s="153"/>
    </row>
    <row r="683">
      <c r="P683" s="153"/>
    </row>
    <row r="684">
      <c r="P684" s="153"/>
    </row>
    <row r="685">
      <c r="P685" s="153"/>
    </row>
    <row r="686">
      <c r="P686" s="153"/>
    </row>
    <row r="687">
      <c r="P687" s="153"/>
    </row>
    <row r="688">
      <c r="P688" s="153"/>
    </row>
    <row r="689">
      <c r="P689" s="153"/>
    </row>
    <row r="690">
      <c r="P690" s="153"/>
    </row>
    <row r="691">
      <c r="P691" s="153"/>
    </row>
    <row r="692">
      <c r="P692" s="153"/>
    </row>
    <row r="693">
      <c r="P693" s="153"/>
    </row>
    <row r="694">
      <c r="P694" s="153"/>
    </row>
    <row r="695">
      <c r="P695" s="153"/>
    </row>
    <row r="696">
      <c r="P696" s="153"/>
    </row>
    <row r="697">
      <c r="P697" s="153"/>
    </row>
    <row r="698">
      <c r="P698" s="153"/>
    </row>
    <row r="699">
      <c r="P699" s="153"/>
    </row>
    <row r="700">
      <c r="P700" s="153"/>
    </row>
    <row r="701">
      <c r="P701" s="153"/>
    </row>
    <row r="702">
      <c r="P702" s="153"/>
    </row>
    <row r="703">
      <c r="P703" s="153"/>
    </row>
    <row r="704">
      <c r="P704" s="153"/>
    </row>
    <row r="705">
      <c r="P705" s="153"/>
    </row>
    <row r="706">
      <c r="P706" s="153"/>
    </row>
    <row r="707">
      <c r="P707" s="153"/>
    </row>
    <row r="708">
      <c r="P708" s="153"/>
    </row>
    <row r="709">
      <c r="P709" s="153"/>
    </row>
    <row r="710">
      <c r="P710" s="153"/>
    </row>
    <row r="711">
      <c r="P711" s="153"/>
    </row>
    <row r="712">
      <c r="P712" s="153"/>
    </row>
    <row r="713">
      <c r="P713" s="153"/>
    </row>
    <row r="714">
      <c r="P714" s="153"/>
    </row>
    <row r="715">
      <c r="P715" s="153"/>
    </row>
    <row r="716">
      <c r="P716" s="153"/>
    </row>
    <row r="717">
      <c r="P717" s="153"/>
    </row>
    <row r="718">
      <c r="P718" s="153"/>
    </row>
    <row r="719">
      <c r="P719" s="153"/>
    </row>
    <row r="720">
      <c r="P720" s="153"/>
    </row>
    <row r="721">
      <c r="P721" s="153"/>
    </row>
    <row r="722">
      <c r="P722" s="153"/>
    </row>
    <row r="723">
      <c r="P723" s="153"/>
    </row>
    <row r="724">
      <c r="P724" s="153"/>
    </row>
    <row r="725">
      <c r="P725" s="153"/>
    </row>
    <row r="726">
      <c r="P726" s="153"/>
    </row>
    <row r="727">
      <c r="P727" s="153"/>
    </row>
    <row r="728">
      <c r="P728" s="153"/>
    </row>
    <row r="729">
      <c r="P729" s="153"/>
    </row>
    <row r="730">
      <c r="P730" s="153"/>
    </row>
    <row r="731">
      <c r="P731" s="153"/>
    </row>
    <row r="732">
      <c r="P732" s="153"/>
    </row>
    <row r="733">
      <c r="P733" s="153"/>
    </row>
    <row r="734">
      <c r="P734" s="153"/>
    </row>
    <row r="735">
      <c r="P735" s="153"/>
    </row>
    <row r="736">
      <c r="P736" s="153"/>
    </row>
    <row r="737">
      <c r="P737" s="153"/>
    </row>
    <row r="738">
      <c r="P738" s="153"/>
    </row>
    <row r="739">
      <c r="P739" s="153"/>
    </row>
    <row r="740">
      <c r="P740" s="153"/>
    </row>
    <row r="741">
      <c r="P741" s="153"/>
    </row>
    <row r="742">
      <c r="P742" s="153"/>
    </row>
    <row r="743">
      <c r="P743" s="153"/>
    </row>
    <row r="744">
      <c r="P744" s="153"/>
    </row>
    <row r="745">
      <c r="P745" s="153"/>
    </row>
    <row r="746">
      <c r="P746" s="153"/>
    </row>
    <row r="747">
      <c r="P747" s="153"/>
    </row>
    <row r="748">
      <c r="P748" s="153"/>
    </row>
    <row r="749">
      <c r="P749" s="153"/>
    </row>
    <row r="750">
      <c r="P750" s="153"/>
    </row>
    <row r="751">
      <c r="P751" s="153"/>
    </row>
    <row r="752">
      <c r="P752" s="153"/>
    </row>
    <row r="753">
      <c r="P753" s="153"/>
    </row>
    <row r="754">
      <c r="P754" s="153"/>
    </row>
    <row r="755">
      <c r="P755" s="153"/>
    </row>
    <row r="756">
      <c r="P756" s="153"/>
    </row>
    <row r="757">
      <c r="P757" s="153"/>
    </row>
    <row r="758">
      <c r="P758" s="153"/>
    </row>
    <row r="759">
      <c r="P759" s="153"/>
    </row>
    <row r="760">
      <c r="P760" s="153"/>
    </row>
    <row r="761">
      <c r="P761" s="153"/>
    </row>
    <row r="762">
      <c r="P762" s="153"/>
    </row>
    <row r="763">
      <c r="P763" s="153"/>
    </row>
    <row r="764">
      <c r="P764" s="153"/>
    </row>
    <row r="765">
      <c r="P765" s="153"/>
    </row>
    <row r="766">
      <c r="P766" s="153"/>
    </row>
    <row r="767">
      <c r="P767" s="153"/>
    </row>
    <row r="768">
      <c r="P768" s="153"/>
    </row>
    <row r="769">
      <c r="P769" s="153"/>
    </row>
    <row r="770">
      <c r="P770" s="153"/>
    </row>
    <row r="771">
      <c r="P771" s="153"/>
    </row>
    <row r="772">
      <c r="P772" s="153"/>
    </row>
    <row r="773">
      <c r="P773" s="153"/>
    </row>
    <row r="774">
      <c r="P774" s="153"/>
    </row>
    <row r="775">
      <c r="P775" s="153"/>
    </row>
    <row r="776">
      <c r="P776" s="153"/>
    </row>
    <row r="777">
      <c r="P777" s="153"/>
    </row>
    <row r="778">
      <c r="P778" s="153"/>
    </row>
    <row r="779">
      <c r="P779" s="153"/>
    </row>
    <row r="780">
      <c r="P780" s="153"/>
    </row>
    <row r="781">
      <c r="P781" s="153"/>
    </row>
    <row r="782">
      <c r="P782" s="153"/>
    </row>
    <row r="783">
      <c r="P783" s="153"/>
    </row>
    <row r="784">
      <c r="P784" s="153"/>
    </row>
    <row r="785">
      <c r="P785" s="153"/>
    </row>
    <row r="786">
      <c r="P786" s="153"/>
    </row>
    <row r="787">
      <c r="P787" s="153"/>
    </row>
    <row r="788">
      <c r="P788" s="153"/>
    </row>
    <row r="789">
      <c r="P789" s="153"/>
    </row>
    <row r="790">
      <c r="P790" s="153"/>
    </row>
    <row r="791">
      <c r="P791" s="153"/>
    </row>
    <row r="792">
      <c r="P792" s="153"/>
    </row>
    <row r="793">
      <c r="P793" s="153"/>
    </row>
    <row r="794">
      <c r="P794" s="153"/>
    </row>
    <row r="795">
      <c r="P795" s="153"/>
    </row>
    <row r="796">
      <c r="P796" s="153"/>
    </row>
    <row r="797">
      <c r="P797" s="153"/>
    </row>
    <row r="798">
      <c r="P798" s="153"/>
    </row>
    <row r="799">
      <c r="P799" s="153"/>
    </row>
    <row r="800">
      <c r="P800" s="153"/>
    </row>
    <row r="801">
      <c r="P801" s="153"/>
    </row>
    <row r="802">
      <c r="P802" s="153"/>
    </row>
    <row r="803">
      <c r="P803" s="153"/>
    </row>
    <row r="804">
      <c r="P804" s="153"/>
    </row>
    <row r="805">
      <c r="P805" s="153"/>
    </row>
    <row r="806">
      <c r="P806" s="153"/>
    </row>
    <row r="807">
      <c r="P807" s="153"/>
    </row>
    <row r="808">
      <c r="P808" s="153"/>
    </row>
    <row r="809">
      <c r="P809" s="153"/>
    </row>
    <row r="810">
      <c r="P810" s="153"/>
    </row>
    <row r="811">
      <c r="P811" s="153"/>
    </row>
    <row r="812">
      <c r="P812" s="153"/>
    </row>
    <row r="813">
      <c r="P813" s="153"/>
    </row>
    <row r="814">
      <c r="P814" s="153"/>
    </row>
    <row r="815">
      <c r="P815" s="153"/>
    </row>
    <row r="816">
      <c r="P816" s="153"/>
    </row>
    <row r="817">
      <c r="P817" s="153"/>
    </row>
    <row r="818">
      <c r="P818" s="153"/>
    </row>
    <row r="819">
      <c r="P819" s="153"/>
    </row>
    <row r="820">
      <c r="P820" s="153"/>
    </row>
    <row r="821">
      <c r="P821" s="153"/>
    </row>
    <row r="822">
      <c r="P822" s="153"/>
    </row>
    <row r="823">
      <c r="P823" s="153"/>
    </row>
    <row r="824">
      <c r="P824" s="153"/>
    </row>
    <row r="825">
      <c r="P825" s="153"/>
    </row>
    <row r="826">
      <c r="P826" s="153"/>
    </row>
    <row r="827">
      <c r="P827" s="153"/>
    </row>
    <row r="828">
      <c r="P828" s="153"/>
    </row>
    <row r="829">
      <c r="P829" s="153"/>
    </row>
    <row r="830">
      <c r="P830" s="153"/>
    </row>
    <row r="831">
      <c r="P831" s="153"/>
    </row>
    <row r="832">
      <c r="P832" s="153"/>
    </row>
    <row r="833">
      <c r="P833" s="153"/>
    </row>
    <row r="834">
      <c r="P834" s="153"/>
    </row>
    <row r="835">
      <c r="P835" s="153"/>
    </row>
    <row r="836">
      <c r="P836" s="153"/>
    </row>
    <row r="837">
      <c r="P837" s="153"/>
    </row>
    <row r="838">
      <c r="P838" s="153"/>
    </row>
    <row r="839">
      <c r="P839" s="153"/>
    </row>
    <row r="840">
      <c r="P840" s="153"/>
    </row>
    <row r="841">
      <c r="P841" s="153"/>
    </row>
    <row r="842">
      <c r="P842" s="153"/>
    </row>
    <row r="843">
      <c r="P843" s="153"/>
    </row>
    <row r="844">
      <c r="P844" s="153"/>
    </row>
    <row r="845">
      <c r="P845" s="153"/>
    </row>
    <row r="846">
      <c r="P846" s="153"/>
    </row>
    <row r="847">
      <c r="P847" s="153"/>
    </row>
    <row r="848">
      <c r="P848" s="153"/>
    </row>
    <row r="849">
      <c r="P849" s="153"/>
    </row>
    <row r="850">
      <c r="P850" s="153"/>
    </row>
    <row r="851">
      <c r="P851" s="153"/>
    </row>
    <row r="852">
      <c r="P852" s="153"/>
    </row>
    <row r="853">
      <c r="P853" s="153"/>
    </row>
    <row r="854">
      <c r="P854" s="153"/>
    </row>
    <row r="855">
      <c r="P855" s="153"/>
    </row>
    <row r="856">
      <c r="P856" s="153"/>
    </row>
    <row r="857">
      <c r="P857" s="153"/>
    </row>
    <row r="858">
      <c r="P858" s="153"/>
    </row>
    <row r="859">
      <c r="P859" s="153"/>
    </row>
    <row r="860">
      <c r="P860" s="153"/>
    </row>
    <row r="861">
      <c r="P861" s="153"/>
    </row>
    <row r="862">
      <c r="P862" s="153"/>
    </row>
    <row r="863">
      <c r="P863" s="153"/>
    </row>
    <row r="864">
      <c r="P864" s="153"/>
    </row>
    <row r="865">
      <c r="P865" s="153"/>
    </row>
    <row r="866">
      <c r="P866" s="153"/>
    </row>
    <row r="867">
      <c r="P867" s="153"/>
    </row>
    <row r="868">
      <c r="P868" s="153"/>
    </row>
    <row r="869">
      <c r="P869" s="153"/>
    </row>
    <row r="870">
      <c r="P870" s="153"/>
    </row>
    <row r="871">
      <c r="P871" s="153"/>
    </row>
    <row r="872">
      <c r="P872" s="153"/>
    </row>
    <row r="873">
      <c r="P873" s="153"/>
    </row>
    <row r="874">
      <c r="P874" s="153"/>
    </row>
    <row r="875">
      <c r="P875" s="153"/>
    </row>
    <row r="876">
      <c r="P876" s="153"/>
    </row>
    <row r="877">
      <c r="P877" s="153"/>
    </row>
    <row r="878">
      <c r="P878" s="153"/>
    </row>
    <row r="879">
      <c r="P879" s="153"/>
    </row>
    <row r="880">
      <c r="P880" s="153"/>
    </row>
    <row r="881">
      <c r="P881" s="153"/>
    </row>
    <row r="882">
      <c r="P882" s="153"/>
    </row>
    <row r="883">
      <c r="P883" s="153"/>
    </row>
    <row r="884">
      <c r="P884" s="153"/>
    </row>
    <row r="885">
      <c r="P885" s="153"/>
    </row>
    <row r="886">
      <c r="P886" s="153"/>
    </row>
    <row r="887">
      <c r="P887" s="153"/>
    </row>
    <row r="888">
      <c r="P888" s="153"/>
    </row>
    <row r="889">
      <c r="P889" s="153"/>
    </row>
    <row r="890">
      <c r="P890" s="153"/>
    </row>
    <row r="891">
      <c r="P891" s="153"/>
    </row>
    <row r="892">
      <c r="P892" s="153"/>
    </row>
    <row r="893">
      <c r="P893" s="153"/>
    </row>
    <row r="894">
      <c r="P894" s="153"/>
    </row>
    <row r="895">
      <c r="P895" s="153"/>
    </row>
    <row r="896">
      <c r="P896" s="153"/>
    </row>
    <row r="897">
      <c r="P897" s="153"/>
    </row>
    <row r="898">
      <c r="P898" s="153"/>
    </row>
    <row r="899">
      <c r="P899" s="153"/>
    </row>
    <row r="900">
      <c r="P900" s="153"/>
    </row>
    <row r="901">
      <c r="P901" s="153"/>
    </row>
    <row r="902">
      <c r="P902" s="153"/>
    </row>
    <row r="903">
      <c r="P903" s="153"/>
    </row>
    <row r="904">
      <c r="P904" s="153"/>
    </row>
    <row r="905">
      <c r="P905" s="153"/>
    </row>
    <row r="906">
      <c r="P906" s="153"/>
    </row>
    <row r="907">
      <c r="P907" s="153"/>
    </row>
    <row r="908">
      <c r="P908" s="153"/>
    </row>
    <row r="909">
      <c r="P909" s="153"/>
    </row>
    <row r="910">
      <c r="P910" s="153"/>
    </row>
    <row r="911">
      <c r="P911" s="153"/>
    </row>
    <row r="912">
      <c r="P912" s="153"/>
    </row>
    <row r="913">
      <c r="P913" s="153"/>
    </row>
    <row r="914">
      <c r="P914" s="153"/>
    </row>
    <row r="915">
      <c r="P915" s="153"/>
    </row>
    <row r="916">
      <c r="P916" s="153"/>
    </row>
    <row r="917">
      <c r="P917" s="153"/>
    </row>
    <row r="918">
      <c r="P918" s="153"/>
    </row>
    <row r="919">
      <c r="P919" s="153"/>
    </row>
    <row r="920">
      <c r="P920" s="153"/>
    </row>
    <row r="921">
      <c r="P921" s="153"/>
    </row>
    <row r="922">
      <c r="P922" s="153"/>
    </row>
    <row r="923">
      <c r="P923" s="153"/>
    </row>
    <row r="924">
      <c r="P924" s="153"/>
    </row>
    <row r="925">
      <c r="P925" s="153"/>
    </row>
    <row r="926">
      <c r="P926" s="153"/>
    </row>
    <row r="927">
      <c r="P927" s="153"/>
    </row>
    <row r="928">
      <c r="P928" s="153"/>
    </row>
    <row r="929">
      <c r="P929" s="153"/>
    </row>
    <row r="930">
      <c r="P930" s="153"/>
    </row>
    <row r="931">
      <c r="P931" s="153"/>
    </row>
    <row r="932">
      <c r="P932" s="153"/>
    </row>
    <row r="933">
      <c r="P933" s="153"/>
    </row>
    <row r="934">
      <c r="P934" s="153"/>
    </row>
    <row r="935">
      <c r="P935" s="153"/>
    </row>
    <row r="936">
      <c r="P936" s="153"/>
    </row>
    <row r="937">
      <c r="P937" s="153"/>
    </row>
    <row r="938">
      <c r="P938" s="153"/>
    </row>
    <row r="939">
      <c r="P939" s="153"/>
    </row>
    <row r="940">
      <c r="P940" s="153"/>
    </row>
    <row r="941">
      <c r="P941" s="153"/>
    </row>
    <row r="942">
      <c r="P942" s="153"/>
    </row>
    <row r="943">
      <c r="P943" s="153"/>
    </row>
    <row r="944">
      <c r="P944" s="153"/>
    </row>
    <row r="945">
      <c r="P945" s="153"/>
    </row>
    <row r="946">
      <c r="P946" s="153"/>
    </row>
    <row r="947">
      <c r="P947" s="153"/>
    </row>
    <row r="948">
      <c r="P948" s="153"/>
    </row>
    <row r="949">
      <c r="P949" s="153"/>
    </row>
    <row r="950">
      <c r="P950" s="153"/>
    </row>
    <row r="951">
      <c r="P951" s="153"/>
    </row>
    <row r="952">
      <c r="P952" s="153"/>
    </row>
    <row r="953">
      <c r="P953" s="153"/>
    </row>
    <row r="954">
      <c r="P954" s="153"/>
    </row>
    <row r="955">
      <c r="P955" s="153"/>
    </row>
    <row r="956">
      <c r="P956" s="153"/>
    </row>
    <row r="957">
      <c r="P957" s="153"/>
    </row>
    <row r="958">
      <c r="P958" s="153"/>
    </row>
    <row r="959">
      <c r="P959" s="153"/>
    </row>
    <row r="960">
      <c r="P960" s="153"/>
    </row>
    <row r="961">
      <c r="P961" s="153"/>
    </row>
    <row r="962">
      <c r="P962" s="153"/>
    </row>
    <row r="963">
      <c r="P963" s="153"/>
    </row>
    <row r="964">
      <c r="P964" s="153"/>
    </row>
    <row r="965">
      <c r="P965" s="153"/>
    </row>
    <row r="966">
      <c r="P966" s="153"/>
    </row>
    <row r="967">
      <c r="P967" s="153"/>
    </row>
    <row r="968">
      <c r="P968" s="153"/>
    </row>
    <row r="969">
      <c r="P969" s="153"/>
    </row>
    <row r="970">
      <c r="P970" s="153"/>
    </row>
    <row r="971">
      <c r="P971" s="153"/>
    </row>
    <row r="972">
      <c r="P972" s="153"/>
    </row>
    <row r="973">
      <c r="P973" s="153"/>
    </row>
    <row r="974">
      <c r="P974" s="153"/>
    </row>
    <row r="975">
      <c r="P975" s="153"/>
    </row>
    <row r="976">
      <c r="P976" s="153"/>
    </row>
    <row r="977">
      <c r="P977" s="153"/>
    </row>
    <row r="978">
      <c r="P978" s="153"/>
    </row>
    <row r="979">
      <c r="P979" s="153"/>
    </row>
    <row r="980">
      <c r="P980" s="153"/>
    </row>
    <row r="981">
      <c r="P981" s="153"/>
    </row>
    <row r="982">
      <c r="P982" s="153"/>
    </row>
    <row r="983">
      <c r="P983" s="153"/>
    </row>
    <row r="984">
      <c r="P984" s="153"/>
    </row>
    <row r="985">
      <c r="P985" s="153"/>
    </row>
    <row r="986">
      <c r="P986" s="153"/>
    </row>
    <row r="987">
      <c r="P987" s="153"/>
    </row>
    <row r="988">
      <c r="P988" s="153"/>
    </row>
    <row r="989">
      <c r="P989" s="153"/>
    </row>
    <row r="990">
      <c r="P990" s="153"/>
    </row>
    <row r="991">
      <c r="P991" s="153"/>
    </row>
    <row r="992">
      <c r="P992" s="153"/>
    </row>
    <row r="993">
      <c r="P993" s="153"/>
    </row>
    <row r="994">
      <c r="P994" s="153"/>
    </row>
    <row r="995">
      <c r="P995" s="153"/>
    </row>
    <row r="996">
      <c r="P996" s="153"/>
    </row>
    <row r="997">
      <c r="P997" s="153"/>
    </row>
    <row r="998">
      <c r="P998" s="153"/>
    </row>
    <row r="999">
      <c r="P999" s="153"/>
    </row>
    <row r="1000">
      <c r="P1000" s="153"/>
    </row>
  </sheetData>
  <dataValidations>
    <dataValidation type="list" allowBlank="1" showErrorMessage="1" sqref="P1:P1000">
      <formula1>"IT Area,FMG Cabinet,WFH,Mezzanine,Transferred,Deployed Onsite,C3-6 2nd floor,IT storage"</formula1>
    </dataValidation>
  </dataValidations>
  <drawing r:id="rId1"/>
</worksheet>
</file>